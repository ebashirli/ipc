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0f35a67bc0854e0/Desktop/ipc/"/>
    </mc:Choice>
  </mc:AlternateContent>
  <xr:revisionPtr revIDLastSave="6110" documentId="13_ncr:1_{9E884A3D-A95B-4613-8DC1-BD7A00AA2B37}" xr6:coauthVersionLast="47" xr6:coauthVersionMax="47" xr10:uidLastSave="{1E0AB1ED-C41C-490C-9129-83AFA28716B9}"/>
  <bookViews>
    <workbookView xWindow="-120" yWindow="-120" windowWidth="29040" windowHeight="15720" xr2:uid="{00000000-000D-0000-FFFF-FFFF00000000}"/>
  </bookViews>
  <sheets>
    <sheet name="data" sheetId="1" r:id="rId1"/>
    <sheet name="vehicle-record" sheetId="4" r:id="rId2"/>
    <sheet name="notes" sheetId="3" r:id="rId3"/>
    <sheet name="config" sheetId="2" r:id="rId4"/>
  </sheets>
  <externalReferences>
    <externalReference r:id="rId5"/>
    <externalReference r:id="rId6"/>
  </externalReferences>
  <definedNames>
    <definedName name="__123Graph_A" hidden="1">[1]DOKUM!$B$4:$B$4</definedName>
    <definedName name="__123Graph_B" hidden="1">[1]DOKUM!$B$5:$B$5</definedName>
    <definedName name="__123Graph_C" hidden="1">[1]DOKUM!$B$6:$B$6</definedName>
    <definedName name="__123Graph_D" hidden="1">[1]DOKUM!$B$7:$B$7</definedName>
    <definedName name="__123Graph_E" hidden="1">[1]DOKUM!$B$8:$B$8</definedName>
    <definedName name="__123Graph_X" hidden="1">[1]DOKUM!$A$4:$A$8</definedName>
    <definedName name="_Fill" localSheetId="1" hidden="1">#REF!</definedName>
    <definedName name="_Fill" hidden="1">#REF!</definedName>
    <definedName name="_xlnm._FilterDatabase" localSheetId="0" hidden="1">data!$A$1:$AR$87</definedName>
    <definedName name="_Key1" localSheetId="1" hidden="1">#REF!</definedName>
    <definedName name="_Key1" hidden="1">#REF!</definedName>
    <definedName name="_Order1" hidden="1">255</definedName>
    <definedName name="_Sort" localSheetId="1" hidden="1">#REF!</definedName>
    <definedName name="_Sort" hidden="1">#REF!</definedName>
    <definedName name="Contractor_Detail">"`"</definedName>
    <definedName name="dsd" hidden="1">#REF!</definedName>
    <definedName name="p" localSheetId="1" hidden="1">#REF!</definedName>
    <definedName name="p" hidden="1">#REF!</definedName>
    <definedName name="_xlnm.Print_Area" localSheetId="3">config!$A$1:$G$56</definedName>
    <definedName name="_xlnm.Print_Area" localSheetId="1">'vehicle-record'!$A$1:$J$44</definedName>
    <definedName name="subc_contr_folder_path">config!$B$1</definedName>
    <definedName name="vv" localSheetId="1" hidden="1">{#N/A,#N/A,FALSE,"kap1";#N/A,#N/A,FALSE,"kap2";#N/A,#N/A,FALSE,"tem_mektubu";#N/A,#N/A,FALSE,"avans";#N/A,#N/A,FALSE,"söz_fiy_fark";#N/A,#N/A,FALSE,"fat_ihz"}</definedName>
    <definedName name="vv" hidden="1">{#N/A,#N/A,FALSE,"kap1";#N/A,#N/A,FALSE,"kap2";#N/A,#N/A,FALSE,"tem_mektubu";#N/A,#N/A,FALSE,"avans";#N/A,#N/A,FALSE,"söz_fiy_fark";#N/A,#N/A,FALSE,"fat_ihz"}</definedName>
    <definedName name="w" localSheetId="1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localSheetId="1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IMAL." localSheetId="1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BIMAL.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DEMIR." localSheetId="1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ekinci._.ihzarat." localSheetId="1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GENEL." localSheetId="1" hidden="1">{#N/A,#N/A,FALSE,"kap1";#N/A,#N/A,FALSE,"kap2";#N/A,#N/A,FALSE,"tem_mektubu";#N/A,#N/A,FALSE,"avans";#N/A,#N/A,FALSE,"söz_fiy_fark";#N/A,#N/A,FALSE,"fat_ihz"}</definedName>
    <definedName name="wrn.GENEL." hidden="1">{#N/A,#N/A,FALSE,"kap1";#N/A,#N/A,FALSE,"kap2";#N/A,#N/A,FALSE,"tem_mektubu";#N/A,#N/A,FALSE,"avans";#N/A,#N/A,FALSE,"söz_fiy_fark";#N/A,#N/A,FALSE,"fat_ihz"}</definedName>
    <definedName name="wrn.ILAVE._.BETON." localSheetId="1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localSheetId="1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NS." localSheetId="1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stinat." localSheetId="1" hidden="1">{#N/A,#N/A,FALSE,"NF_S1";#N/A,#N/A,FALSE,"İ_100M";#N/A,#N/A,FALSE,"İ_150M";#N/A,#N/A,FALSE,"İ_200M"}</definedName>
    <definedName name="wrn.istinat." hidden="1">{#N/A,#N/A,FALSE,"NF_S1";#N/A,#N/A,FALSE,"İ_100M";#N/A,#N/A,FALSE,"İ_150M";#N/A,#N/A,FALSE,"İ_200M"}</definedName>
    <definedName name="wrn.KAL._.BÜR." localSheetId="1" hidden="1">{#N/A,#N/A,FALSE,"3";#N/A,#N/A,FALSE,"kal_iç_ihz";#N/A,#N/A,FALSE,"kal_iç_er";#N/A,#N/A,FALSE,"kal_iç_tut";#N/A,#N/A,FALSE,"5";#N/A,#N/A,FALSE,"brü_ihz";#N/A,#N/A,FALSE,"brü_er";#N/A,#N/A,FALSE,"brü_tut"}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MKESIF." localSheetId="1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ukayese." localSheetId="1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nakliye." localSheetId="1" hidden="1">{#N/A,#N/A,FALSE,"NAKLİYE_MESAFE";#N/A,#N/A,FALSE,"NF_01";#N/A,#N/A,FALSE,"NF_02";#N/A,#N/A,FALSE,"NF_03";#N/A,#N/A,FALSE,"NF_04";#N/A,#N/A,FALSE,"NF_05";#N/A,#N/A,FALSE,"NF_06"}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SIHHI." localSheetId="1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xxxx" localSheetId="1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xxxx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1" l="1"/>
  <c r="L82" i="1"/>
  <c r="L81" i="1"/>
  <c r="L80" i="1"/>
  <c r="L79" i="1"/>
  <c r="L78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2" i="1"/>
  <c r="L51" i="1"/>
  <c r="L48" i="1"/>
  <c r="L46" i="1"/>
  <c r="L44" i="1"/>
  <c r="L43" i="1"/>
  <c r="L42" i="1"/>
  <c r="L41" i="1"/>
  <c r="L38" i="1"/>
  <c r="L34" i="1"/>
  <c r="L31" i="1"/>
  <c r="L30" i="1"/>
  <c r="L27" i="1"/>
  <c r="L25" i="1"/>
  <c r="L24" i="1"/>
  <c r="L20" i="1"/>
  <c r="L19" i="1"/>
  <c r="L18" i="1"/>
  <c r="L15" i="1"/>
  <c r="L14" i="1"/>
  <c r="L13" i="1"/>
  <c r="L12" i="1"/>
  <c r="L11" i="1"/>
  <c r="L10" i="1"/>
  <c r="L9" i="1"/>
  <c r="L8" i="1"/>
  <c r="L6" i="1"/>
  <c r="L5" i="1"/>
  <c r="L4" i="1"/>
  <c r="C76" i="1"/>
  <c r="B76" i="1"/>
  <c r="U54" i="1"/>
  <c r="E54" i="1"/>
  <c r="B54" i="1"/>
  <c r="B57" i="1"/>
  <c r="B58" i="1"/>
  <c r="C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C74" i="1"/>
  <c r="B75" i="1"/>
  <c r="C75" i="1"/>
  <c r="B77" i="1"/>
  <c r="C77" i="1"/>
  <c r="B78" i="1"/>
  <c r="B79" i="1"/>
  <c r="B80" i="1"/>
  <c r="B81" i="1"/>
  <c r="B82" i="1"/>
  <c r="B83" i="1"/>
  <c r="B84" i="1"/>
  <c r="C84" i="1"/>
  <c r="B85" i="1"/>
  <c r="B86" i="1"/>
  <c r="B87" i="1"/>
  <c r="C87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U83" i="1"/>
  <c r="U73" i="1"/>
  <c r="U86" i="1"/>
  <c r="U85" i="1"/>
  <c r="U82" i="1"/>
  <c r="U81" i="1"/>
  <c r="U80" i="1"/>
  <c r="U79" i="1"/>
  <c r="U78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7" i="1"/>
  <c r="U55" i="1"/>
  <c r="E56" i="1"/>
  <c r="C56" i="1"/>
  <c r="B56" i="1"/>
  <c r="E55" i="1"/>
  <c r="E53" i="1"/>
  <c r="E52" i="1"/>
  <c r="E51" i="1"/>
  <c r="E50" i="1"/>
  <c r="B55" i="1"/>
  <c r="C5" i="1"/>
  <c r="C7" i="1"/>
  <c r="C10" i="1"/>
  <c r="C11" i="1"/>
  <c r="C12" i="1"/>
  <c r="C13" i="1"/>
  <c r="C14" i="1"/>
  <c r="C15" i="1"/>
  <c r="C18" i="1"/>
  <c r="C19" i="1"/>
  <c r="C20" i="1"/>
  <c r="C21" i="1"/>
  <c r="C22" i="1"/>
  <c r="C23" i="1"/>
  <c r="C25" i="1"/>
  <c r="C27" i="1"/>
  <c r="C31" i="1"/>
  <c r="C36" i="1"/>
  <c r="C38" i="1"/>
  <c r="C39" i="1"/>
  <c r="C40" i="1"/>
  <c r="U6" i="1"/>
  <c r="E6" i="1"/>
  <c r="B6" i="1"/>
  <c r="B3" i="1"/>
  <c r="B4" i="1"/>
  <c r="B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2" i="1"/>
  <c r="E22" i="1"/>
  <c r="U35" i="1"/>
  <c r="E35" i="1"/>
  <c r="V43" i="1"/>
  <c r="U17" i="1"/>
  <c r="E21" i="1"/>
  <c r="E20" i="1"/>
  <c r="E17" i="1"/>
  <c r="U53" i="1"/>
  <c r="U52" i="1"/>
  <c r="A74" i="1" l="1"/>
  <c r="L7" i="1"/>
  <c r="U51" i="1"/>
  <c r="A75" i="1" l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76" i="1"/>
  <c r="L16" i="1"/>
  <c r="E18" i="1"/>
  <c r="L17" i="1" l="1"/>
  <c r="L21" i="1" s="1"/>
  <c r="L22" i="1" s="1"/>
  <c r="L23" i="1" s="1"/>
  <c r="E39" i="4"/>
  <c r="L26" i="1" l="1"/>
  <c r="U50" i="1"/>
  <c r="E23" i="1"/>
  <c r="V49" i="1"/>
  <c r="U49" i="1"/>
  <c r="L28" i="1" l="1"/>
  <c r="L29" i="1" s="1"/>
  <c r="I2" i="1" a="1"/>
  <c r="H2" i="1" a="1"/>
  <c r="L32" i="1" l="1"/>
  <c r="L33" i="1" s="1"/>
  <c r="L35" i="1" s="1"/>
  <c r="L36" i="1" s="1"/>
  <c r="L37" i="1" s="1"/>
  <c r="L39" i="1" s="1"/>
  <c r="L40" i="1" s="1"/>
  <c r="L45" i="1" s="1"/>
  <c r="L47" i="1" s="1"/>
  <c r="L49" i="1" s="1"/>
  <c r="L50" i="1" s="1"/>
  <c r="L53" i="1" s="1"/>
  <c r="L54" i="1" s="1"/>
  <c r="L55" i="1" s="1"/>
  <c r="L56" i="1" s="1"/>
  <c r="L57" i="1" s="1"/>
  <c r="L73" i="1" s="1"/>
  <c r="L74" i="1" s="1"/>
  <c r="L75" i="1" s="1"/>
  <c r="L76" i="1" s="1"/>
  <c r="L77" i="1" s="1"/>
  <c r="L83" i="1" s="1"/>
  <c r="L84" i="1" s="1"/>
  <c r="L86" i="1" s="1"/>
  <c r="L87" i="1" s="1"/>
  <c r="G42" i="4" s="1"/>
  <c r="I2" i="1"/>
  <c r="H2" i="1"/>
  <c r="AA4" i="4"/>
  <c r="AA5" i="4"/>
  <c r="I3" i="4" s="1"/>
  <c r="AA6" i="4"/>
  <c r="AA7" i="4"/>
  <c r="AA8" i="4"/>
  <c r="AA9" i="4"/>
  <c r="AA10" i="4"/>
  <c r="AA11" i="4"/>
  <c r="AA12" i="4"/>
  <c r="AA13" i="4"/>
  <c r="AA14" i="4"/>
  <c r="AA3" i="4"/>
  <c r="H39" i="4" l="1"/>
  <c r="G39" i="4"/>
  <c r="C3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l="1"/>
  <c r="A38" i="4" s="1"/>
  <c r="V48" i="1"/>
  <c r="U48" i="1"/>
  <c r="E48" i="1"/>
  <c r="L8" i="4" l="1" a="1"/>
  <c r="L8" i="4" s="1"/>
  <c r="E39" i="1" l="1"/>
  <c r="U47" i="1" l="1"/>
  <c r="E47" i="1"/>
  <c r="E40" i="1"/>
  <c r="V46" i="1" l="1"/>
  <c r="U46" i="1"/>
  <c r="U45" i="1"/>
  <c r="V44" i="1"/>
  <c r="U44" i="1"/>
  <c r="U43" i="1"/>
  <c r="V42" i="1"/>
  <c r="U42" i="1"/>
  <c r="V41" i="1"/>
  <c r="U41" i="1"/>
  <c r="U37" i="1"/>
  <c r="V34" i="1"/>
  <c r="U34" i="1"/>
  <c r="U33" i="1"/>
  <c r="U32" i="1"/>
  <c r="V30" i="1"/>
  <c r="U30" i="1"/>
  <c r="U29" i="1"/>
  <c r="U28" i="1"/>
  <c r="U26" i="1"/>
  <c r="V24" i="1"/>
  <c r="U24" i="1"/>
  <c r="U16" i="1"/>
  <c r="V9" i="1"/>
  <c r="U9" i="1"/>
  <c r="U8" i="1"/>
  <c r="U4" i="1"/>
  <c r="U3" i="1"/>
  <c r="E30" i="1" l="1"/>
  <c r="E24" i="1" l="1"/>
  <c r="E4" i="1" l="1"/>
  <c r="E7" i="1"/>
  <c r="E8" i="1"/>
  <c r="E2" i="1"/>
  <c r="E3" i="1"/>
  <c r="E15" i="1"/>
  <c r="E14" i="1"/>
  <c r="E9" i="1"/>
  <c r="E10" i="1"/>
  <c r="E11" i="1"/>
  <c r="E12" i="1"/>
  <c r="E13" i="1"/>
  <c r="E16" i="1"/>
  <c r="E19" i="1"/>
  <c r="E25" i="1"/>
  <c r="E26" i="1"/>
  <c r="E27" i="1"/>
  <c r="E28" i="1"/>
  <c r="E29" i="1"/>
  <c r="E31" i="1"/>
  <c r="E32" i="1"/>
  <c r="E33" i="1"/>
  <c r="E34" i="1"/>
  <c r="E36" i="1"/>
  <c r="E38" i="1"/>
  <c r="E37" i="1"/>
  <c r="E43" i="1"/>
  <c r="E44" i="1"/>
  <c r="E45" i="1"/>
  <c r="E46" i="1"/>
  <c r="E41" i="1"/>
  <c r="E42" i="1"/>
  <c r="E5" i="1"/>
  <c r="U2" i="1"/>
  <c r="W43" i="1" l="1"/>
  <c r="X43" i="1" l="1"/>
  <c r="O6" i="4" l="1" a="1"/>
  <c r="O6" i="4" s="1"/>
  <c r="C2" i="1"/>
  <c r="C3" i="1" l="1"/>
  <c r="C4" i="1" l="1"/>
  <c r="C6" i="1" l="1"/>
  <c r="C8" i="1" l="1"/>
  <c r="A41" i="4" l="1"/>
  <c r="G41" i="4" s="1"/>
  <c r="O3" i="4"/>
  <c r="C4" i="4" a="1"/>
  <c r="C4" i="4" s="1"/>
  <c r="I6" i="4"/>
  <c r="I4" i="4"/>
  <c r="C5" i="4"/>
  <c r="C3" i="4"/>
  <c r="C9" i="1"/>
  <c r="C16" i="1" s="1"/>
  <c r="C6" i="4" l="1"/>
  <c r="G43" i="4"/>
  <c r="D43" i="4"/>
  <c r="C17" i="1"/>
  <c r="C24" i="1" l="1"/>
  <c r="C26" i="1" s="1"/>
  <c r="C28" i="1" s="1"/>
  <c r="C29" i="1" l="1"/>
  <c r="C30" i="1" l="1"/>
  <c r="C32" i="1" s="1"/>
  <c r="C33" i="1" l="1"/>
  <c r="C34" i="1" l="1"/>
  <c r="C35" i="1" l="1"/>
  <c r="C37" i="1" s="1"/>
  <c r="C41" i="1" l="1"/>
  <c r="C42" i="1" s="1"/>
  <c r="C43" i="1" l="1"/>
  <c r="C44" i="1" s="1"/>
  <c r="C45" i="1" s="1"/>
  <c r="C46" i="1" l="1"/>
  <c r="C47" i="1" s="1"/>
  <c r="C48" i="1" l="1"/>
  <c r="C49" i="1" s="1"/>
  <c r="C50" i="1" s="1"/>
  <c r="C51" i="1" s="1"/>
  <c r="C52" i="1" s="1"/>
  <c r="C53" i="1" s="1"/>
  <c r="C54" i="1" s="1"/>
  <c r="C55" i="1" s="1"/>
  <c r="C57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8" i="1" s="1"/>
  <c r="C79" i="1" s="1"/>
  <c r="C80" i="1" s="1"/>
  <c r="C81" i="1" s="1"/>
  <c r="C82" i="1" s="1"/>
  <c r="C83" i="1" s="1"/>
  <c r="C85" i="1" s="1"/>
  <c r="C86" i="1" s="1"/>
  <c r="Z2" i="1" l="1" a="1"/>
  <c r="Y76" i="1" s="1"/>
  <c r="Y47" i="1" l="1"/>
  <c r="Y35" i="1"/>
  <c r="Y19" i="1"/>
  <c r="Y53" i="1"/>
  <c r="Y26" i="1"/>
  <c r="M8" i="4"/>
  <c r="Y81" i="1"/>
  <c r="Y79" i="1"/>
  <c r="Y78" i="1"/>
  <c r="Y75" i="1"/>
  <c r="Y73" i="1"/>
  <c r="Y71" i="1"/>
  <c r="Y63" i="1"/>
  <c r="C1" i="4"/>
  <c r="Y72" i="1"/>
  <c r="Y87" i="1"/>
  <c r="Y85" i="1"/>
  <c r="Y84" i="1"/>
  <c r="Y82" i="1"/>
  <c r="Y80" i="1"/>
  <c r="Y77" i="1"/>
  <c r="Y45" i="1"/>
  <c r="X45" i="1" s="1"/>
  <c r="Y52" i="1"/>
  <c r="X52" i="1" s="1"/>
  <c r="Y29" i="1"/>
  <c r="Y16" i="1"/>
  <c r="Y8" i="1"/>
  <c r="W8" i="1" s="1"/>
  <c r="Y30" i="1"/>
  <c r="Y3" i="1"/>
  <c r="Y49" i="1"/>
  <c r="Y32" i="1"/>
  <c r="Y41" i="1"/>
  <c r="Y27" i="1"/>
  <c r="Y38" i="1"/>
  <c r="Z2" i="1"/>
  <c r="Y2" i="1" s="1"/>
  <c r="Y11" i="1"/>
  <c r="Y34" i="1"/>
  <c r="Y37" i="1"/>
  <c r="Y54" i="1"/>
  <c r="Y86" i="1"/>
  <c r="Y83" i="1"/>
  <c r="Y74" i="1"/>
  <c r="Y56" i="1"/>
  <c r="Y70" i="1"/>
  <c r="Y69" i="1"/>
  <c r="Y68" i="1"/>
  <c r="Y67" i="1"/>
  <c r="Y66" i="1"/>
  <c r="Y65" i="1"/>
  <c r="Y64" i="1"/>
  <c r="Y62" i="1"/>
  <c r="Y61" i="1"/>
  <c r="Y59" i="1"/>
  <c r="Y58" i="1"/>
  <c r="Y57" i="1"/>
  <c r="Y28" i="1"/>
  <c r="X28" i="1" s="1"/>
  <c r="Y4" i="1"/>
  <c r="Y5" i="1"/>
  <c r="Y14" i="1"/>
  <c r="Y9" i="1"/>
  <c r="Y51" i="1"/>
  <c r="Y48" i="1"/>
  <c r="Y7" i="1"/>
  <c r="Y15" i="1"/>
  <c r="Y31" i="1"/>
  <c r="Y12" i="1"/>
  <c r="Y10" i="1"/>
  <c r="Y60" i="1"/>
  <c r="Y20" i="1"/>
  <c r="Y42" i="1"/>
  <c r="Y6" i="1"/>
  <c r="Y55" i="1"/>
  <c r="Y24" i="1"/>
  <c r="Y44" i="1"/>
  <c r="Y46" i="1"/>
  <c r="Y25" i="1"/>
  <c r="Y18" i="1"/>
  <c r="I5" i="4"/>
  <c r="Y13" i="1"/>
  <c r="Y33" i="1"/>
  <c r="Y50" i="1"/>
  <c r="Y17" i="1"/>
  <c r="X24" i="1" l="1"/>
  <c r="W24" i="1"/>
  <c r="W44" i="1"/>
  <c r="X44" i="1"/>
  <c r="W46" i="1"/>
  <c r="X46" i="1"/>
  <c r="V33" i="1"/>
  <c r="X33" i="1"/>
  <c r="W33" i="1"/>
  <c r="V50" i="1"/>
  <c r="W50" i="1"/>
  <c r="X50" i="1"/>
  <c r="V17" i="1"/>
  <c r="W17" i="1"/>
  <c r="X17" i="1"/>
  <c r="V47" i="1"/>
  <c r="W47" i="1"/>
  <c r="X47" i="1"/>
  <c r="W35" i="1"/>
  <c r="V35" i="1"/>
  <c r="X35" i="1"/>
  <c r="V53" i="1"/>
  <c r="W53" i="1"/>
  <c r="X53" i="1"/>
  <c r="W26" i="1"/>
  <c r="X26" i="1"/>
  <c r="V26" i="1"/>
  <c r="V52" i="1"/>
  <c r="W52" i="1"/>
  <c r="W29" i="1"/>
  <c r="X29" i="1"/>
  <c r="V29" i="1"/>
  <c r="V16" i="1"/>
  <c r="X16" i="1"/>
  <c r="W16" i="1"/>
  <c r="W4" i="1"/>
  <c r="V4" i="1"/>
  <c r="X4" i="1"/>
  <c r="X9" i="1"/>
  <c r="W9" i="1"/>
  <c r="W51" i="1"/>
  <c r="V51" i="1"/>
  <c r="X51" i="1"/>
  <c r="X48" i="1"/>
  <c r="W48" i="1"/>
  <c r="X42" i="1"/>
  <c r="W42" i="1"/>
  <c r="V6" i="1"/>
  <c r="X6" i="1"/>
  <c r="W6" i="1"/>
  <c r="W55" i="1"/>
  <c r="V55" i="1"/>
  <c r="X55" i="1"/>
  <c r="X81" i="1"/>
  <c r="W81" i="1"/>
  <c r="V81" i="1"/>
  <c r="V79" i="1"/>
  <c r="X79" i="1"/>
  <c r="W79" i="1"/>
  <c r="V78" i="1"/>
  <c r="W78" i="1"/>
  <c r="X78" i="1"/>
  <c r="V73" i="1"/>
  <c r="W73" i="1"/>
  <c r="X73" i="1"/>
  <c r="X71" i="1"/>
  <c r="V71" i="1"/>
  <c r="W71" i="1"/>
  <c r="X63" i="1"/>
  <c r="W63" i="1"/>
  <c r="V63" i="1"/>
  <c r="X72" i="1"/>
  <c r="W72" i="1"/>
  <c r="V72" i="1"/>
  <c r="V85" i="1"/>
  <c r="X85" i="1"/>
  <c r="W85" i="1"/>
  <c r="V82" i="1"/>
  <c r="W82" i="1"/>
  <c r="X82" i="1"/>
  <c r="X80" i="1"/>
  <c r="V80" i="1"/>
  <c r="W80" i="1"/>
  <c r="V8" i="1"/>
  <c r="X8" i="1"/>
  <c r="X30" i="1"/>
  <c r="W30" i="1"/>
  <c r="X3" i="1"/>
  <c r="W3" i="1"/>
  <c r="V3" i="1"/>
  <c r="W49" i="1"/>
  <c r="X49" i="1"/>
  <c r="W32" i="1"/>
  <c r="V32" i="1"/>
  <c r="X32" i="1"/>
  <c r="W41" i="1"/>
  <c r="X41" i="1"/>
  <c r="V2" i="1"/>
  <c r="W2" i="1"/>
  <c r="X2" i="1"/>
  <c r="X34" i="1"/>
  <c r="W34" i="1"/>
  <c r="X37" i="1"/>
  <c r="W37" i="1"/>
  <c r="V37" i="1"/>
  <c r="W54" i="1"/>
  <c r="V54" i="1"/>
  <c r="X54" i="1"/>
  <c r="W86" i="1"/>
  <c r="X86" i="1"/>
  <c r="V86" i="1"/>
  <c r="V83" i="1"/>
  <c r="X83" i="1"/>
  <c r="W83" i="1"/>
  <c r="V70" i="1"/>
  <c r="X70" i="1"/>
  <c r="W70" i="1"/>
  <c r="W69" i="1"/>
  <c r="V69" i="1"/>
  <c r="X69" i="1"/>
  <c r="W68" i="1"/>
  <c r="V68" i="1"/>
  <c r="X68" i="1"/>
  <c r="W67" i="1"/>
  <c r="X67" i="1"/>
  <c r="V67" i="1"/>
  <c r="V66" i="1"/>
  <c r="X66" i="1"/>
  <c r="W66" i="1"/>
  <c r="X65" i="1"/>
  <c r="W65" i="1"/>
  <c r="V65" i="1"/>
  <c r="W64" i="1"/>
  <c r="X64" i="1"/>
  <c r="V64" i="1"/>
  <c r="X62" i="1"/>
  <c r="V62" i="1"/>
  <c r="W62" i="1"/>
  <c r="W61" i="1"/>
  <c r="V61" i="1"/>
  <c r="X61" i="1"/>
  <c r="W59" i="1"/>
  <c r="X59" i="1"/>
  <c r="V59" i="1"/>
  <c r="X57" i="1"/>
  <c r="V57" i="1"/>
  <c r="W57" i="1"/>
  <c r="V28" i="1"/>
  <c r="W28" i="1"/>
  <c r="X60" i="1"/>
  <c r="W60" i="1"/>
  <c r="V60" i="1"/>
  <c r="V45" i="1"/>
  <c r="W4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A19ED5-4ADF-406A-BC8F-288DE624F403}" keepAlive="1" name="Query - ipc_count" description="Connection to the 'ipc_count' query in the workbook." type="5" refreshedVersion="8" background="1" saveData="1">
    <dbPr connection="Provider=Microsoft.Mashup.OleDb.1;Data Source=$Workbook$;Location=ipc_count;Extended Properties=&quot;&quot;" command="SELECT * FROM [ipc_coun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<sst xmlns="http://schemas.openxmlformats.org/spreadsheetml/2006/main" count="1133" uniqueCount="468">
  <si>
    <t>#</t>
  </si>
  <si>
    <t>Contract no</t>
  </si>
  <si>
    <t>Record sheet given</t>
  </si>
  <si>
    <t>Record sheet received</t>
  </si>
  <si>
    <t>KLN-SPP2-CW-011</t>
  </si>
  <si>
    <t>KLN-SPP2-EQ-014</t>
  </si>
  <si>
    <t>KLN-SPP2-AA-030</t>
  </si>
  <si>
    <t>KLN-SPP2-AA-031</t>
  </si>
  <si>
    <t>KLN-SPP2-AA-033</t>
  </si>
  <si>
    <t>KLN-SPP2-EQ-046</t>
  </si>
  <si>
    <t>KLN-SPP2-EQ-050</t>
  </si>
  <si>
    <t>KLN-SPP2-EQ-051</t>
  </si>
  <si>
    <t>KLN-SPP2-EQ-052</t>
  </si>
  <si>
    <t>KLN-SPP2-EQ-065</t>
  </si>
  <si>
    <t>KLN-SPP2-EQ-085</t>
  </si>
  <si>
    <t>KLN-SPP2-EQ-091</t>
  </si>
  <si>
    <t>KLN-SPP2-EQ-094</t>
  </si>
  <si>
    <t>KLN-SPP2-EQ-095</t>
  </si>
  <si>
    <t>KLN-SPP2-EQ-098</t>
  </si>
  <si>
    <t>KLN-SPP2-EQ-099</t>
  </si>
  <si>
    <t>KLN-SPP2-EQ-100</t>
  </si>
  <si>
    <t>KLN-SPP2-EQ-102</t>
  </si>
  <si>
    <t>KLN-SPP2-QM-103</t>
  </si>
  <si>
    <t>KLN-SPP2-QM-107</t>
  </si>
  <si>
    <t>KLN-SPP2-EQ-110</t>
  </si>
  <si>
    <t>KLN-SPP2-EQ-115</t>
  </si>
  <si>
    <t>KLN-SPP2-EQ-121</t>
  </si>
  <si>
    <t>KLN-SPP2-FW-124</t>
  </si>
  <si>
    <t>NAR TRANSPORT SERVICES MMC</t>
  </si>
  <si>
    <t>AKKOL HAZIR YEMEK SAN. TIC. AS</t>
  </si>
  <si>
    <t>CASPIAN ENGINEERING MMC</t>
  </si>
  <si>
    <t>HILAL LTD MMC</t>
  </si>
  <si>
    <t>LOFT CONSTRUCTION</t>
  </si>
  <si>
    <t>INTERMAK GROUP MMC</t>
  </si>
  <si>
    <t>DTS MMC</t>
  </si>
  <si>
    <t>ETIBAR MAMMADOV</t>
  </si>
  <si>
    <t>BABEK ALBANDOV</t>
  </si>
  <si>
    <t>ELSAD QULIYEV</t>
  </si>
  <si>
    <t>XANIM ABDULLAYEVA</t>
  </si>
  <si>
    <t>IBRAHIM XALILOV</t>
  </si>
  <si>
    <t>HACIAGA KERIMOV</t>
  </si>
  <si>
    <t>YUSIF MAHARRAMOV</t>
  </si>
  <si>
    <t>RUSLAN HUSEYINOV</t>
  </si>
  <si>
    <t>KONUL HUSEYNOVA</t>
  </si>
  <si>
    <t>MAMMAD QALANDARLI</t>
  </si>
  <si>
    <t>GULANA HUSEYNOVA</t>
  </si>
  <si>
    <t>TEYMUR ABBASOV</t>
  </si>
  <si>
    <t>QAFQAZ AZE MMC</t>
  </si>
  <si>
    <t>BUREAU VERITAS AZERI MMC</t>
  </si>
  <si>
    <t>QUALIFY MMC</t>
  </si>
  <si>
    <t>Title</t>
  </si>
  <si>
    <t>Item no</t>
  </si>
  <si>
    <t>10AB468</t>
  </si>
  <si>
    <t>110FY523-N</t>
  </si>
  <si>
    <t>10AD801-D</t>
  </si>
  <si>
    <t>10AD801-N</t>
  </si>
  <si>
    <t>110FY523-D</t>
  </si>
  <si>
    <t>110FY524-D</t>
  </si>
  <si>
    <t>110FY524-N</t>
  </si>
  <si>
    <t>99HQ687</t>
  </si>
  <si>
    <t>01BT754</t>
  </si>
  <si>
    <t>54BM823</t>
  </si>
  <si>
    <t>01BA176</t>
  </si>
  <si>
    <t>10BD252</t>
  </si>
  <si>
    <t>10MF640</t>
  </si>
  <si>
    <t>\\DATA\DataServer\Teknik Ofis\00_SPP2 Taseron Sozlesmeleri\</t>
  </si>
  <si>
    <t>014_Hilal Ltd</t>
  </si>
  <si>
    <t>011_Caspian Engineering</t>
  </si>
  <si>
    <t>124_Qafqaz AZE  İnşaat (Finishing Works)</t>
  </si>
  <si>
    <t>121_Abbasov Teymur</t>
  </si>
  <si>
    <t>115_Gülanə Hüseynova</t>
  </si>
  <si>
    <t>110_Qalandarli Mammad</t>
  </si>
  <si>
    <t>107_Qualify</t>
  </si>
  <si>
    <t>103_Büro Veritas Azeri MMC</t>
  </si>
  <si>
    <t>102_Huseynova Konul</t>
  </si>
  <si>
    <t>100_Hüseyinov Ruslan</t>
  </si>
  <si>
    <t>099_Maharramov Yusif Qurban oğlu</t>
  </si>
  <si>
    <t>098_Kərimov Hacıağa</t>
  </si>
  <si>
    <t>095_Xəlilov İbrahim</t>
  </si>
  <si>
    <t>094_Abdullayeva Xanım (Rasim)</t>
  </si>
  <si>
    <t>091_Quliyev Elşad Ramis</t>
  </si>
  <si>
    <t>085_Babek Albandov</t>
  </si>
  <si>
    <t>065_Etibar Mammadov</t>
  </si>
  <si>
    <t>052_DTS</t>
  </si>
  <si>
    <t>051_Intermak Group</t>
  </si>
  <si>
    <t>050_Loft Construction</t>
  </si>
  <si>
    <t>046_Hardcore Equipment</t>
  </si>
  <si>
    <t>033_Akkol Hazir Yemek</t>
  </si>
  <si>
    <t>031_Nar Transport_Services</t>
  </si>
  <si>
    <t>030_Nar Transport_Ambulance</t>
  </si>
  <si>
    <t>Folder Name</t>
  </si>
  <si>
    <t>Folder</t>
  </si>
  <si>
    <t>99AS882</t>
  </si>
  <si>
    <t>99JE233</t>
  </si>
  <si>
    <t>Contract ID</t>
  </si>
  <si>
    <t>61AB256</t>
  </si>
  <si>
    <t>10BA194</t>
  </si>
  <si>
    <t>10BA857</t>
  </si>
  <si>
    <t>10AC750</t>
  </si>
  <si>
    <t>10BC326</t>
  </si>
  <si>
    <t>77SN951</t>
  </si>
  <si>
    <t>90VJ454</t>
  </si>
  <si>
    <t>54BA209</t>
  </si>
  <si>
    <t>50BD416</t>
  </si>
  <si>
    <t>50BX301</t>
  </si>
  <si>
    <t>22AB273</t>
  </si>
  <si>
    <t>99XC106</t>
  </si>
  <si>
    <t>Status</t>
  </si>
  <si>
    <t>Active</t>
  </si>
  <si>
    <t>EB</t>
  </si>
  <si>
    <t>Department</t>
  </si>
  <si>
    <t>Employee</t>
  </si>
  <si>
    <t>Calculate</t>
  </si>
  <si>
    <t>Amount log</t>
  </si>
  <si>
    <t>Discipline signature</t>
  </si>
  <si>
    <t>Earthworks</t>
  </si>
  <si>
    <t>QA/QC</t>
  </si>
  <si>
    <t>Workshop</t>
  </si>
  <si>
    <t>Administration</t>
  </si>
  <si>
    <t>HSE</t>
  </si>
  <si>
    <t>HARDCORE CE MMC</t>
  </si>
  <si>
    <t>11BC843</t>
  </si>
  <si>
    <t>Subc. Signature</t>
  </si>
  <si>
    <t>Brand/Model</t>
  </si>
  <si>
    <t>Hitachi ZX48U-3</t>
  </si>
  <si>
    <t>Hidromek HMK 200W-2</t>
  </si>
  <si>
    <t>Liugong CLG 375A</t>
  </si>
  <si>
    <t>Loader</t>
  </si>
  <si>
    <t>Type</t>
  </si>
  <si>
    <t>Doosan DH55-V</t>
  </si>
  <si>
    <t>Excavator</t>
  </si>
  <si>
    <t>Luigong GLG 4215D</t>
  </si>
  <si>
    <t>Printed</t>
  </si>
  <si>
    <t>IPC chief signature</t>
  </si>
  <si>
    <t>PM signature</t>
  </si>
  <si>
    <t>TO chief signature</t>
  </si>
  <si>
    <t>IPC pdf</t>
  </si>
  <si>
    <t>IPC's</t>
  </si>
  <si>
    <t>Subcontractor contracts folder path</t>
  </si>
  <si>
    <t>Deputy PM signature</t>
  </si>
  <si>
    <t>Site Manager</t>
  </si>
  <si>
    <t>Cover to Bookkeeper</t>
  </si>
  <si>
    <t>Plate no</t>
  </si>
  <si>
    <t>Notes</t>
  </si>
  <si>
    <t>KLN-SPP2-EQ-141</t>
  </si>
  <si>
    <t>MIRELEM CABBROV</t>
  </si>
  <si>
    <t>141_Cabbarov Mirelem_(Asfalt Silindir)</t>
  </si>
  <si>
    <t>BOMAG BW-141AD-4</t>
  </si>
  <si>
    <t>10V288</t>
  </si>
  <si>
    <t>Quality test</t>
  </si>
  <si>
    <t>Roller</t>
  </si>
  <si>
    <t>Excovator</t>
  </si>
  <si>
    <t xml:space="preserve">Technical Office Cheif </t>
  </si>
  <si>
    <t>Position</t>
  </si>
  <si>
    <t>Technical Office Cheif 
Texniki Şöbə Şefi</t>
  </si>
  <si>
    <t>Name Surname</t>
  </si>
  <si>
    <t>Mehmet Özgün DEDEKARGINOĞLU</t>
  </si>
  <si>
    <t>Cell name</t>
  </si>
  <si>
    <t>IPC # to open</t>
  </si>
  <si>
    <t>Last IPC #</t>
  </si>
  <si>
    <t xml:space="preserve">Notes </t>
  </si>
  <si>
    <t>Kəsinti notlarının detallarını yaz</t>
  </si>
  <si>
    <t>Site Manager
Sahə Rəhbəri</t>
  </si>
  <si>
    <t>Turgut BAL</t>
  </si>
  <si>
    <t>KLN-SPP2-CW-150</t>
  </si>
  <si>
    <t>AS RT MMC</t>
  </si>
  <si>
    <t>150_AS RT MMC</t>
  </si>
  <si>
    <t>Log</t>
  </si>
  <si>
    <t>Sent</t>
  </si>
  <si>
    <t>contract no S1&amp;2</t>
  </si>
  <si>
    <t>Contract order no</t>
  </si>
  <si>
    <t>Month</t>
  </si>
  <si>
    <t>Year</t>
  </si>
  <si>
    <t>Markası/Modeli</t>
  </si>
  <si>
    <t>Plakası</t>
  </si>
  <si>
    <t>Araç Sahibi</t>
  </si>
  <si>
    <t>Tel</t>
  </si>
  <si>
    <t>Ertuğ Kuban</t>
  </si>
  <si>
    <t>Uygulama AYI</t>
  </si>
  <si>
    <t>Gün</t>
  </si>
  <si>
    <t>Km Başı</t>
  </si>
  <si>
    <t>Km Sonu</t>
  </si>
  <si>
    <t>Sarf km</t>
  </si>
  <si>
    <t>Baş. Saati</t>
  </si>
  <si>
    <t>Bitiş Saati</t>
  </si>
  <si>
    <t>ƏLAVƏ
İŞ / SAAT</t>
  </si>
  <si>
    <t xml:space="preserve">Yakıt </t>
  </si>
  <si>
    <t>İmza</t>
  </si>
  <si>
    <t>Notlar</t>
  </si>
  <si>
    <t>ADI</t>
  </si>
  <si>
    <t>İMZA</t>
  </si>
  <si>
    <t>Kolin İnşaat</t>
  </si>
  <si>
    <t>Rough Works</t>
  </si>
  <si>
    <t>Warehouse</t>
  </si>
  <si>
    <t>Hakan Alkan</t>
  </si>
  <si>
    <t>Ibrahim Akgün</t>
  </si>
  <si>
    <t>Ibrahim Kemik</t>
  </si>
  <si>
    <t>Barış Gültekin</t>
  </si>
  <si>
    <t>Mesut Fırat</t>
  </si>
  <si>
    <t>Nurettin Biçer</t>
  </si>
  <si>
    <t>Record no</t>
  </si>
  <si>
    <t>yanvar</t>
  </si>
  <si>
    <t>fevral</t>
  </si>
  <si>
    <t>mart</t>
  </si>
  <si>
    <t>aprel</t>
  </si>
  <si>
    <t>may</t>
  </si>
  <si>
    <t>iyun</t>
  </si>
  <si>
    <t>iyul</t>
  </si>
  <si>
    <t>avqust</t>
  </si>
  <si>
    <t>sentyabr</t>
  </si>
  <si>
    <t>oktyabr</t>
  </si>
  <si>
    <t>noyabr</t>
  </si>
  <si>
    <t>dekabr</t>
  </si>
  <si>
    <t>TƏRƏFLƏR</t>
  </si>
  <si>
    <t>VƏZİFƏ</t>
  </si>
  <si>
    <t>Vəzifəsi</t>
  </si>
  <si>
    <t>İdari işler müdürü</t>
  </si>
  <si>
    <t>Toprak işleri şefi</t>
  </si>
  <si>
    <t>Kaba işler şefi</t>
  </si>
  <si>
    <t>Ambar şefi</t>
  </si>
  <si>
    <t>Dilaver Türk</t>
  </si>
  <si>
    <t>İSG Şefi</t>
  </si>
  <si>
    <t>Alt yapı ve Harita şefi</t>
  </si>
  <si>
    <t>Kalite Kontrok Şefi</t>
  </si>
  <si>
    <t>Atölye şefi</t>
  </si>
  <si>
    <t>Kontrat no</t>
  </si>
  <si>
    <t>Növbə</t>
  </si>
  <si>
    <t xml:space="preserve">Telehandler </t>
  </si>
  <si>
    <t xml:space="preserve">Manito 1740 </t>
  </si>
  <si>
    <t>x</t>
  </si>
  <si>
    <t/>
  </si>
  <si>
    <t>Call</t>
  </si>
  <si>
    <t>contract scan</t>
  </si>
  <si>
    <t>+994506142283</t>
  </si>
  <si>
    <t>+994502459043</t>
  </si>
  <si>
    <t>DİQQƏT!!! TOPLAM GÜN VƏ ƏLAVƏ SAAT MİQDARI MÜTLƏQ QEYD EDİLMƏLİDİR</t>
  </si>
  <si>
    <t>+994517928522</t>
  </si>
  <si>
    <t>+994514299334</t>
  </si>
  <si>
    <t>+994703775515</t>
  </si>
  <si>
    <t>+994503774242</t>
  </si>
  <si>
    <t>+994102305309</t>
  </si>
  <si>
    <t>+994555923919</t>
  </si>
  <si>
    <t>+994773389192</t>
  </si>
  <si>
    <t>+994515992662</t>
  </si>
  <si>
    <t>+994502324211</t>
  </si>
  <si>
    <t>+994503466032</t>
  </si>
  <si>
    <t>+994552212085</t>
  </si>
  <si>
    <t>+994708207470</t>
  </si>
  <si>
    <t>+994502490088</t>
  </si>
  <si>
    <t>+994503851015</t>
  </si>
  <si>
    <t>+994503462100</t>
  </si>
  <si>
    <t>Mehdiyeva Səadət</t>
  </si>
  <si>
    <t>Doosan Solar 210-W-V lastikli ekskavatör</t>
  </si>
  <si>
    <t>KLN-SPP2-EQ-117</t>
  </si>
  <si>
    <t>117_Mehdiyeva Səadət</t>
  </si>
  <si>
    <t>DY</t>
  </si>
  <si>
    <t>10BA480</t>
  </si>
  <si>
    <t>Mini loader</t>
  </si>
  <si>
    <t>10AD015</t>
  </si>
  <si>
    <t>CAT CS 56B Vərdənə</t>
  </si>
  <si>
    <t>Hyundai R380LC-9SH</t>
  </si>
  <si>
    <t>IPC №</t>
  </si>
  <si>
    <t>+994776371714</t>
  </si>
  <si>
    <t>10AD071</t>
  </si>
  <si>
    <t>KLN-SPP2-EQ-163</t>
  </si>
  <si>
    <t>Əsgərov Yaşar</t>
  </si>
  <si>
    <t>163_Əsgərov Yaşar</t>
  </si>
  <si>
    <t>+994558864957</t>
  </si>
  <si>
    <t>110FA930</t>
  </si>
  <si>
    <t>Bekoloader</t>
  </si>
  <si>
    <t>Komatsu</t>
  </si>
  <si>
    <t>KLN-SPP2-EQ-164</t>
  </si>
  <si>
    <t>164_Əliyev Fizuli</t>
  </si>
  <si>
    <t>Əliyev Fizuli</t>
  </si>
  <si>
    <t>77DN323</t>
  </si>
  <si>
    <t>MERCEDES BENZ ACTROS 4141</t>
  </si>
  <si>
    <t>+994555711494</t>
  </si>
  <si>
    <t>Bobcat S450</t>
  </si>
  <si>
    <t>KLN-SPP2-EQ-172</t>
  </si>
  <si>
    <t>Mahmudov Rüstəm</t>
  </si>
  <si>
    <t>22T727</t>
  </si>
  <si>
    <t>NEW HOLLAND E35B SR</t>
  </si>
  <si>
    <t>172_Mahmudov Rüstəm</t>
  </si>
  <si>
    <t>KLN-SPP2-EQ-173</t>
  </si>
  <si>
    <t>Hüseynov Pərviz</t>
  </si>
  <si>
    <t>+994556519191</t>
  </si>
  <si>
    <t>99BQ963</t>
  </si>
  <si>
    <t>DONG FENG DFL 1120B13</t>
  </si>
  <si>
    <t>173_Hüseynov Pərviz</t>
  </si>
  <si>
    <t xml:space="preserve">Mantall </t>
  </si>
  <si>
    <t>Qayçılı səbət</t>
  </si>
  <si>
    <t>çıxış</t>
  </si>
  <si>
    <t>WP</t>
  </si>
  <si>
    <t>CƏMİ TƏK:</t>
  </si>
  <si>
    <t>CƏMİ CÜT:</t>
  </si>
  <si>
    <t>CƏM SAAT:</t>
  </si>
  <si>
    <t>22AB283</t>
  </si>
  <si>
    <t>AUSA  MH 15</t>
  </si>
  <si>
    <t>XE120W</t>
  </si>
  <si>
    <t>XE160W</t>
  </si>
  <si>
    <t>CEPT1212</t>
  </si>
  <si>
    <t>KLN-SPP2-EQ-182</t>
  </si>
  <si>
    <t>+994772954541</t>
  </si>
  <si>
    <t>77VS178</t>
  </si>
  <si>
    <t>77MD834</t>
  </si>
  <si>
    <t>90GG153</t>
  </si>
  <si>
    <t>Vinç sepet</t>
  </si>
  <si>
    <t>Mustafa Yazıcı</t>
  </si>
  <si>
    <t>Vinç/Sepet sorumlusu</t>
  </si>
  <si>
    <t>Record person</t>
  </si>
  <si>
    <t>Tuncay Aktaş</t>
  </si>
  <si>
    <t>İbrahim Kemik</t>
  </si>
  <si>
    <t>Sadık Boz</t>
  </si>
  <si>
    <t>Tolga Mutlu</t>
  </si>
  <si>
    <t>Cəsur</t>
  </si>
  <si>
    <t>-</t>
  </si>
  <si>
    <t>182_Rüstəmov Sakit</t>
  </si>
  <si>
    <t>Rüstəmov Sakit</t>
  </si>
  <si>
    <t>Avtosəbət</t>
  </si>
  <si>
    <t>HYUNDAI, HD78</t>
  </si>
  <si>
    <t>MAN, TGL 8.240 4X2BL</t>
  </si>
  <si>
    <t>Azər Əbilov</t>
  </si>
  <si>
    <t xml:space="preserve"> </t>
  </si>
  <si>
    <t>Stamp</t>
  </si>
  <si>
    <t>+994555155362</t>
  </si>
  <si>
    <t>Foldering</t>
  </si>
  <si>
    <t>Mercedes-Benz Actros 3341 Putzmeister 38</t>
  </si>
  <si>
    <t>Kamaz 53-12 Ş-DƏ ATS-3613</t>
  </si>
  <si>
    <t>KAMAZ 5410</t>
  </si>
  <si>
    <t>Dartıcı</t>
  </si>
  <si>
    <t>Su tankeri</t>
  </si>
  <si>
    <t>Ekskavator</t>
  </si>
  <si>
    <t>MERCEDES BENZ YÜK Hi-up</t>
  </si>
  <si>
    <t>Kran</t>
  </si>
  <si>
    <t>KAMAZ 55111</t>
  </si>
  <si>
    <t>KAMAZ</t>
  </si>
  <si>
    <t>ISUZU NPR66</t>
  </si>
  <si>
    <t>Qreyder</t>
  </si>
  <si>
    <t>Beton nasosu</t>
  </si>
  <si>
    <t>Mobil beton nasosu</t>
  </si>
  <si>
    <t>+994559997804</t>
  </si>
  <si>
    <t>KLN-SPP2-CW-007</t>
  </si>
  <si>
    <t>KLN-SPP2-AA-017</t>
  </si>
  <si>
    <t>KLN-SPP2-AA-020</t>
  </si>
  <si>
    <t>KLN-SPP2-EQ-039</t>
  </si>
  <si>
    <t>KLN-SPP2-EQ-066</t>
  </si>
  <si>
    <t>KLN-SPP2-HSE-082</t>
  </si>
  <si>
    <t>KLN-SPP2-AA-088</t>
  </si>
  <si>
    <t>KLN-SPP2-EQ-092</t>
  </si>
  <si>
    <t>KLN-SPP2-EQ-096</t>
  </si>
  <si>
    <t>KLN-SPP2-EQ-097</t>
  </si>
  <si>
    <t>KLN-SPP2-AA-104</t>
  </si>
  <si>
    <t>KLN-SPP2-AA-105</t>
  </si>
  <si>
    <t>KLN-SPP2-CW-106</t>
  </si>
  <si>
    <t>KLN-SPP2-AA-116</t>
  </si>
  <si>
    <t>KLN-SPP2-AA-118</t>
  </si>
  <si>
    <t>KLN-SPP2-EQ-119</t>
  </si>
  <si>
    <t>KLN-SPP2-AR-130</t>
  </si>
  <si>
    <t>KLN-SPP2-CW-132</t>
  </si>
  <si>
    <t>KLN-SPP2-CW-143</t>
  </si>
  <si>
    <t>KLN-SPP2-AA-145</t>
  </si>
  <si>
    <t>KLN-SPP2-AA-152</t>
  </si>
  <si>
    <t>KLN-SPP2-EQ-162</t>
  </si>
  <si>
    <t>KLN-SPP2-AA-169</t>
  </si>
  <si>
    <t>KLN-SPP2-EQ-178</t>
  </si>
  <si>
    <t>RAMIL SAFAROV</t>
  </si>
  <si>
    <t>VUSAL NACAFOV</t>
  </si>
  <si>
    <t>TORNADO-SH MMM</t>
  </si>
  <si>
    <t>TRANSTONE MMC</t>
  </si>
  <si>
    <t>QURBANALI AHMADOV</t>
  </si>
  <si>
    <t>CERTIX CONSULTING</t>
  </si>
  <si>
    <t>NOFEL MAMMADOV</t>
  </si>
  <si>
    <t>IRAC BAGIYEV</t>
  </si>
  <si>
    <t>HEALTH SAFETY SYSTEMS</t>
  </si>
  <si>
    <t>SAXAVAT IBRAHIMOV</t>
  </si>
  <si>
    <t>TRANS SERVIVE GROUP MMC</t>
  </si>
  <si>
    <t>ELLOG MMC</t>
  </si>
  <si>
    <t>ZETAS YAPI AS</t>
  </si>
  <si>
    <t>ICM CONSULTING</t>
  </si>
  <si>
    <t>NAR KRAN MMC</t>
  </si>
  <si>
    <t>LETON HANGAR DOORS MMC</t>
  </si>
  <si>
    <t>CASPIAN INSPECTION COMPANY MMC</t>
  </si>
  <si>
    <t>ASTECHNIC MMC</t>
  </si>
  <si>
    <t>GEOID MMC</t>
  </si>
  <si>
    <t>RUSTEM HASIMOV</t>
  </si>
  <si>
    <t>OSMAN BEDIR</t>
  </si>
  <si>
    <t>GREENDEZ</t>
  </si>
  <si>
    <t>CASPIAN SERVICES GROUP</t>
  </si>
  <si>
    <t>Transportation</t>
  </si>
  <si>
    <t>Waste Water Management</t>
  </si>
  <si>
    <t>Security</t>
  </si>
  <si>
    <t>Rental Manlift</t>
  </si>
  <si>
    <t>HSE Training</t>
  </si>
  <si>
    <t>Rental Total Station</t>
  </si>
  <si>
    <t>Scaffolding</t>
  </si>
  <si>
    <t>Rental Water Tanker</t>
  </si>
  <si>
    <t>Fire Painting on Structural Steel</t>
  </si>
  <si>
    <t>Contract&amp;Claim Consulting</t>
  </si>
  <si>
    <t>Ex-Proof Doors</t>
  </si>
  <si>
    <t>Tests</t>
  </si>
  <si>
    <t>Civil (Paving) Works</t>
  </si>
  <si>
    <t>Aeropictures of field</t>
  </si>
  <si>
    <t>Rental Concrete Pump</t>
  </si>
  <si>
    <t>Rental Hi-Up</t>
  </si>
  <si>
    <t>Disinfection</t>
  </si>
  <si>
    <t>Crane</t>
  </si>
  <si>
    <t>TIR</t>
  </si>
  <si>
    <t xml:space="preserve">WIELTON NS34S TIR </t>
  </si>
  <si>
    <t>007_Ramil Safarov</t>
  </si>
  <si>
    <t>017_Vusal Nacafov</t>
  </si>
  <si>
    <t>020_Tornado-SH</t>
  </si>
  <si>
    <t>039_Transtone</t>
  </si>
  <si>
    <t>066_Qurbanali Ahmadov</t>
  </si>
  <si>
    <t>082_Certix Consulting</t>
  </si>
  <si>
    <t>088_Nofel Mammadov</t>
  </si>
  <si>
    <t>092_İrac Bağıyev</t>
  </si>
  <si>
    <t>096_HSS</t>
  </si>
  <si>
    <t>097_İbrahimov Səxavət</t>
  </si>
  <si>
    <t>104_Trans Service Group</t>
  </si>
  <si>
    <t>105_Ellog MMC</t>
  </si>
  <si>
    <t>106_Zetas Yapi</t>
  </si>
  <si>
    <t>116_ICM</t>
  </si>
  <si>
    <t>118_Transtone Taşıma</t>
  </si>
  <si>
    <t>119_NAR KRAN MMC</t>
  </si>
  <si>
    <t>130_Leton Hangar Doors</t>
  </si>
  <si>
    <t>132_Caspian Inspection Company</t>
  </si>
  <si>
    <t>143_Astechnic MMC</t>
  </si>
  <si>
    <t>145_Geoid</t>
  </si>
  <si>
    <t>152_Rüstem Haşimov</t>
  </si>
  <si>
    <t>162_Osman Bedir</t>
  </si>
  <si>
    <t>169_Greendez</t>
  </si>
  <si>
    <t>178_ Caspian Services Group</t>
  </si>
  <si>
    <t>50T742</t>
  </si>
  <si>
    <t>99LZ181</t>
  </si>
  <si>
    <t>CİFA PC907</t>
  </si>
  <si>
    <t>77JD181</t>
  </si>
  <si>
    <t>110FC382</t>
  </si>
  <si>
    <t>110FF102</t>
  </si>
  <si>
    <t>Telescopic loader</t>
  </si>
  <si>
    <t>22BA318</t>
  </si>
  <si>
    <t>Forklift</t>
  </si>
  <si>
    <t>+</t>
  </si>
  <si>
    <t>KLN-SPP2-EQ-179</t>
  </si>
  <si>
    <t>INFRACON</t>
  </si>
  <si>
    <t>10O046</t>
  </si>
  <si>
    <t>CAT 428F CRS70595</t>
  </si>
  <si>
    <t>Electrical</t>
  </si>
  <si>
    <t>179_INFRACON</t>
  </si>
  <si>
    <t>Elektrik Department</t>
  </si>
  <si>
    <t>Burak Papila</t>
  </si>
  <si>
    <t>Infrastructure</t>
  </si>
  <si>
    <t>99XQ714</t>
  </si>
  <si>
    <t>'+994502424644</t>
  </si>
  <si>
    <t>+994554528304</t>
  </si>
  <si>
    <t>+994502712731</t>
  </si>
  <si>
    <t>+994512449400</t>
  </si>
  <si>
    <t>+994552551010</t>
  </si>
  <si>
    <t>+994502327720</t>
  </si>
  <si>
    <t>50T610</t>
  </si>
  <si>
    <t>99DX853</t>
  </si>
  <si>
    <t>RUSLAN HUSEYNOV</t>
  </si>
  <si>
    <t>Manlift</t>
  </si>
  <si>
    <t>Fit-out works</t>
  </si>
  <si>
    <t>İnce işler şefi</t>
  </si>
  <si>
    <t>İrfan Karakaya</t>
  </si>
  <si>
    <t>Taşefon sorumlusu</t>
  </si>
  <si>
    <t>Yetkili formen</t>
  </si>
  <si>
    <t>Rough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</si>
</sst>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2C]\ mmmm\ yyyy;@"/>
    <numFmt numFmtId="165" formatCode="000\ \K\m"/>
    <numFmt numFmtId="166" formatCode="0.0\ &quot;sa&quot;"/>
    <numFmt numFmtId="167" formatCode="#,##0.00\ &quot;lt&quot;"/>
    <numFmt numFmtId="168" formatCode="#,##0;[Red]#,##0"/>
    <numFmt numFmtId="169" formatCode="#,##0.0"/>
    <numFmt numFmtId="170" formatCode="#,##0.00\ &quot;gün&quot;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Tur"/>
      <charset val="162"/>
    </font>
    <font>
      <sz val="10"/>
      <name val="AvantGarde Md BT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8"/>
      <name val="Calibri"/>
      <family val="2"/>
      <charset val="162"/>
      <scheme val="minor"/>
    </font>
    <font>
      <b/>
      <sz val="16"/>
      <name val="Arial"/>
      <family val="2"/>
      <charset val="204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charset val="162"/>
    </font>
    <font>
      <b/>
      <sz val="16"/>
      <name val="Calibri"/>
      <family val="2"/>
      <charset val="204"/>
    </font>
    <font>
      <b/>
      <sz val="16"/>
      <name val="Calibri"/>
      <family val="2"/>
      <charset val="204"/>
      <scheme val="minor"/>
    </font>
    <font>
      <b/>
      <sz val="16"/>
      <name val="Arial"/>
      <family val="2"/>
      <charset val="16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</font>
    <font>
      <b/>
      <sz val="2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7" fillId="0" borderId="0"/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top" textRotation="90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8" fillId="3" borderId="0" xfId="3" applyFont="1" applyFill="1" applyAlignment="1">
      <alignment vertical="center" wrapText="1"/>
    </xf>
    <xf numFmtId="0" fontId="8" fillId="3" borderId="0" xfId="3" applyFont="1" applyFill="1" applyAlignment="1">
      <alignment vertical="center"/>
    </xf>
    <xf numFmtId="0" fontId="8" fillId="3" borderId="3" xfId="3" applyFont="1" applyFill="1" applyBorder="1" applyAlignment="1">
      <alignment vertical="center"/>
    </xf>
    <xf numFmtId="0" fontId="9" fillId="3" borderId="4" xfId="3" applyFont="1" applyFill="1" applyBorder="1" applyAlignment="1">
      <alignment horizontal="left" vertical="center" wrapText="1"/>
    </xf>
    <xf numFmtId="0" fontId="9" fillId="3" borderId="4" xfId="3" applyFont="1" applyFill="1" applyBorder="1" applyAlignment="1">
      <alignment horizontal="left" vertical="center"/>
    </xf>
    <xf numFmtId="0" fontId="11" fillId="4" borderId="7" xfId="6" applyFont="1" applyFill="1" applyBorder="1" applyAlignment="1">
      <alignment horizontal="center" vertical="center" wrapText="1"/>
    </xf>
    <xf numFmtId="0" fontId="11" fillId="4" borderId="8" xfId="6" applyFont="1" applyFill="1" applyBorder="1" applyAlignment="1">
      <alignment horizontal="center" vertical="center" wrapText="1"/>
    </xf>
    <xf numFmtId="0" fontId="11" fillId="4" borderId="9" xfId="6" applyFont="1" applyFill="1" applyBorder="1" applyAlignment="1">
      <alignment horizontal="center" vertical="center" wrapText="1"/>
    </xf>
    <xf numFmtId="0" fontId="11" fillId="4" borderId="10" xfId="6" applyFont="1" applyFill="1" applyBorder="1" applyAlignment="1">
      <alignment horizontal="center" vertical="center" wrapText="1"/>
    </xf>
    <xf numFmtId="0" fontId="12" fillId="0" borderId="11" xfId="6" applyFont="1" applyBorder="1" applyAlignment="1">
      <alignment horizontal="center" vertical="center"/>
    </xf>
    <xf numFmtId="1" fontId="13" fillId="0" borderId="12" xfId="7" applyNumberFormat="1" applyFont="1" applyBorder="1" applyAlignment="1">
      <alignment horizontal="center" vertical="center"/>
    </xf>
    <xf numFmtId="165" fontId="12" fillId="0" borderId="12" xfId="7" applyNumberFormat="1" applyFont="1" applyBorder="1" applyAlignment="1">
      <alignment horizontal="center" vertical="center"/>
    </xf>
    <xf numFmtId="20" fontId="12" fillId="0" borderId="13" xfId="7" applyNumberFormat="1" applyFont="1" applyBorder="1" applyAlignment="1">
      <alignment horizontal="center" vertical="center"/>
    </xf>
    <xf numFmtId="166" fontId="12" fillId="0" borderId="12" xfId="7" applyNumberFormat="1" applyFont="1" applyBorder="1" applyAlignment="1">
      <alignment horizontal="center" vertical="center"/>
    </xf>
    <xf numFmtId="167" fontId="12" fillId="0" borderId="13" xfId="7" applyNumberFormat="1" applyFont="1" applyBorder="1" applyAlignment="1">
      <alignment horizontal="center" vertical="center"/>
    </xf>
    <xf numFmtId="0" fontId="12" fillId="0" borderId="14" xfId="7" applyFont="1" applyBorder="1" applyAlignment="1">
      <alignment horizontal="center" vertical="center"/>
    </xf>
    <xf numFmtId="168" fontId="12" fillId="0" borderId="15" xfId="7" applyNumberFormat="1" applyFont="1" applyBorder="1" applyAlignment="1">
      <alignment horizontal="center" vertical="center"/>
    </xf>
    <xf numFmtId="0" fontId="12" fillId="3" borderId="13" xfId="7" applyFont="1" applyFill="1" applyBorder="1" applyAlignment="1">
      <alignment horizontal="center" vertical="center"/>
    </xf>
    <xf numFmtId="3" fontId="12" fillId="0" borderId="16" xfId="7" applyNumberFormat="1" applyFont="1" applyBorder="1" applyAlignment="1">
      <alignment horizontal="center" vertical="center"/>
    </xf>
    <xf numFmtId="0" fontId="12" fillId="0" borderId="13" xfId="7" applyFont="1" applyBorder="1" applyAlignment="1">
      <alignment horizontal="center" vertical="center"/>
    </xf>
    <xf numFmtId="0" fontId="12" fillId="0" borderId="16" xfId="7" applyFont="1" applyBorder="1" applyAlignment="1">
      <alignment horizontal="center" vertical="center"/>
    </xf>
    <xf numFmtId="169" fontId="12" fillId="0" borderId="16" xfId="7" applyNumberFormat="1" applyFont="1" applyBorder="1" applyAlignment="1">
      <alignment horizontal="center" vertical="center"/>
    </xf>
    <xf numFmtId="3" fontId="12" fillId="0" borderId="16" xfId="7" applyNumberFormat="1" applyFont="1" applyBorder="1" applyAlignment="1">
      <alignment horizontal="center" vertical="center" wrapText="1"/>
    </xf>
    <xf numFmtId="0" fontId="14" fillId="0" borderId="17" xfId="6" applyFont="1" applyBorder="1" applyAlignment="1">
      <alignment horizontal="center" vertical="center"/>
    </xf>
    <xf numFmtId="4" fontId="14" fillId="0" borderId="17" xfId="7" applyNumberFormat="1" applyFont="1" applyBorder="1" applyAlignment="1">
      <alignment horizontal="center" vertical="center"/>
    </xf>
    <xf numFmtId="167" fontId="16" fillId="0" borderId="17" xfId="7" applyNumberFormat="1" applyFont="1" applyBorder="1" applyAlignment="1">
      <alignment horizontal="center" vertical="center"/>
    </xf>
    <xf numFmtId="4" fontId="14" fillId="0" borderId="17" xfId="7" applyNumberFormat="1" applyFont="1" applyBorder="1" applyAlignment="1">
      <alignment vertical="center"/>
    </xf>
    <xf numFmtId="43" fontId="17" fillId="0" borderId="19" xfId="5" applyFont="1" applyBorder="1" applyAlignment="1">
      <alignment horizontal="center" vertical="center"/>
    </xf>
    <xf numFmtId="43" fontId="17" fillId="0" borderId="19" xfId="5" applyFont="1" applyBorder="1" applyAlignment="1">
      <alignment vertical="center"/>
    </xf>
    <xf numFmtId="2" fontId="17" fillId="0" borderId="19" xfId="3" applyNumberFormat="1" applyFont="1" applyBorder="1" applyAlignment="1">
      <alignment vertical="center"/>
    </xf>
    <xf numFmtId="0" fontId="17" fillId="0" borderId="1" xfId="3" applyFont="1" applyBorder="1" applyAlignment="1">
      <alignment vertical="center"/>
    </xf>
    <xf numFmtId="0" fontId="17" fillId="0" borderId="18" xfId="3" applyFont="1" applyBorder="1" applyAlignment="1">
      <alignment vertical="center"/>
    </xf>
    <xf numFmtId="0" fontId="19" fillId="0" borderId="0" xfId="0" applyFont="1"/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0" xfId="0" applyFont="1" applyBorder="1"/>
    <xf numFmtId="0" fontId="22" fillId="0" borderId="0" xfId="0" applyFont="1" applyAlignment="1">
      <alignment vertical="center"/>
    </xf>
    <xf numFmtId="0" fontId="0" fillId="0" borderId="21" xfId="0" applyBorder="1"/>
    <xf numFmtId="1" fontId="13" fillId="0" borderId="22" xfId="7" applyNumberFormat="1" applyFont="1" applyBorder="1" applyAlignment="1">
      <alignment horizontal="center" vertical="center"/>
    </xf>
    <xf numFmtId="0" fontId="15" fillId="0" borderId="2" xfId="7" applyFont="1" applyBorder="1" applyAlignment="1">
      <alignment horizontal="center" vertical="center"/>
    </xf>
    <xf numFmtId="170" fontId="14" fillId="0" borderId="2" xfId="6" applyNumberFormat="1" applyFont="1" applyBorder="1" applyAlignment="1">
      <alignment horizontal="center" vertical="center"/>
    </xf>
    <xf numFmtId="20" fontId="12" fillId="0" borderId="23" xfId="7" applyNumberFormat="1" applyFont="1" applyBorder="1" applyAlignment="1">
      <alignment horizontal="center" vertical="center"/>
    </xf>
    <xf numFmtId="4" fontId="21" fillId="0" borderId="2" xfId="7" applyNumberFormat="1" applyFont="1" applyBorder="1" applyAlignment="1">
      <alignment horizontal="right" vertical="center"/>
    </xf>
    <xf numFmtId="166" fontId="12" fillId="0" borderId="22" xfId="7" applyNumberFormat="1" applyFont="1" applyBorder="1" applyAlignment="1">
      <alignment horizontal="center" vertical="center"/>
    </xf>
    <xf numFmtId="166" fontId="14" fillId="0" borderId="2" xfId="7" applyNumberFormat="1" applyFont="1" applyBorder="1" applyAlignment="1">
      <alignment horizontal="center" vertical="center"/>
    </xf>
    <xf numFmtId="0" fontId="24" fillId="0" borderId="0" xfId="0" applyFont="1" applyAlignment="1">
      <alignment horizontal="left" textRotation="90"/>
    </xf>
    <xf numFmtId="0" fontId="24" fillId="0" borderId="0" xfId="0" applyFont="1" applyAlignment="1">
      <alignment horizontal="left" textRotation="90" wrapText="1"/>
    </xf>
    <xf numFmtId="0" fontId="25" fillId="0" borderId="0" xfId="1" applyFont="1" applyAlignment="1">
      <alignment horizontal="center" vertical="center"/>
    </xf>
    <xf numFmtId="0" fontId="0" fillId="0" borderId="0" xfId="0" applyAlignment="1">
      <alignment horizontal="left"/>
    </xf>
    <xf numFmtId="0" fontId="27" fillId="0" borderId="0" xfId="0" applyFont="1"/>
    <xf numFmtId="0" fontId="26" fillId="0" borderId="0" xfId="0" applyFont="1" applyAlignment="1">
      <alignment horizontal="right"/>
    </xf>
    <xf numFmtId="0" fontId="26" fillId="0" borderId="0" xfId="1" applyFont="1" applyAlignment="1">
      <alignment horizontal="right" vertical="center"/>
    </xf>
    <xf numFmtId="0" fontId="24" fillId="0" borderId="0" xfId="0" applyFont="1" applyAlignment="1">
      <alignment horizontal="center" textRotation="90" wrapText="1"/>
    </xf>
    <xf numFmtId="0" fontId="28" fillId="0" borderId="24" xfId="0" applyFont="1" applyBorder="1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center" textRotation="90" wrapText="1"/>
    </xf>
    <xf numFmtId="0" fontId="26" fillId="0" borderId="0" xfId="1" quotePrefix="1" applyNumberFormat="1" applyFont="1" applyAlignment="1">
      <alignment horizontal="right" vertical="center"/>
    </xf>
    <xf numFmtId="49" fontId="26" fillId="0" borderId="0" xfId="1" quotePrefix="1" applyNumberFormat="1" applyFont="1" applyAlignment="1">
      <alignment horizontal="right" vertical="center"/>
    </xf>
    <xf numFmtId="0" fontId="0" fillId="0" borderId="0" xfId="0" quotePrefix="1" applyAlignment="1">
      <alignment horizontal="right"/>
    </xf>
    <xf numFmtId="0" fontId="1" fillId="0" borderId="0" xfId="0" applyFont="1" applyAlignment="1">
      <alignment horizontal="center" vertical="top" textRotation="180"/>
    </xf>
    <xf numFmtId="0" fontId="1" fillId="0" borderId="0" xfId="0" applyFont="1" applyAlignment="1">
      <alignment horizontal="center" vertical="top" textRotation="180" wrapText="1"/>
    </xf>
    <xf numFmtId="0" fontId="23" fillId="0" borderId="0" xfId="0" applyFont="1" applyAlignment="1">
      <alignment horizontal="center" vertical="top" textRotation="180"/>
    </xf>
    <xf numFmtId="0" fontId="1" fillId="0" borderId="0" xfId="0" applyFont="1" applyAlignment="1">
      <alignment horizontal="center" vertical="top"/>
    </xf>
    <xf numFmtId="0" fontId="25" fillId="0" borderId="0" xfId="1" applyFont="1" applyAlignment="1">
      <alignment horizontal="center" vertical="top"/>
    </xf>
    <xf numFmtId="0" fontId="1" fillId="0" borderId="0" xfId="0" applyFont="1" applyAlignment="1">
      <alignment horizontal="right" vertical="top" textRotation="180"/>
    </xf>
    <xf numFmtId="49" fontId="26" fillId="0" borderId="0" xfId="1" applyNumberFormat="1" applyFont="1" applyAlignment="1">
      <alignment horizontal="right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8" fillId="3" borderId="0" xfId="3" applyNumberFormat="1" applyFont="1" applyFill="1" applyAlignment="1">
      <alignment horizontal="center" vertical="center"/>
    </xf>
    <xf numFmtId="0" fontId="8" fillId="3" borderId="5" xfId="3" applyFont="1" applyFill="1" applyBorder="1" applyAlignment="1">
      <alignment horizontal="left" vertical="center" wrapText="1"/>
    </xf>
    <xf numFmtId="0" fontId="8" fillId="3" borderId="6" xfId="3" applyFont="1" applyFill="1" applyBorder="1" applyAlignment="1">
      <alignment horizontal="left" vertical="center" wrapText="1"/>
    </xf>
    <xf numFmtId="0" fontId="10" fillId="0" borderId="5" xfId="4" applyFont="1" applyBorder="1" applyAlignment="1">
      <alignment horizontal="left" vertical="center"/>
    </xf>
    <xf numFmtId="0" fontId="10" fillId="0" borderId="4" xfId="4" applyFont="1" applyBorder="1" applyAlignment="1">
      <alignment horizontal="left" vertical="center"/>
    </xf>
    <xf numFmtId="0" fontId="10" fillId="0" borderId="5" xfId="4" applyFont="1" applyBorder="1" applyAlignment="1">
      <alignment horizontal="center" vertical="center"/>
    </xf>
    <xf numFmtId="0" fontId="10" fillId="0" borderId="4" xfId="4" applyFont="1" applyBorder="1" applyAlignment="1">
      <alignment horizontal="center" vertical="center"/>
    </xf>
    <xf numFmtId="0" fontId="8" fillId="3" borderId="0" xfId="3" applyFont="1" applyFill="1" applyAlignment="1">
      <alignment horizontal="center" vertical="center"/>
    </xf>
    <xf numFmtId="0" fontId="8" fillId="3" borderId="3" xfId="3" applyFont="1" applyFill="1" applyBorder="1" applyAlignment="1">
      <alignment horizontal="center" vertical="center"/>
    </xf>
    <xf numFmtId="0" fontId="9" fillId="3" borderId="4" xfId="3" applyFont="1" applyFill="1" applyBorder="1" applyAlignment="1">
      <alignment horizontal="left" vertical="center" wrapText="1"/>
    </xf>
    <xf numFmtId="0" fontId="9" fillId="3" borderId="6" xfId="3" applyFont="1" applyFill="1" applyBorder="1" applyAlignment="1">
      <alignment horizontal="left" vertical="center" wrapText="1"/>
    </xf>
    <xf numFmtId="0" fontId="8" fillId="0" borderId="4" xfId="3" applyFont="1" applyBorder="1" applyAlignment="1">
      <alignment horizontal="left" vertical="center"/>
    </xf>
    <xf numFmtId="0" fontId="8" fillId="0" borderId="6" xfId="3" applyFont="1" applyBorder="1" applyAlignment="1">
      <alignment horizontal="left" vertical="center"/>
    </xf>
    <xf numFmtId="0" fontId="17" fillId="0" borderId="1" xfId="3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17" fillId="0" borderId="19" xfId="3" applyFont="1" applyBorder="1" applyAlignment="1">
      <alignment horizontal="center" vertical="center" wrapText="1"/>
    </xf>
    <xf numFmtId="43" fontId="17" fillId="0" borderId="1" xfId="5" applyFont="1" applyBorder="1" applyAlignment="1">
      <alignment horizontal="center" vertical="center"/>
    </xf>
    <xf numFmtId="43" fontId="17" fillId="0" borderId="18" xfId="5" applyFont="1" applyBorder="1" applyAlignment="1">
      <alignment horizontal="center" vertical="center"/>
    </xf>
    <xf numFmtId="43" fontId="17" fillId="0" borderId="19" xfId="5" applyFont="1" applyBorder="1" applyAlignment="1">
      <alignment horizontal="center" vertical="center"/>
    </xf>
    <xf numFmtId="0" fontId="8" fillId="3" borderId="4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center" vertical="center"/>
    </xf>
    <xf numFmtId="0" fontId="17" fillId="0" borderId="18" xfId="3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80C1FF8B-B019-466C-820F-61070256A463}"/>
    <cellStyle name="Normal 2 3" xfId="6" xr:uid="{C52F9979-84E2-42F5-9C25-A8D7DC00AE37}"/>
    <cellStyle name="Normal 3" xfId="4" xr:uid="{D1ABED79-2870-4D30-93CC-CB919EA3A493}"/>
    <cellStyle name="Normal_Kitap1_1" xfId="7" xr:uid="{59B3C356-E439-4349-BF5D-42B471A499CB}"/>
    <cellStyle name="Normal_METRAJ SAYFALARI    (BOŞ)" xfId="3" xr:uid="{1E81F472-E4B2-4CE4-AF8A-9D36CC75EAC8}"/>
    <cellStyle name="Virgül 2 2" xfId="5" xr:uid="{1DD44B5A-CC9D-44A9-8437-A9FC0AE63AE3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Spin" dx="22" fmlaLink="$L$3" max="50" min="1" page="10" val="3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136647</xdr:colOff>
      <xdr:row>0</xdr:row>
      <xdr:rowOff>64500</xdr:rowOff>
    </xdr:from>
    <xdr:to>
      <xdr:col>1</xdr:col>
      <xdr:colOff>347465</xdr:colOff>
      <xdr:row>1</xdr:row>
      <xdr:rowOff>346660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D12D59E-C0E2-4EEB-99B4-E90EC939D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647" y="64500"/>
          <a:ext cx="1492363" cy="615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104775</xdr:colOff>
          <xdr:row>3</xdr:row>
          <xdr:rowOff>76200</xdr:rowOff>
        </xdr:from>
        <xdr:to>
          <xdr:col>13</xdr:col>
          <xdr:colOff>762000</xdr:colOff>
          <xdr:row>6</xdr:row>
          <xdr:rowOff>152400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FEORTAK\2003=100%20ufe\2003=100UFEHESA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f35a67bc0854e0/Desktop/ipc/ipcs.xlsx" TargetMode="External"/><Relationship Id="rId1" Type="http://schemas.openxmlformats.org/officeDocument/2006/relationships/externalLinkPath" Target="ip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FEhesap"/>
      <sheetName val="zincir"/>
      <sheetName val="DOKUMyan"/>
      <sheetName val="DOKUM"/>
      <sheetName val="agranaliz (aylik)"/>
      <sheetName val="agranaliz (yıllık)"/>
      <sheetName val="18_1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ew__cover"/>
      <sheetName val="view_calc"/>
      <sheetName val="view_daily_records"/>
      <sheetName val="view_monthly_records"/>
      <sheetName val="view_fuel"/>
      <sheetName val="log_monthly_records"/>
      <sheetName val="log_daily_records"/>
      <sheetName val="log_ipcs"/>
      <sheetName val="log_contracts"/>
      <sheetName val="log_addendums"/>
      <sheetName val="log_prices"/>
      <sheetName val="log_fuel_provision"/>
      <sheetName val="daily_quantities"/>
      <sheetName val="quantities"/>
      <sheetName val="log_positions"/>
      <sheetName val="old_ipc_dates"/>
    </sheetNames>
    <sheetDataSet>
      <sheetData sheetId="0">
        <row r="1">
          <cell r="R1">
            <v>31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contract no</v>
          </cell>
          <cell r="D1" t="str">
            <v>no</v>
          </cell>
        </row>
        <row r="2">
          <cell r="C2">
            <v>30</v>
          </cell>
          <cell r="D2">
            <v>1</v>
          </cell>
        </row>
        <row r="3">
          <cell r="C3">
            <v>31</v>
          </cell>
          <cell r="D3">
            <v>1</v>
          </cell>
        </row>
        <row r="4">
          <cell r="C4">
            <v>46</v>
          </cell>
          <cell r="D4">
            <v>1</v>
          </cell>
        </row>
        <row r="5">
          <cell r="C5">
            <v>50</v>
          </cell>
          <cell r="D5">
            <v>1</v>
          </cell>
        </row>
        <row r="6">
          <cell r="C6">
            <v>51</v>
          </cell>
          <cell r="D6">
            <v>1</v>
          </cell>
        </row>
        <row r="7">
          <cell r="C7">
            <v>52</v>
          </cell>
          <cell r="D7">
            <v>1</v>
          </cell>
        </row>
        <row r="8">
          <cell r="C8">
            <v>65</v>
          </cell>
          <cell r="D8">
            <v>1</v>
          </cell>
        </row>
        <row r="9">
          <cell r="C9">
            <v>85</v>
          </cell>
          <cell r="D9">
            <v>1</v>
          </cell>
        </row>
        <row r="10">
          <cell r="C10">
            <v>94</v>
          </cell>
          <cell r="D10">
            <v>1</v>
          </cell>
        </row>
        <row r="11">
          <cell r="C11">
            <v>95</v>
          </cell>
          <cell r="D11">
            <v>1</v>
          </cell>
        </row>
        <row r="12">
          <cell r="C12">
            <v>98</v>
          </cell>
          <cell r="D12">
            <v>1</v>
          </cell>
        </row>
        <row r="13">
          <cell r="C13">
            <v>99</v>
          </cell>
          <cell r="D13">
            <v>1</v>
          </cell>
        </row>
        <row r="14">
          <cell r="C14">
            <v>100</v>
          </cell>
          <cell r="D14">
            <v>1</v>
          </cell>
        </row>
        <row r="15">
          <cell r="C15">
            <v>102</v>
          </cell>
          <cell r="D15">
            <v>1</v>
          </cell>
        </row>
        <row r="16">
          <cell r="C16">
            <v>110</v>
          </cell>
          <cell r="D16">
            <v>1</v>
          </cell>
        </row>
        <row r="17">
          <cell r="C17">
            <v>121</v>
          </cell>
          <cell r="D17">
            <v>1</v>
          </cell>
        </row>
        <row r="18">
          <cell r="C18">
            <v>141</v>
          </cell>
          <cell r="D18">
            <v>1</v>
          </cell>
        </row>
        <row r="19">
          <cell r="C19">
            <v>163</v>
          </cell>
          <cell r="D19">
            <v>1</v>
          </cell>
        </row>
        <row r="20">
          <cell r="C20">
            <v>164</v>
          </cell>
          <cell r="D20">
            <v>1</v>
          </cell>
        </row>
        <row r="21">
          <cell r="C21">
            <v>172</v>
          </cell>
          <cell r="D21">
            <v>1</v>
          </cell>
        </row>
        <row r="22">
          <cell r="C22">
            <v>173</v>
          </cell>
          <cell r="D22">
            <v>1</v>
          </cell>
        </row>
        <row r="23">
          <cell r="C23">
            <v>179</v>
          </cell>
          <cell r="D23">
            <v>1</v>
          </cell>
        </row>
        <row r="24">
          <cell r="C24">
            <v>182</v>
          </cell>
          <cell r="D24">
            <v>1</v>
          </cell>
        </row>
        <row r="25">
          <cell r="C25">
            <v>30</v>
          </cell>
          <cell r="D25">
            <v>2</v>
          </cell>
        </row>
        <row r="26">
          <cell r="C26">
            <v>31</v>
          </cell>
          <cell r="D26">
            <v>2</v>
          </cell>
        </row>
        <row r="27">
          <cell r="C27">
            <v>46</v>
          </cell>
          <cell r="D27">
            <v>2</v>
          </cell>
        </row>
        <row r="28">
          <cell r="C28">
            <v>50</v>
          </cell>
          <cell r="D28">
            <v>2</v>
          </cell>
        </row>
        <row r="29">
          <cell r="C29">
            <v>51</v>
          </cell>
          <cell r="D29">
            <v>2</v>
          </cell>
        </row>
        <row r="30">
          <cell r="C30">
            <v>52</v>
          </cell>
          <cell r="D30">
            <v>2</v>
          </cell>
        </row>
        <row r="31">
          <cell r="C31">
            <v>65</v>
          </cell>
          <cell r="D31">
            <v>2</v>
          </cell>
        </row>
        <row r="32">
          <cell r="C32">
            <v>85</v>
          </cell>
          <cell r="D32">
            <v>2</v>
          </cell>
        </row>
        <row r="33">
          <cell r="C33">
            <v>94</v>
          </cell>
          <cell r="D33">
            <v>2</v>
          </cell>
        </row>
        <row r="34">
          <cell r="C34">
            <v>95</v>
          </cell>
          <cell r="D34">
            <v>2</v>
          </cell>
        </row>
        <row r="35">
          <cell r="C35">
            <v>98</v>
          </cell>
          <cell r="D35">
            <v>2</v>
          </cell>
        </row>
        <row r="36">
          <cell r="C36">
            <v>99</v>
          </cell>
          <cell r="D36">
            <v>2</v>
          </cell>
        </row>
        <row r="37">
          <cell r="C37">
            <v>100</v>
          </cell>
          <cell r="D37">
            <v>2</v>
          </cell>
        </row>
        <row r="38">
          <cell r="C38">
            <v>102</v>
          </cell>
          <cell r="D38">
            <v>2</v>
          </cell>
        </row>
        <row r="39">
          <cell r="C39">
            <v>110</v>
          </cell>
          <cell r="D39">
            <v>2</v>
          </cell>
        </row>
        <row r="40">
          <cell r="C40">
            <v>121</v>
          </cell>
          <cell r="D40">
            <v>2</v>
          </cell>
        </row>
        <row r="41">
          <cell r="C41">
            <v>141</v>
          </cell>
          <cell r="D41">
            <v>2</v>
          </cell>
        </row>
        <row r="42">
          <cell r="C42">
            <v>163</v>
          </cell>
          <cell r="D42">
            <v>2</v>
          </cell>
        </row>
        <row r="43">
          <cell r="C43">
            <v>172</v>
          </cell>
          <cell r="D43">
            <v>2</v>
          </cell>
        </row>
        <row r="44">
          <cell r="C44">
            <v>173</v>
          </cell>
          <cell r="D44">
            <v>2</v>
          </cell>
        </row>
        <row r="45">
          <cell r="C45">
            <v>182</v>
          </cell>
          <cell r="D45">
            <v>2</v>
          </cell>
        </row>
        <row r="46">
          <cell r="C46">
            <v>31</v>
          </cell>
          <cell r="D46">
            <v>3</v>
          </cell>
        </row>
        <row r="47">
          <cell r="C47">
            <v>46</v>
          </cell>
          <cell r="D47">
            <v>3</v>
          </cell>
        </row>
        <row r="48">
          <cell r="C48">
            <v>50</v>
          </cell>
          <cell r="D48">
            <v>3</v>
          </cell>
        </row>
        <row r="49">
          <cell r="C49">
            <v>51</v>
          </cell>
          <cell r="D49">
            <v>3</v>
          </cell>
        </row>
        <row r="50">
          <cell r="C50">
            <v>52</v>
          </cell>
          <cell r="D50">
            <v>3</v>
          </cell>
        </row>
        <row r="51">
          <cell r="C51">
            <v>65</v>
          </cell>
          <cell r="D51">
            <v>3</v>
          </cell>
        </row>
        <row r="52">
          <cell r="C52">
            <v>85</v>
          </cell>
          <cell r="D52">
            <v>3</v>
          </cell>
        </row>
        <row r="53">
          <cell r="C53">
            <v>94</v>
          </cell>
          <cell r="D53">
            <v>3</v>
          </cell>
        </row>
        <row r="54">
          <cell r="C54">
            <v>95</v>
          </cell>
          <cell r="D54">
            <v>3</v>
          </cell>
        </row>
        <row r="55">
          <cell r="C55">
            <v>98</v>
          </cell>
          <cell r="D55">
            <v>3</v>
          </cell>
        </row>
        <row r="56">
          <cell r="C56">
            <v>99</v>
          </cell>
          <cell r="D56">
            <v>3</v>
          </cell>
        </row>
        <row r="57">
          <cell r="C57">
            <v>100</v>
          </cell>
          <cell r="D57">
            <v>3</v>
          </cell>
        </row>
        <row r="58">
          <cell r="C58">
            <v>102</v>
          </cell>
          <cell r="D58">
            <v>3</v>
          </cell>
        </row>
        <row r="59">
          <cell r="C59">
            <v>110</v>
          </cell>
          <cell r="D59">
            <v>3</v>
          </cell>
        </row>
        <row r="60">
          <cell r="C60">
            <v>121</v>
          </cell>
          <cell r="D60">
            <v>3</v>
          </cell>
        </row>
        <row r="61">
          <cell r="C61">
            <v>141</v>
          </cell>
          <cell r="D61">
            <v>3</v>
          </cell>
        </row>
        <row r="62">
          <cell r="C62">
            <v>163</v>
          </cell>
          <cell r="D62">
            <v>3</v>
          </cell>
        </row>
        <row r="63">
          <cell r="C63">
            <v>31</v>
          </cell>
          <cell r="D63">
            <v>4</v>
          </cell>
        </row>
        <row r="64">
          <cell r="C64">
            <v>46</v>
          </cell>
          <cell r="D64">
            <v>4</v>
          </cell>
        </row>
        <row r="65">
          <cell r="C65">
            <v>50</v>
          </cell>
          <cell r="D65">
            <v>4</v>
          </cell>
        </row>
        <row r="66">
          <cell r="C66">
            <v>51</v>
          </cell>
          <cell r="D66">
            <v>4</v>
          </cell>
        </row>
        <row r="67">
          <cell r="C67">
            <v>52</v>
          </cell>
          <cell r="D67">
            <v>4</v>
          </cell>
        </row>
        <row r="68">
          <cell r="C68">
            <v>65</v>
          </cell>
          <cell r="D68">
            <v>4</v>
          </cell>
        </row>
        <row r="69">
          <cell r="C69">
            <v>85</v>
          </cell>
          <cell r="D69">
            <v>4</v>
          </cell>
        </row>
        <row r="70">
          <cell r="C70">
            <v>94</v>
          </cell>
          <cell r="D70">
            <v>4</v>
          </cell>
        </row>
        <row r="71">
          <cell r="C71">
            <v>95</v>
          </cell>
          <cell r="D71">
            <v>4</v>
          </cell>
        </row>
        <row r="72">
          <cell r="C72">
            <v>98</v>
          </cell>
          <cell r="D72">
            <v>4</v>
          </cell>
        </row>
        <row r="73">
          <cell r="C73">
            <v>99</v>
          </cell>
          <cell r="D73">
            <v>4</v>
          </cell>
        </row>
        <row r="74">
          <cell r="C74">
            <v>100</v>
          </cell>
          <cell r="D74">
            <v>4</v>
          </cell>
        </row>
        <row r="75">
          <cell r="C75">
            <v>102</v>
          </cell>
          <cell r="D75">
            <v>4</v>
          </cell>
        </row>
        <row r="76">
          <cell r="C76">
            <v>110</v>
          </cell>
          <cell r="D76">
            <v>4</v>
          </cell>
        </row>
        <row r="77">
          <cell r="C77">
            <v>121</v>
          </cell>
          <cell r="D77">
            <v>4</v>
          </cell>
        </row>
        <row r="78">
          <cell r="C78">
            <v>141</v>
          </cell>
          <cell r="D78">
            <v>4</v>
          </cell>
        </row>
        <row r="79">
          <cell r="C79">
            <v>31</v>
          </cell>
          <cell r="D79">
            <v>5</v>
          </cell>
        </row>
        <row r="80">
          <cell r="C80">
            <v>46</v>
          </cell>
          <cell r="D80">
            <v>5</v>
          </cell>
        </row>
        <row r="81">
          <cell r="C81">
            <v>50</v>
          </cell>
          <cell r="D81">
            <v>5</v>
          </cell>
        </row>
        <row r="82">
          <cell r="C82">
            <v>51</v>
          </cell>
          <cell r="D82">
            <v>5</v>
          </cell>
        </row>
        <row r="83">
          <cell r="C83">
            <v>65</v>
          </cell>
          <cell r="D83">
            <v>5</v>
          </cell>
        </row>
        <row r="84">
          <cell r="C84">
            <v>85</v>
          </cell>
          <cell r="D84">
            <v>5</v>
          </cell>
        </row>
        <row r="85">
          <cell r="C85">
            <v>94</v>
          </cell>
          <cell r="D85">
            <v>5</v>
          </cell>
        </row>
        <row r="86">
          <cell r="C86">
            <v>95</v>
          </cell>
          <cell r="D86">
            <v>5</v>
          </cell>
        </row>
        <row r="87">
          <cell r="C87">
            <v>98</v>
          </cell>
          <cell r="D87">
            <v>5</v>
          </cell>
        </row>
        <row r="88">
          <cell r="C88">
            <v>100</v>
          </cell>
          <cell r="D88">
            <v>5</v>
          </cell>
        </row>
        <row r="89">
          <cell r="C89">
            <v>102</v>
          </cell>
          <cell r="D89">
            <v>5</v>
          </cell>
        </row>
        <row r="90">
          <cell r="C90">
            <v>110</v>
          </cell>
          <cell r="D90">
            <v>5</v>
          </cell>
        </row>
        <row r="91">
          <cell r="C91">
            <v>121</v>
          </cell>
          <cell r="D91">
            <v>5</v>
          </cell>
        </row>
        <row r="92">
          <cell r="C92">
            <v>141</v>
          </cell>
          <cell r="D92">
            <v>5</v>
          </cell>
        </row>
        <row r="93">
          <cell r="C93">
            <v>31</v>
          </cell>
          <cell r="D93">
            <v>6</v>
          </cell>
        </row>
        <row r="94">
          <cell r="C94">
            <v>46</v>
          </cell>
          <cell r="D94">
            <v>6</v>
          </cell>
        </row>
        <row r="95">
          <cell r="C95">
            <v>50</v>
          </cell>
          <cell r="D95">
            <v>6</v>
          </cell>
        </row>
        <row r="96">
          <cell r="C96">
            <v>51</v>
          </cell>
          <cell r="D96">
            <v>6</v>
          </cell>
        </row>
        <row r="97">
          <cell r="C97">
            <v>65</v>
          </cell>
          <cell r="D97">
            <v>6</v>
          </cell>
        </row>
        <row r="98">
          <cell r="C98">
            <v>85</v>
          </cell>
          <cell r="D98">
            <v>6</v>
          </cell>
        </row>
        <row r="99">
          <cell r="C99">
            <v>95</v>
          </cell>
          <cell r="D99">
            <v>6</v>
          </cell>
        </row>
        <row r="100">
          <cell r="C100">
            <v>98</v>
          </cell>
          <cell r="D100">
            <v>6</v>
          </cell>
        </row>
        <row r="101">
          <cell r="C101">
            <v>100</v>
          </cell>
          <cell r="D101">
            <v>6</v>
          </cell>
        </row>
        <row r="102">
          <cell r="C102">
            <v>102</v>
          </cell>
          <cell r="D102">
            <v>6</v>
          </cell>
        </row>
        <row r="103">
          <cell r="C103">
            <v>110</v>
          </cell>
          <cell r="D103">
            <v>6</v>
          </cell>
        </row>
        <row r="104">
          <cell r="C104">
            <v>121</v>
          </cell>
          <cell r="D104">
            <v>6</v>
          </cell>
        </row>
        <row r="105">
          <cell r="C105">
            <v>31</v>
          </cell>
          <cell r="D105">
            <v>7</v>
          </cell>
        </row>
        <row r="106">
          <cell r="C106">
            <v>46</v>
          </cell>
          <cell r="D106">
            <v>7</v>
          </cell>
        </row>
        <row r="107">
          <cell r="C107">
            <v>50</v>
          </cell>
          <cell r="D107">
            <v>7</v>
          </cell>
        </row>
        <row r="108">
          <cell r="C108">
            <v>51</v>
          </cell>
          <cell r="D108">
            <v>7</v>
          </cell>
        </row>
        <row r="109">
          <cell r="C109">
            <v>65</v>
          </cell>
          <cell r="D109">
            <v>7</v>
          </cell>
        </row>
        <row r="110">
          <cell r="C110">
            <v>85</v>
          </cell>
          <cell r="D110">
            <v>7</v>
          </cell>
        </row>
        <row r="111">
          <cell r="C111">
            <v>95</v>
          </cell>
          <cell r="D111">
            <v>7</v>
          </cell>
        </row>
        <row r="112">
          <cell r="C112">
            <v>98</v>
          </cell>
          <cell r="D112">
            <v>7</v>
          </cell>
        </row>
        <row r="113">
          <cell r="C113">
            <v>100</v>
          </cell>
          <cell r="D113">
            <v>7</v>
          </cell>
        </row>
        <row r="114">
          <cell r="C114">
            <v>102</v>
          </cell>
          <cell r="D114">
            <v>7</v>
          </cell>
        </row>
        <row r="115">
          <cell r="C115">
            <v>110</v>
          </cell>
          <cell r="D115">
            <v>7</v>
          </cell>
        </row>
        <row r="116">
          <cell r="C116">
            <v>31</v>
          </cell>
          <cell r="D116">
            <v>8</v>
          </cell>
        </row>
        <row r="117">
          <cell r="C117">
            <v>46</v>
          </cell>
          <cell r="D117">
            <v>8</v>
          </cell>
        </row>
        <row r="118">
          <cell r="C118">
            <v>50</v>
          </cell>
          <cell r="D118">
            <v>8</v>
          </cell>
        </row>
        <row r="119">
          <cell r="C119">
            <v>51</v>
          </cell>
          <cell r="D119">
            <v>8</v>
          </cell>
        </row>
        <row r="120">
          <cell r="C120">
            <v>65</v>
          </cell>
          <cell r="D120">
            <v>8</v>
          </cell>
        </row>
        <row r="121">
          <cell r="C121">
            <v>85</v>
          </cell>
          <cell r="D121">
            <v>8</v>
          </cell>
        </row>
        <row r="122">
          <cell r="C122">
            <v>95</v>
          </cell>
          <cell r="D122">
            <v>8</v>
          </cell>
        </row>
        <row r="123">
          <cell r="C123">
            <v>98</v>
          </cell>
          <cell r="D123">
            <v>8</v>
          </cell>
        </row>
        <row r="124">
          <cell r="C124">
            <v>100</v>
          </cell>
          <cell r="D124">
            <v>8</v>
          </cell>
        </row>
        <row r="125">
          <cell r="C125">
            <v>102</v>
          </cell>
          <cell r="D125">
            <v>8</v>
          </cell>
        </row>
        <row r="126">
          <cell r="C126">
            <v>31</v>
          </cell>
          <cell r="D126">
            <v>9</v>
          </cell>
        </row>
        <row r="127">
          <cell r="C127">
            <v>50</v>
          </cell>
          <cell r="D127">
            <v>9</v>
          </cell>
        </row>
        <row r="128">
          <cell r="C128">
            <v>65</v>
          </cell>
          <cell r="D128">
            <v>9</v>
          </cell>
        </row>
        <row r="129">
          <cell r="C129">
            <v>85</v>
          </cell>
          <cell r="D129">
            <v>9</v>
          </cell>
        </row>
        <row r="130">
          <cell r="C130">
            <v>95</v>
          </cell>
          <cell r="D130">
            <v>9</v>
          </cell>
        </row>
        <row r="131">
          <cell r="C131">
            <v>98</v>
          </cell>
          <cell r="D131">
            <v>9</v>
          </cell>
        </row>
        <row r="132">
          <cell r="C132">
            <v>100</v>
          </cell>
          <cell r="D132">
            <v>9</v>
          </cell>
        </row>
        <row r="133">
          <cell r="C133">
            <v>31</v>
          </cell>
          <cell r="D133">
            <v>10</v>
          </cell>
        </row>
        <row r="134">
          <cell r="C134">
            <v>50</v>
          </cell>
          <cell r="D134">
            <v>10</v>
          </cell>
        </row>
        <row r="135">
          <cell r="C135">
            <v>65</v>
          </cell>
          <cell r="D135">
            <v>10</v>
          </cell>
        </row>
        <row r="136">
          <cell r="C136">
            <v>85</v>
          </cell>
          <cell r="D136">
            <v>10</v>
          </cell>
        </row>
        <row r="137">
          <cell r="C137">
            <v>31</v>
          </cell>
          <cell r="D137">
            <v>11</v>
          </cell>
        </row>
        <row r="138">
          <cell r="C138">
            <v>65</v>
          </cell>
          <cell r="D138">
            <v>11</v>
          </cell>
        </row>
        <row r="139">
          <cell r="C139">
            <v>31</v>
          </cell>
          <cell r="D139">
            <v>12</v>
          </cell>
        </row>
        <row r="140">
          <cell r="C140">
            <v>31</v>
          </cell>
          <cell r="D140">
            <v>13</v>
          </cell>
        </row>
        <row r="141">
          <cell r="C141">
            <v>31</v>
          </cell>
          <cell r="D141">
            <v>14</v>
          </cell>
        </row>
        <row r="142">
          <cell r="C142">
            <v>11</v>
          </cell>
          <cell r="D142">
            <v>1</v>
          </cell>
        </row>
        <row r="143">
          <cell r="C143">
            <v>11</v>
          </cell>
          <cell r="D143">
            <v>2</v>
          </cell>
        </row>
        <row r="144">
          <cell r="C144">
            <v>11</v>
          </cell>
          <cell r="D144">
            <v>3</v>
          </cell>
        </row>
        <row r="145">
          <cell r="C145">
            <v>11</v>
          </cell>
          <cell r="D145">
            <v>4</v>
          </cell>
        </row>
        <row r="146">
          <cell r="C146">
            <v>11</v>
          </cell>
          <cell r="D146">
            <v>5</v>
          </cell>
        </row>
        <row r="147">
          <cell r="C147">
            <v>11</v>
          </cell>
          <cell r="D147">
            <v>6</v>
          </cell>
        </row>
        <row r="148">
          <cell r="C148">
            <v>11</v>
          </cell>
          <cell r="D148">
            <v>7</v>
          </cell>
        </row>
        <row r="149">
          <cell r="C149">
            <v>11</v>
          </cell>
          <cell r="D149">
            <v>8</v>
          </cell>
        </row>
        <row r="150">
          <cell r="C150">
            <v>11</v>
          </cell>
          <cell r="D150">
            <v>9</v>
          </cell>
        </row>
        <row r="151">
          <cell r="C151">
            <v>11</v>
          </cell>
          <cell r="D151">
            <v>10</v>
          </cell>
        </row>
        <row r="152">
          <cell r="C152">
            <v>11</v>
          </cell>
          <cell r="D152">
            <v>11</v>
          </cell>
        </row>
        <row r="153">
          <cell r="C153">
            <v>14</v>
          </cell>
          <cell r="D153">
            <v>1</v>
          </cell>
        </row>
        <row r="154">
          <cell r="C154">
            <v>14</v>
          </cell>
          <cell r="D154">
            <v>2</v>
          </cell>
        </row>
        <row r="155">
          <cell r="C155">
            <v>14</v>
          </cell>
          <cell r="D155">
            <v>3</v>
          </cell>
        </row>
        <row r="156">
          <cell r="C156">
            <v>14</v>
          </cell>
          <cell r="D156">
            <v>4</v>
          </cell>
        </row>
        <row r="157">
          <cell r="C157">
            <v>14</v>
          </cell>
          <cell r="D157">
            <v>5</v>
          </cell>
        </row>
        <row r="158">
          <cell r="C158">
            <v>14</v>
          </cell>
          <cell r="D158">
            <v>6</v>
          </cell>
        </row>
        <row r="159">
          <cell r="C159">
            <v>14</v>
          </cell>
          <cell r="D159">
            <v>7</v>
          </cell>
        </row>
        <row r="160">
          <cell r="C160">
            <v>14</v>
          </cell>
          <cell r="D160">
            <v>8</v>
          </cell>
        </row>
        <row r="161">
          <cell r="C161">
            <v>30</v>
          </cell>
          <cell r="D161">
            <v>3</v>
          </cell>
        </row>
        <row r="162">
          <cell r="C162">
            <v>30</v>
          </cell>
          <cell r="D162">
            <v>4</v>
          </cell>
        </row>
        <row r="163">
          <cell r="C163">
            <v>30</v>
          </cell>
          <cell r="D163">
            <v>5</v>
          </cell>
        </row>
        <row r="164">
          <cell r="C164">
            <v>30</v>
          </cell>
          <cell r="D164">
            <v>6</v>
          </cell>
        </row>
        <row r="165">
          <cell r="C165">
            <v>30</v>
          </cell>
          <cell r="D165">
            <v>7</v>
          </cell>
        </row>
        <row r="166">
          <cell r="C166">
            <v>30</v>
          </cell>
          <cell r="D166">
            <v>8</v>
          </cell>
        </row>
        <row r="167">
          <cell r="C167">
            <v>30</v>
          </cell>
          <cell r="D167">
            <v>9</v>
          </cell>
        </row>
        <row r="168">
          <cell r="C168">
            <v>30</v>
          </cell>
          <cell r="D168">
            <v>10</v>
          </cell>
        </row>
        <row r="169">
          <cell r="C169">
            <v>30</v>
          </cell>
          <cell r="D169">
            <v>11</v>
          </cell>
        </row>
        <row r="170">
          <cell r="C170">
            <v>33</v>
          </cell>
          <cell r="D170">
            <v>4</v>
          </cell>
        </row>
        <row r="171">
          <cell r="C171">
            <v>33</v>
          </cell>
          <cell r="D171">
            <v>5</v>
          </cell>
        </row>
        <row r="172">
          <cell r="C172">
            <v>33</v>
          </cell>
          <cell r="D172">
            <v>6</v>
          </cell>
        </row>
        <row r="173">
          <cell r="C173">
            <v>33</v>
          </cell>
          <cell r="D173">
            <v>7</v>
          </cell>
        </row>
        <row r="174">
          <cell r="C174">
            <v>33</v>
          </cell>
          <cell r="D174">
            <v>8</v>
          </cell>
        </row>
        <row r="175">
          <cell r="C175">
            <v>33</v>
          </cell>
          <cell r="D175">
            <v>9</v>
          </cell>
        </row>
        <row r="176">
          <cell r="C176">
            <v>33</v>
          </cell>
          <cell r="D176">
            <v>10</v>
          </cell>
        </row>
        <row r="177">
          <cell r="C177">
            <v>33</v>
          </cell>
          <cell r="D177">
            <v>11</v>
          </cell>
        </row>
        <row r="178">
          <cell r="C178">
            <v>33</v>
          </cell>
          <cell r="D178">
            <v>12</v>
          </cell>
        </row>
        <row r="179">
          <cell r="C179">
            <v>33</v>
          </cell>
          <cell r="D179">
            <v>13</v>
          </cell>
        </row>
        <row r="180">
          <cell r="C180">
            <v>33</v>
          </cell>
          <cell r="D180">
            <v>14</v>
          </cell>
        </row>
        <row r="181">
          <cell r="C181">
            <v>33</v>
          </cell>
          <cell r="D181">
            <v>15</v>
          </cell>
        </row>
        <row r="182">
          <cell r="C182">
            <v>91</v>
          </cell>
          <cell r="D182">
            <v>1</v>
          </cell>
        </row>
        <row r="183">
          <cell r="C183">
            <v>91</v>
          </cell>
          <cell r="D183">
            <v>2</v>
          </cell>
        </row>
        <row r="184">
          <cell r="C184">
            <v>91</v>
          </cell>
          <cell r="D184">
            <v>3</v>
          </cell>
        </row>
        <row r="185">
          <cell r="C185">
            <v>91</v>
          </cell>
          <cell r="D185">
            <v>4</v>
          </cell>
        </row>
        <row r="186">
          <cell r="C186">
            <v>91</v>
          </cell>
          <cell r="D186">
            <v>5</v>
          </cell>
        </row>
        <row r="187">
          <cell r="C187">
            <v>103</v>
          </cell>
          <cell r="D187">
            <v>1</v>
          </cell>
        </row>
        <row r="188">
          <cell r="C188">
            <v>107</v>
          </cell>
          <cell r="D188">
            <v>1</v>
          </cell>
        </row>
        <row r="189">
          <cell r="C189">
            <v>107</v>
          </cell>
          <cell r="D189">
            <v>2</v>
          </cell>
        </row>
        <row r="190">
          <cell r="C190">
            <v>150</v>
          </cell>
          <cell r="D190">
            <v>1</v>
          </cell>
        </row>
        <row r="191">
          <cell r="C191">
            <v>11</v>
          </cell>
          <cell r="D191">
            <v>12</v>
          </cell>
        </row>
        <row r="192">
          <cell r="C192">
            <v>14</v>
          </cell>
          <cell r="D192">
            <v>9</v>
          </cell>
        </row>
        <row r="193">
          <cell r="C193">
            <v>30</v>
          </cell>
          <cell r="D193">
            <v>12</v>
          </cell>
        </row>
        <row r="194">
          <cell r="C194">
            <v>33</v>
          </cell>
          <cell r="D194">
            <v>16</v>
          </cell>
        </row>
        <row r="195">
          <cell r="C195">
            <v>107</v>
          </cell>
          <cell r="D195">
            <v>3</v>
          </cell>
        </row>
        <row r="196">
          <cell r="C196">
            <v>91</v>
          </cell>
          <cell r="D196">
            <v>6</v>
          </cell>
        </row>
        <row r="197">
          <cell r="C197">
            <v>11</v>
          </cell>
          <cell r="D197">
            <v>13</v>
          </cell>
        </row>
        <row r="198">
          <cell r="C198">
            <v>91</v>
          </cell>
          <cell r="D198">
            <v>7</v>
          </cell>
        </row>
        <row r="199">
          <cell r="C199">
            <v>33</v>
          </cell>
          <cell r="D199">
            <v>17</v>
          </cell>
        </row>
        <row r="200">
          <cell r="C200">
            <v>30</v>
          </cell>
          <cell r="D200">
            <v>13</v>
          </cell>
        </row>
        <row r="201">
          <cell r="C201">
            <v>14</v>
          </cell>
          <cell r="D201">
            <v>10</v>
          </cell>
        </row>
        <row r="202">
          <cell r="C202">
            <v>11</v>
          </cell>
          <cell r="D202">
            <v>14</v>
          </cell>
        </row>
        <row r="203">
          <cell r="C203">
            <v>91</v>
          </cell>
          <cell r="D203">
            <v>8</v>
          </cell>
        </row>
        <row r="204">
          <cell r="C204">
            <v>33</v>
          </cell>
          <cell r="D204">
            <v>18</v>
          </cell>
        </row>
        <row r="205">
          <cell r="C205">
            <v>30</v>
          </cell>
          <cell r="D205">
            <v>14</v>
          </cell>
        </row>
        <row r="206">
          <cell r="C206">
            <v>14</v>
          </cell>
          <cell r="D206">
            <v>11</v>
          </cell>
        </row>
        <row r="207">
          <cell r="C207">
            <v>11</v>
          </cell>
          <cell r="D207">
            <v>15</v>
          </cell>
        </row>
        <row r="208">
          <cell r="C208">
            <v>14</v>
          </cell>
          <cell r="D208">
            <v>12</v>
          </cell>
        </row>
        <row r="209">
          <cell r="C209">
            <v>91</v>
          </cell>
          <cell r="D209">
            <v>9</v>
          </cell>
        </row>
        <row r="210">
          <cell r="C210">
            <v>33</v>
          </cell>
          <cell r="D210">
            <v>19</v>
          </cell>
        </row>
        <row r="211">
          <cell r="C211">
            <v>30</v>
          </cell>
          <cell r="D211">
            <v>15</v>
          </cell>
        </row>
        <row r="212">
          <cell r="C212">
            <v>150</v>
          </cell>
          <cell r="D212">
            <v>2</v>
          </cell>
        </row>
      </sheetData>
      <sheetData sheetId="8">
        <row r="1">
          <cell r="B1" t="str">
            <v>No</v>
          </cell>
        </row>
      </sheetData>
      <sheetData sheetId="9"/>
      <sheetData sheetId="10">
        <row r="1">
          <cell r="G1" t="str">
            <v>unit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40B9896-E914-40FB-AE08-81B45BC7639D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4979B5C-A20A-4EA8-9753-16E0DFC7F4F6}">
  <we:reference id="wa200009404" version="1.0.0.5" store="en-US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DATA\DataServer\Teknik%20Ofis\00_SPP2%20Taseron%20Sozlesmeleri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W87"/>
  <sheetViews>
    <sheetView tabSelected="1" zoomScaleNormal="100" workbookViewId="0">
      <pane xSplit="6" ySplit="1" topLeftCell="G3" activePane="bottomRight" state="frozen"/>
      <selection pane="topRight" activeCell="G1" sqref="G1"/>
      <selection pane="bottomLeft" activeCell="A2" sqref="A2"/>
      <selection pane="bottomRight" activeCell="AC37" sqref="AC37"/>
    </sheetView>
  </sheetViews>
  <sheetFormatPr defaultRowHeight="15" outlineLevelCol="2"/>
  <cols>
    <col min="1" max="1" width="5" customWidth="1"/>
    <col min="2" max="3" width="5.28515625" customWidth="1"/>
    <col min="4" max="4" width="21" bestFit="1" customWidth="1"/>
    <col min="5" max="5" width="4.85546875" customWidth="1"/>
    <col min="6" max="6" width="29.85546875" customWidth="1"/>
    <col min="7" max="7" width="15.140625" style="5" customWidth="1"/>
    <col min="8" max="8" width="3" customWidth="1"/>
    <col min="9" max="9" width="4.42578125" style="78" customWidth="1"/>
    <col min="10" max="10" width="6.140625" hidden="1" customWidth="1" outlineLevel="1"/>
    <col min="11" max="13" width="8.28515625" hidden="1" customWidth="1" outlineLevel="2"/>
    <col min="14" max="14" width="12.85546875" style="5" hidden="1" customWidth="1" outlineLevel="2"/>
    <col min="15" max="15" width="18.28515625" style="5" hidden="1" customWidth="1" outlineLevel="2"/>
    <col min="16" max="16" width="13.140625" style="60" hidden="1" customWidth="1" outlineLevel="2"/>
    <col min="17" max="17" width="12.7109375" hidden="1" customWidth="1" outlineLevel="2"/>
    <col min="18" max="18" width="15.7109375" hidden="1" customWidth="1" outlineLevel="2"/>
    <col min="19" max="19" width="28.140625" hidden="1" customWidth="1" outlineLevel="2"/>
    <col min="20" max="20" width="4" customWidth="1" collapsed="1"/>
    <col min="21" max="21" width="6.7109375" hidden="1" customWidth="1" outlineLevel="1"/>
    <col min="22" max="22" width="9" hidden="1" customWidth="1" outlineLevel="1"/>
    <col min="23" max="23" width="10" hidden="1" customWidth="1" outlineLevel="1"/>
    <col min="24" max="24" width="11.28515625" hidden="1" customWidth="1" outlineLevel="1"/>
    <col min="25" max="25" width="10.28515625" hidden="1" customWidth="1" outlineLevel="1"/>
    <col min="26" max="26" width="10.7109375" style="62" hidden="1" customWidth="1" outlineLevel="1"/>
    <col min="27" max="27" width="3.5703125" hidden="1" customWidth="1" outlineLevel="1"/>
    <col min="28" max="28" width="15.7109375" customWidth="1" collapsed="1"/>
    <col min="29" max="29" width="9.85546875" customWidth="1"/>
    <col min="30" max="30" width="8.7109375" customWidth="1"/>
    <col min="31" max="44" width="5.28515625" customWidth="1"/>
  </cols>
  <sheetData>
    <row r="1" spans="1:49" s="8" customFormat="1" ht="69" customHeight="1">
      <c r="A1" s="74" t="s">
        <v>0</v>
      </c>
      <c r="B1" s="72" t="s">
        <v>51</v>
      </c>
      <c r="C1" s="72" t="s">
        <v>170</v>
      </c>
      <c r="D1" s="71" t="s">
        <v>94</v>
      </c>
      <c r="E1" s="72" t="s">
        <v>1</v>
      </c>
      <c r="F1" s="71" t="s">
        <v>50</v>
      </c>
      <c r="G1" s="76" t="s">
        <v>322</v>
      </c>
      <c r="H1" s="71" t="s">
        <v>231</v>
      </c>
      <c r="I1" s="71" t="s">
        <v>292</v>
      </c>
      <c r="J1" s="7" t="s">
        <v>111</v>
      </c>
      <c r="K1" s="7" t="s">
        <v>107</v>
      </c>
      <c r="L1" s="7" t="s">
        <v>200</v>
      </c>
      <c r="M1" s="67" t="s">
        <v>309</v>
      </c>
      <c r="N1" s="9" t="s">
        <v>142</v>
      </c>
      <c r="O1" s="9"/>
      <c r="P1" s="79" t="s">
        <v>128</v>
      </c>
      <c r="Q1" s="9" t="s">
        <v>123</v>
      </c>
      <c r="R1" s="9" t="s">
        <v>110</v>
      </c>
      <c r="S1" s="9" t="s">
        <v>90</v>
      </c>
      <c r="T1" s="73" t="s">
        <v>229</v>
      </c>
      <c r="U1" s="57" t="s">
        <v>91</v>
      </c>
      <c r="V1" s="57" t="s">
        <v>137</v>
      </c>
      <c r="W1" s="57" t="s">
        <v>167</v>
      </c>
      <c r="X1" s="57" t="s">
        <v>136</v>
      </c>
      <c r="Y1" s="58" t="s">
        <v>158</v>
      </c>
      <c r="Z1" s="64" t="s">
        <v>159</v>
      </c>
      <c r="AA1" s="57" t="s">
        <v>229</v>
      </c>
      <c r="AB1" s="71" t="s">
        <v>143</v>
      </c>
      <c r="AC1" s="72" t="s">
        <v>2</v>
      </c>
      <c r="AD1" s="72" t="s">
        <v>3</v>
      </c>
      <c r="AE1" s="72" t="s">
        <v>112</v>
      </c>
      <c r="AF1" s="72" t="s">
        <v>113</v>
      </c>
      <c r="AG1" s="71" t="s">
        <v>168</v>
      </c>
      <c r="AH1" s="72" t="s">
        <v>122</v>
      </c>
      <c r="AI1" s="72" t="s">
        <v>132</v>
      </c>
      <c r="AJ1" s="72" t="s">
        <v>114</v>
      </c>
      <c r="AK1" s="72" t="s">
        <v>133</v>
      </c>
      <c r="AL1" s="72" t="s">
        <v>135</v>
      </c>
      <c r="AM1" s="72" t="s">
        <v>139</v>
      </c>
      <c r="AN1" s="72" t="s">
        <v>140</v>
      </c>
      <c r="AO1" s="72" t="s">
        <v>134</v>
      </c>
      <c r="AP1" s="72" t="s">
        <v>323</v>
      </c>
      <c r="AQ1" s="72" t="s">
        <v>141</v>
      </c>
      <c r="AR1" s="72" t="s">
        <v>325</v>
      </c>
    </row>
    <row r="2" spans="1:49" hidden="1">
      <c r="A2">
        <v>1</v>
      </c>
      <c r="B2">
        <f ca="1">COUNTIF(INDIRECT("D1:D"&amp;ROW()-1),D2)+1</f>
        <v>1</v>
      </c>
      <c r="C2">
        <f>IF(_xlfn.IFNA(MATCH(D2,$D$1:D1,0),0)=0,MAX($C$1:C1)+1,"")</f>
        <v>1</v>
      </c>
      <c r="D2" t="s">
        <v>4</v>
      </c>
      <c r="E2">
        <f t="shared" ref="E2:E7" si="0">_xlfn.NUMBERVALUE(RIGHT(D2,3))</f>
        <v>11</v>
      </c>
      <c r="F2" t="s">
        <v>30</v>
      </c>
      <c r="G2" s="68" t="s">
        <v>262</v>
      </c>
      <c r="H2" s="59" t="str" cm="1">
        <f t="array" ref="H2:H87">IF(_xlfn.DROP(_xlfn._TRO_TRAILING(G:G),1)="","",HYPERLINK("tel://"&amp;MID(_xlfn.DROP(_xlfn._TRO_TRAILING(G:G),1),2,100),"📞"))</f>
        <v>📞</v>
      </c>
      <c r="I2" s="75" t="str" cm="1">
        <f t="array" ref="I2:I87">IF(_xlfn.DROP(_xlfn._TRO_TRAILING(G:G),1)="","",HYPERLINK("https://api.whatsapp.com/send?phone="&amp;MID(_xlfn.DROP(_xlfn._TRO_TRAILING(G:G),1),2,100)&amp;"&amp;text=-","💬"))</f>
        <v>💬</v>
      </c>
      <c r="J2" s="1" t="s">
        <v>109</v>
      </c>
      <c r="K2" t="s">
        <v>108</v>
      </c>
      <c r="M2" t="s">
        <v>312</v>
      </c>
      <c r="R2" t="s">
        <v>116</v>
      </c>
      <c r="S2" t="s">
        <v>67</v>
      </c>
      <c r="U2" s="2" t="str">
        <f>HYPERLINK(subc_contr_folder_path&amp;S2,"Open")</f>
        <v>Open</v>
      </c>
      <c r="V2" s="2" t="e">
        <f>HYPERLINK(subc_contr_folder_path&amp;S2&amp;"\ipcs\"&amp;Y2,"Open")</f>
        <v>#VALUE!</v>
      </c>
      <c r="W2" s="2" t="e">
        <f>HYPERLINK(subc_contr_folder_path&amp;S2&amp;"\ipcs\"&amp;Y2&amp;"\"&amp;"log.pdf","Open")</f>
        <v>#VALUE!</v>
      </c>
      <c r="X2" s="2" t="e">
        <f>HYPERLINK(subc_contr_folder_path&amp;S2&amp;"\ipcs\"&amp;Y2&amp;"\"&amp;E2&amp;"-"&amp;Y2&amp;".pdf","Open")</f>
        <v>#VALUE!</v>
      </c>
      <c r="Y2" t="e">
        <f t="shared" ref="Y2:Y9" si="1">IF(Z2="","",Z2)</f>
        <v>#VALUE!</v>
      </c>
      <c r="Z2" s="62" t="e" cm="1">
        <f t="array" ref="Z2:Z87">_xlfn.MAXIFS([2]log_ipcs!$D:$D,[2]log_ipcs!$C:$C,_xlfn.NUMBERVALUE(LEFT(_xlfn.DROP(_xlfn._TRO_TRAILING(S:S),1),3)))</f>
        <v>#VALUE!</v>
      </c>
      <c r="AB2" s="10" t="s">
        <v>232</v>
      </c>
      <c r="AC2" s="1" t="s">
        <v>441</v>
      </c>
      <c r="AD2" s="1" t="s">
        <v>441</v>
      </c>
      <c r="AE2" s="1" t="s">
        <v>441</v>
      </c>
      <c r="AF2" s="1" t="s">
        <v>441</v>
      </c>
      <c r="AG2" s="1" t="s">
        <v>441</v>
      </c>
      <c r="AH2" s="1" t="s">
        <v>441</v>
      </c>
      <c r="AI2" s="1" t="s">
        <v>441</v>
      </c>
      <c r="AJ2" s="1" t="s">
        <v>441</v>
      </c>
      <c r="AK2" s="1"/>
      <c r="AL2" s="1"/>
      <c r="AM2" s="1"/>
      <c r="AN2" s="1"/>
      <c r="AO2" s="1"/>
      <c r="AP2" s="1"/>
      <c r="AQ2" s="1"/>
      <c r="AR2" s="1"/>
      <c r="AS2" s="1"/>
      <c r="AT2" s="2"/>
      <c r="AU2" s="1"/>
      <c r="AV2" s="1"/>
      <c r="AW2" s="1"/>
    </row>
    <row r="3" spans="1:49">
      <c r="A3">
        <f>+A2+1</f>
        <v>2</v>
      </c>
      <c r="B3">
        <f t="shared" ref="B3:B54" ca="1" si="2">COUNTIF(INDIRECT("D1:D"&amp;ROW()-1),D3)+1</f>
        <v>1</v>
      </c>
      <c r="C3">
        <f>IF(_xlfn.IFNA(MATCH(D3,$D$1:D2,0),0)=0,MAX($C$1:C2)+1,"")</f>
        <v>2</v>
      </c>
      <c r="D3" t="s">
        <v>5</v>
      </c>
      <c r="E3">
        <f t="shared" si="0"/>
        <v>14</v>
      </c>
      <c r="F3" t="s">
        <v>31</v>
      </c>
      <c r="G3" s="69" t="s">
        <v>234</v>
      </c>
      <c r="H3" s="59" t="str">
        <v>📞</v>
      </c>
      <c r="I3" s="75" t="str">
        <v>💬</v>
      </c>
      <c r="J3" s="1" t="s">
        <v>109</v>
      </c>
      <c r="K3" t="s">
        <v>108</v>
      </c>
      <c r="M3" t="s">
        <v>198</v>
      </c>
      <c r="R3" t="s">
        <v>117</v>
      </c>
      <c r="S3" t="s">
        <v>66</v>
      </c>
      <c r="U3" s="2" t="str">
        <f>HYPERLINK(subc_contr_folder_path&amp;S3,"Open")</f>
        <v>Open</v>
      </c>
      <c r="V3" s="2" t="e">
        <f>HYPERLINK(subc_contr_folder_path&amp;S3&amp;"\ipcs\"&amp;Y3,"Open")</f>
        <v>#VALUE!</v>
      </c>
      <c r="W3" s="2" t="e">
        <f>HYPERLINK(subc_contr_folder_path&amp;S3&amp;"\ipcs\"&amp;Y3&amp;"\"&amp;"log.pdf","Open")</f>
        <v>#VALUE!</v>
      </c>
      <c r="X3" s="2" t="e">
        <f>HYPERLINK(subc_contr_folder_path&amp;S3&amp;"\ipcs\"&amp;Y3&amp;"\"&amp;E3&amp;"-"&amp;Y3&amp;".pdf","Open")</f>
        <v>#VALUE!</v>
      </c>
      <c r="Y3" t="e">
        <f t="shared" si="1"/>
        <v>#VALUE!</v>
      </c>
      <c r="Z3" s="62" t="e">
        <v>#VALUE!</v>
      </c>
      <c r="AC3" s="1" t="s">
        <v>441</v>
      </c>
      <c r="AD3" s="1" t="s">
        <v>441</v>
      </c>
      <c r="AE3" s="1" t="s">
        <v>441</v>
      </c>
      <c r="AF3" s="1" t="s">
        <v>441</v>
      </c>
      <c r="AG3" s="1" t="s">
        <v>441</v>
      </c>
      <c r="AH3" s="1" t="s">
        <v>441</v>
      </c>
      <c r="AI3" s="1" t="s">
        <v>441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>
      <c r="A4">
        <f t="shared" ref="A4:A68" si="3">+A3+1</f>
        <v>3</v>
      </c>
      <c r="B4">
        <f t="shared" ca="1" si="2"/>
        <v>1</v>
      </c>
      <c r="C4">
        <f>IF(_xlfn.IFNA(MATCH(D4,$D$1:D3,0),0)=0,MAX($C$1:C3)+1,"")</f>
        <v>3</v>
      </c>
      <c r="D4" t="s">
        <v>6</v>
      </c>
      <c r="E4">
        <f t="shared" si="0"/>
        <v>30</v>
      </c>
      <c r="F4" t="s">
        <v>28</v>
      </c>
      <c r="G4" s="70" t="s">
        <v>455</v>
      </c>
      <c r="H4" s="59" t="str">
        <v>📞</v>
      </c>
      <c r="I4" s="59" t="str">
        <v>💬</v>
      </c>
      <c r="J4" s="1" t="s">
        <v>109</v>
      </c>
      <c r="K4" t="s">
        <v>108</v>
      </c>
      <c r="L4">
        <f>IF(OR(K4="",N4=""),"",IF(L3="",MAX(L$2:L3),L3)+1)</f>
        <v>1</v>
      </c>
      <c r="M4" t="s">
        <v>311</v>
      </c>
      <c r="N4" s="5" t="s">
        <v>93</v>
      </c>
      <c r="R4" t="s">
        <v>118</v>
      </c>
      <c r="S4" t="s">
        <v>89</v>
      </c>
      <c r="U4" s="2" t="str">
        <f>HYPERLINK(subc_contr_folder_path&amp;S4,"Open")</f>
        <v>Open</v>
      </c>
      <c r="V4" s="2" t="e">
        <f>HYPERLINK(subc_contr_folder_path&amp;S4&amp;"\ipcs\"&amp;Y4,"Open")</f>
        <v>#VALUE!</v>
      </c>
      <c r="W4" s="2" t="e">
        <f>HYPERLINK(subc_contr_folder_path&amp;S4&amp;"\ipcs\"&amp;Y4&amp;"\"&amp;"log.pdf","Open")</f>
        <v>#VALUE!</v>
      </c>
      <c r="X4" s="2" t="e">
        <f>HYPERLINK(subc_contr_folder_path&amp;S4&amp;"\ipcs\"&amp;Y4&amp;"\"&amp;E4&amp;"-"&amp;Y4&amp;".pdf","Open")</f>
        <v>#VALUE!</v>
      </c>
      <c r="Y4" t="e">
        <f t="shared" si="1"/>
        <v>#VALUE!</v>
      </c>
      <c r="Z4" s="62" t="e">
        <v>#VALUE!</v>
      </c>
      <c r="AC4" s="1" t="s">
        <v>441</v>
      </c>
      <c r="AD4" s="1" t="s">
        <v>441</v>
      </c>
      <c r="AE4" s="1" t="s">
        <v>441</v>
      </c>
      <c r="AF4" s="1" t="s">
        <v>441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idden="1">
      <c r="A5">
        <f t="shared" si="3"/>
        <v>4</v>
      </c>
      <c r="B5">
        <f t="shared" ca="1" si="2"/>
        <v>2</v>
      </c>
      <c r="C5" t="str">
        <f>IF(_xlfn.IFNA(MATCH(D5,$D$1:D4,0),0)=0,MAX($C$1:C4)+1,"")</f>
        <v/>
      </c>
      <c r="D5" t="s">
        <v>6</v>
      </c>
      <c r="E5">
        <f t="shared" si="0"/>
        <v>30</v>
      </c>
      <c r="F5" t="s">
        <v>28</v>
      </c>
      <c r="G5" s="77" t="s">
        <v>230</v>
      </c>
      <c r="H5" s="59" t="str">
        <v/>
      </c>
      <c r="I5" s="59" t="str">
        <v/>
      </c>
      <c r="J5" s="1" t="s">
        <v>109</v>
      </c>
      <c r="L5" t="str">
        <f>IF(OR(K5="",N5=""),"",IF(L4="",MAX(L$2:L4),L4)+1)</f>
        <v/>
      </c>
      <c r="N5" s="5" t="s">
        <v>92</v>
      </c>
      <c r="P5" s="5"/>
      <c r="R5" t="s">
        <v>118</v>
      </c>
      <c r="S5" t="s">
        <v>89</v>
      </c>
      <c r="U5" s="2"/>
      <c r="V5" s="2"/>
      <c r="W5" s="2"/>
      <c r="X5" s="2"/>
      <c r="Y5" t="e">
        <f t="shared" ref="Y5:Y50" si="4">IF(Z5="","",Z5)</f>
        <v>#VALUE!</v>
      </c>
      <c r="Z5" s="63" t="e">
        <v>#VALUE!</v>
      </c>
      <c r="AA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>
      <c r="A6">
        <f t="shared" si="3"/>
        <v>5</v>
      </c>
      <c r="B6">
        <f t="shared" ref="B6" ca="1" si="5">COUNTIF(INDIRECT("D1:D"&amp;ROW()-1),D6)+1</f>
        <v>1</v>
      </c>
      <c r="C6">
        <f>IF(_xlfn.IFNA(MATCH(D6,$D$1:D5,0),0)=0,MAX($C$1:C5)+1,"")</f>
        <v>4</v>
      </c>
      <c r="D6" t="s">
        <v>7</v>
      </c>
      <c r="E6">
        <f t="shared" ref="E6" si="6">_xlfn.NUMBERVALUE(RIGHT(D6,3))</f>
        <v>31</v>
      </c>
      <c r="F6" t="s">
        <v>28</v>
      </c>
      <c r="G6" s="70" t="s">
        <v>455</v>
      </c>
      <c r="H6" s="59" t="str">
        <v>📞</v>
      </c>
      <c r="I6" s="59" t="str">
        <v>💬</v>
      </c>
      <c r="J6" s="1" t="s">
        <v>109</v>
      </c>
      <c r="K6" t="s">
        <v>108</v>
      </c>
      <c r="L6" t="str">
        <f>IF(OR(K6="",N6=""),"",IF(L5="",MAX(L$2:L5),L5)+1)</f>
        <v/>
      </c>
      <c r="M6" t="s">
        <v>311</v>
      </c>
      <c r="R6" t="s">
        <v>118</v>
      </c>
      <c r="S6" t="s">
        <v>88</v>
      </c>
      <c r="U6" s="2" t="str">
        <f>HYPERLINK(subc_contr_folder_path&amp;S6,"Open")</f>
        <v>Open</v>
      </c>
      <c r="V6" s="2" t="e">
        <f>HYPERLINK(subc_contr_folder_path&amp;S6&amp;"\ipcs\"&amp;Y6,"Open")</f>
        <v>#VALUE!</v>
      </c>
      <c r="W6" s="2" t="e">
        <f>HYPERLINK(subc_contr_folder_path&amp;S6&amp;"\ipcs\"&amp;Y6&amp;"\"&amp;"log.xlsx","Open")</f>
        <v>#VALUE!</v>
      </c>
      <c r="X6" s="2" t="e">
        <f>HYPERLINK(subc_contr_folder_path&amp;S6&amp;"\ipcs\"&amp;Y6&amp;"\"&amp;E6&amp;"-"&amp;Y6&amp;".pdf","Open")</f>
        <v>#VALUE!</v>
      </c>
      <c r="Y6" t="e">
        <f t="shared" si="4"/>
        <v>#VALUE!</v>
      </c>
      <c r="Z6" s="62" t="e">
        <v>#VALUE!</v>
      </c>
      <c r="AC6" s="1" t="s">
        <v>441</v>
      </c>
      <c r="AD6" s="1" t="s">
        <v>441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idden="1">
      <c r="A7">
        <f t="shared" si="3"/>
        <v>6</v>
      </c>
      <c r="B7">
        <f t="shared" ca="1" si="2"/>
        <v>2</v>
      </c>
      <c r="C7" t="str">
        <f>IF(_xlfn.IFNA(MATCH(D7,$D$1:D6,0),0)=0,MAX($C$1:C6)+1,"")</f>
        <v/>
      </c>
      <c r="D7" t="s">
        <v>7</v>
      </c>
      <c r="E7">
        <f t="shared" si="0"/>
        <v>31</v>
      </c>
      <c r="F7" t="s">
        <v>28</v>
      </c>
      <c r="G7" s="77" t="s">
        <v>230</v>
      </c>
      <c r="H7" s="59" t="str">
        <v/>
      </c>
      <c r="I7" s="59" t="str">
        <v/>
      </c>
      <c r="J7" s="1" t="s">
        <v>109</v>
      </c>
      <c r="K7" t="s">
        <v>108</v>
      </c>
      <c r="L7">
        <f>IF(OR(K7="",N7=""),"",IF(L6="",MAX(L$2:L6),L6)+1)</f>
        <v>2</v>
      </c>
      <c r="M7" t="s">
        <v>307</v>
      </c>
      <c r="N7" s="5" t="s">
        <v>305</v>
      </c>
      <c r="O7" s="5" t="s">
        <v>441</v>
      </c>
      <c r="P7" s="60" t="s">
        <v>318</v>
      </c>
      <c r="Q7" t="s">
        <v>336</v>
      </c>
      <c r="R7" t="s">
        <v>462</v>
      </c>
      <c r="S7" t="s">
        <v>88</v>
      </c>
      <c r="U7" s="2"/>
      <c r="V7" s="2"/>
      <c r="W7" s="2"/>
      <c r="X7" s="2"/>
      <c r="Y7" t="e">
        <f t="shared" si="1"/>
        <v>#VALUE!</v>
      </c>
      <c r="Z7" s="62" t="e">
        <v>#VALUE!</v>
      </c>
      <c r="AC7" s="1" t="s">
        <v>441</v>
      </c>
      <c r="AD7" s="1" t="s">
        <v>441</v>
      </c>
      <c r="AE7" s="1" t="s">
        <v>441</v>
      </c>
      <c r="AF7" s="1" t="s">
        <v>441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>
      <c r="A8">
        <f t="shared" si="3"/>
        <v>7</v>
      </c>
      <c r="B8">
        <f t="shared" ca="1" si="2"/>
        <v>1</v>
      </c>
      <c r="C8">
        <f>IF(_xlfn.IFNA(MATCH(D8,$D$1:D7,0),0)=0,MAX($C$1:C7)+1,"")</f>
        <v>5</v>
      </c>
      <c r="D8" t="s">
        <v>8</v>
      </c>
      <c r="E8">
        <f t="shared" ref="E8:E42" si="7">_xlfn.NUMBERVALUE(RIGHT(D8,3))</f>
        <v>33</v>
      </c>
      <c r="F8" t="s">
        <v>29</v>
      </c>
      <c r="G8" s="69" t="s">
        <v>237</v>
      </c>
      <c r="H8" s="59" t="str">
        <v>📞</v>
      </c>
      <c r="I8" s="59" t="str">
        <v>💬</v>
      </c>
      <c r="J8" s="1" t="s">
        <v>109</v>
      </c>
      <c r="K8" t="s">
        <v>108</v>
      </c>
      <c r="L8" t="str">
        <f>IF(OR(K8="",N8=""),"",IF(L7="",MAX(L$2:L7),L7)+1)</f>
        <v/>
      </c>
      <c r="M8" t="s">
        <v>311</v>
      </c>
      <c r="R8" t="s">
        <v>118</v>
      </c>
      <c r="S8" t="s">
        <v>87</v>
      </c>
      <c r="U8" s="2" t="str">
        <f>HYPERLINK(subc_contr_folder_path&amp;S8,"Open")</f>
        <v>Open</v>
      </c>
      <c r="V8" s="2" t="e">
        <f>HYPERLINK(subc_contr_folder_path&amp;S8&amp;"\ipcs\"&amp;Y8,"Open")</f>
        <v>#VALUE!</v>
      </c>
      <c r="W8" s="2" t="e">
        <f>HYPERLINK(subc_contr_folder_path&amp;S8&amp;"\ipcs\"&amp;Y8&amp;"\"&amp;"log.pdf","Open")</f>
        <v>#VALUE!</v>
      </c>
      <c r="X8" s="2" t="e">
        <f>HYPERLINK(subc_contr_folder_path&amp;S8&amp;"\ipcs\"&amp;Y8&amp;"\"&amp;E8&amp;"-"&amp;Y8&amp;".pdf","Open")</f>
        <v>#VALUE!</v>
      </c>
      <c r="Y8" t="e">
        <f t="shared" si="1"/>
        <v>#VALUE!</v>
      </c>
      <c r="Z8" s="62" t="e">
        <v>#VALUE!</v>
      </c>
      <c r="AC8" s="1" t="s">
        <v>441</v>
      </c>
      <c r="AD8" s="1" t="s">
        <v>441</v>
      </c>
      <c r="AE8" s="1" t="s">
        <v>441</v>
      </c>
      <c r="AF8" s="1" t="s">
        <v>441</v>
      </c>
      <c r="AG8" s="1" t="s">
        <v>441</v>
      </c>
      <c r="AH8" s="1" t="s">
        <v>441</v>
      </c>
      <c r="AI8" s="1" t="s">
        <v>441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idden="1">
      <c r="A9">
        <f t="shared" si="3"/>
        <v>8</v>
      </c>
      <c r="B9">
        <f t="shared" ca="1" si="2"/>
        <v>1</v>
      </c>
      <c r="C9">
        <f>IF(_xlfn.IFNA(MATCH(D9,$D$1:D8,0),0)=0,MAX($C$1:C8)+1,"")</f>
        <v>6</v>
      </c>
      <c r="D9" t="s">
        <v>9</v>
      </c>
      <c r="E9">
        <f t="shared" si="7"/>
        <v>46</v>
      </c>
      <c r="F9" t="s">
        <v>120</v>
      </c>
      <c r="G9" s="69" t="s">
        <v>238</v>
      </c>
      <c r="H9" s="59" t="str">
        <v>📞</v>
      </c>
      <c r="I9" s="59" t="str">
        <v>💬</v>
      </c>
      <c r="J9" s="1" t="s">
        <v>109</v>
      </c>
      <c r="L9" t="str">
        <f>IF(OR(K9="",N9=""),"",IF(L8="",MAX(L$2:L8),L8)+1)</f>
        <v/>
      </c>
      <c r="N9" s="5" t="s">
        <v>56</v>
      </c>
      <c r="P9" s="60" t="s">
        <v>150</v>
      </c>
      <c r="Q9" t="s">
        <v>259</v>
      </c>
      <c r="R9" t="s">
        <v>115</v>
      </c>
      <c r="S9" t="s">
        <v>86</v>
      </c>
      <c r="U9" s="2" t="str">
        <f>HYPERLINK(subc_contr_folder_path&amp;S9,"Open")</f>
        <v>Open</v>
      </c>
      <c r="V9" s="2" t="str">
        <f>HYPERLINK(subc_contr_folder_path&amp;S9&amp;"\ipcs","Open")</f>
        <v>Open</v>
      </c>
      <c r="W9" s="2" t="e">
        <f>HYPERLINK(subc_contr_folder_path&amp;S9&amp;"\ipcs\"&amp;Y9&amp;"\"&amp;"log.pdf","Open")</f>
        <v>#VALUE!</v>
      </c>
      <c r="X9" s="2" t="e">
        <f>HYPERLINK(subc_contr_folder_path&amp;S9&amp;"\ipcs\"&amp;Y9&amp;"\"&amp;E9&amp;"-"&amp;Y9&amp;".pdf","Open")</f>
        <v>#VALUE!</v>
      </c>
      <c r="Y9" t="e">
        <f t="shared" si="1"/>
        <v>#VALUE!</v>
      </c>
      <c r="Z9" s="62" t="e">
        <v>#VALUE!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idden="1">
      <c r="A10">
        <f t="shared" si="3"/>
        <v>9</v>
      </c>
      <c r="B10">
        <f t="shared" ca="1" si="2"/>
        <v>2</v>
      </c>
      <c r="C10" t="str">
        <f>IF(_xlfn.IFNA(MATCH(D10,$D$1:D9,0),0)=0,MAX($C$1:C9)+1,"")</f>
        <v/>
      </c>
      <c r="D10" t="s">
        <v>9</v>
      </c>
      <c r="E10">
        <f t="shared" si="7"/>
        <v>46</v>
      </c>
      <c r="F10" t="s">
        <v>120</v>
      </c>
      <c r="G10" s="69" t="s">
        <v>238</v>
      </c>
      <c r="H10" s="59" t="str">
        <v>📞</v>
      </c>
      <c r="I10" s="59" t="str">
        <v>💬</v>
      </c>
      <c r="J10" s="1" t="s">
        <v>109</v>
      </c>
      <c r="L10" t="str">
        <f>IF(OR(K10="",N10=""),"",IF(L9="",MAX(L$2:L9),L9)+1)</f>
        <v/>
      </c>
      <c r="N10" s="5" t="s">
        <v>58</v>
      </c>
      <c r="P10" s="5" t="s">
        <v>150</v>
      </c>
      <c r="R10" t="s">
        <v>115</v>
      </c>
      <c r="S10" t="s">
        <v>86</v>
      </c>
      <c r="U10" s="2"/>
      <c r="V10" s="2"/>
      <c r="W10" s="2"/>
      <c r="X10" s="2"/>
      <c r="Y10" t="e">
        <f t="shared" si="4"/>
        <v>#VALUE!</v>
      </c>
      <c r="Z10" s="63" t="e">
        <v>#VALUE!</v>
      </c>
      <c r="AA10" s="2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>
      <c r="A11">
        <f t="shared" si="3"/>
        <v>10</v>
      </c>
      <c r="B11">
        <f t="shared" ca="1" si="2"/>
        <v>3</v>
      </c>
      <c r="C11" t="str">
        <f>IF(_xlfn.IFNA(MATCH(D11,$D$1:D10,0),0)=0,MAX($C$1:C10)+1,"")</f>
        <v/>
      </c>
      <c r="D11" t="s">
        <v>9</v>
      </c>
      <c r="E11">
        <f t="shared" si="7"/>
        <v>46</v>
      </c>
      <c r="F11" t="s">
        <v>120</v>
      </c>
      <c r="G11" s="69" t="s">
        <v>238</v>
      </c>
      <c r="H11" s="59" t="str">
        <v>📞</v>
      </c>
      <c r="I11" s="59" t="str">
        <v>💬</v>
      </c>
      <c r="J11" s="1" t="s">
        <v>109</v>
      </c>
      <c r="L11" t="str">
        <f>IF(OR(K11="",N11=""),"",IF(L10="",MAX(L$2:L10),L10)+1)</f>
        <v/>
      </c>
      <c r="N11" s="5" t="s">
        <v>53</v>
      </c>
      <c r="P11" s="5" t="s">
        <v>150</v>
      </c>
      <c r="R11" t="s">
        <v>115</v>
      </c>
      <c r="S11" t="s">
        <v>86</v>
      </c>
      <c r="U11" s="2"/>
      <c r="V11" s="2"/>
      <c r="W11" s="2"/>
      <c r="X11" s="2"/>
      <c r="Y11" t="e">
        <f t="shared" si="4"/>
        <v>#VALUE!</v>
      </c>
      <c r="Z11" s="63" t="e">
        <v>#VALUE!</v>
      </c>
      <c r="AA11" s="2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idden="1">
      <c r="A12">
        <f t="shared" si="3"/>
        <v>11</v>
      </c>
      <c r="B12">
        <f t="shared" ca="1" si="2"/>
        <v>4</v>
      </c>
      <c r="C12" t="str">
        <f>IF(_xlfn.IFNA(MATCH(D12,$D$1:D11,0),0)=0,MAX($C$1:C11)+1,"")</f>
        <v/>
      </c>
      <c r="D12" t="s">
        <v>9</v>
      </c>
      <c r="E12">
        <f t="shared" si="7"/>
        <v>46</v>
      </c>
      <c r="F12" t="s">
        <v>120</v>
      </c>
      <c r="G12" s="69" t="s">
        <v>238</v>
      </c>
      <c r="H12" s="59" t="str">
        <v>📞</v>
      </c>
      <c r="I12" s="59" t="str">
        <v>💬</v>
      </c>
      <c r="J12" s="1" t="s">
        <v>109</v>
      </c>
      <c r="L12" t="str">
        <f>IF(OR(K12="",N12=""),"",IF(L11="",MAX(L$2:L11),L11)+1)</f>
        <v/>
      </c>
      <c r="N12" s="5" t="s">
        <v>55</v>
      </c>
      <c r="P12" s="5" t="s">
        <v>151</v>
      </c>
      <c r="R12" t="s">
        <v>115</v>
      </c>
      <c r="S12" t="s">
        <v>86</v>
      </c>
      <c r="U12" s="2"/>
      <c r="V12" s="2"/>
      <c r="W12" s="2"/>
      <c r="X12" s="2"/>
      <c r="Y12" t="e">
        <f t="shared" si="4"/>
        <v>#VALUE!</v>
      </c>
      <c r="Z12" s="63" t="e">
        <v>#VALUE!</v>
      </c>
      <c r="AA12" s="2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idden="1">
      <c r="A13">
        <f t="shared" si="3"/>
        <v>12</v>
      </c>
      <c r="B13">
        <f t="shared" ca="1" si="2"/>
        <v>5</v>
      </c>
      <c r="C13" t="str">
        <f>IF(_xlfn.IFNA(MATCH(D13,$D$1:D12,0),0)=0,MAX($C$1:C12)+1,"")</f>
        <v/>
      </c>
      <c r="D13" t="s">
        <v>9</v>
      </c>
      <c r="E13">
        <f t="shared" si="7"/>
        <v>46</v>
      </c>
      <c r="F13" t="s">
        <v>120</v>
      </c>
      <c r="G13" s="69" t="s">
        <v>238</v>
      </c>
      <c r="H13" s="59" t="str">
        <v>📞</v>
      </c>
      <c r="I13" s="59" t="str">
        <v>💬</v>
      </c>
      <c r="J13" s="1" t="s">
        <v>109</v>
      </c>
      <c r="L13" t="str">
        <f>IF(OR(K13="",N13=""),"",IF(L12="",MAX(L$2:L12),L12)+1)</f>
        <v/>
      </c>
      <c r="N13" s="5" t="s">
        <v>54</v>
      </c>
      <c r="P13" s="60" t="s">
        <v>130</v>
      </c>
      <c r="Q13" t="s">
        <v>260</v>
      </c>
      <c r="R13" t="s">
        <v>115</v>
      </c>
      <c r="S13" t="s">
        <v>86</v>
      </c>
      <c r="U13" s="2"/>
      <c r="V13" s="2"/>
      <c r="W13" s="2"/>
      <c r="X13" s="2"/>
      <c r="Y13" t="e">
        <f t="shared" si="4"/>
        <v>#VALUE!</v>
      </c>
      <c r="Z13" s="63" t="e">
        <v>#VALUE!</v>
      </c>
      <c r="AA13" s="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idden="1">
      <c r="A14">
        <f t="shared" si="3"/>
        <v>13</v>
      </c>
      <c r="B14">
        <f t="shared" ca="1" si="2"/>
        <v>6</v>
      </c>
      <c r="C14" t="str">
        <f>IF(_xlfn.IFNA(MATCH(D14,$D$1:D13,0),0)=0,MAX($C$1:C13)+1,"")</f>
        <v/>
      </c>
      <c r="D14" t="s">
        <v>9</v>
      </c>
      <c r="E14">
        <f t="shared" si="7"/>
        <v>46</v>
      </c>
      <c r="F14" t="s">
        <v>120</v>
      </c>
      <c r="G14" s="69" t="s">
        <v>238</v>
      </c>
      <c r="H14" s="59" t="str">
        <v>📞</v>
      </c>
      <c r="I14" s="59" t="str">
        <v>💬</v>
      </c>
      <c r="J14" s="1" t="s">
        <v>109</v>
      </c>
      <c r="L14" t="str">
        <f>IF(OR(K14="",N14=""),"",IF(L13="",MAX(L$2:L13),L13)+1)</f>
        <v/>
      </c>
      <c r="N14" s="5" t="s">
        <v>57</v>
      </c>
      <c r="P14" s="5" t="s">
        <v>150</v>
      </c>
      <c r="R14" t="s">
        <v>115</v>
      </c>
      <c r="S14" t="s">
        <v>86</v>
      </c>
      <c r="U14" s="2"/>
      <c r="V14" s="2"/>
      <c r="W14" s="2"/>
      <c r="X14" s="2"/>
      <c r="Y14" t="e">
        <f t="shared" si="4"/>
        <v>#VALUE!</v>
      </c>
      <c r="Z14" s="63" t="e">
        <v>#VALUE!</v>
      </c>
      <c r="AA14" s="2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idden="1">
      <c r="A15">
        <f t="shared" si="3"/>
        <v>14</v>
      </c>
      <c r="B15">
        <f t="shared" ca="1" si="2"/>
        <v>7</v>
      </c>
      <c r="C15" t="str">
        <f>IF(_xlfn.IFNA(MATCH(D15,$D$1:D14,0),0)=0,MAX($C$1:C14)+1,"")</f>
        <v/>
      </c>
      <c r="D15" t="s">
        <v>9</v>
      </c>
      <c r="E15">
        <f t="shared" si="7"/>
        <v>46</v>
      </c>
      <c r="F15" t="s">
        <v>120</v>
      </c>
      <c r="G15" s="69" t="s">
        <v>238</v>
      </c>
      <c r="H15" s="59" t="str">
        <v>📞</v>
      </c>
      <c r="I15" s="59" t="str">
        <v>💬</v>
      </c>
      <c r="J15" s="1" t="s">
        <v>109</v>
      </c>
      <c r="L15" t="str">
        <f>IF(OR(K15="",N15=""),"",IF(L14="",MAX(L$2:L14),L14)+1)</f>
        <v/>
      </c>
      <c r="N15" s="5" t="s">
        <v>52</v>
      </c>
      <c r="P15" s="5" t="s">
        <v>127</v>
      </c>
      <c r="S15" t="s">
        <v>86</v>
      </c>
      <c r="U15" s="2"/>
      <c r="V15" s="2"/>
      <c r="W15" s="2"/>
      <c r="X15" s="2"/>
      <c r="Y15" t="e">
        <f t="shared" si="4"/>
        <v>#VALUE!</v>
      </c>
      <c r="Z15" s="63" t="e">
        <v>#VALUE!</v>
      </c>
      <c r="AA15" s="2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idden="1">
      <c r="A16">
        <f t="shared" si="3"/>
        <v>15</v>
      </c>
      <c r="B16">
        <f t="shared" ca="1" si="2"/>
        <v>1</v>
      </c>
      <c r="C16">
        <f>IF(_xlfn.IFNA(MATCH(D16,$D$1:D15,0),0)=0,MAX($C$1:C15)+1,"")</f>
        <v>7</v>
      </c>
      <c r="D16" t="s">
        <v>10</v>
      </c>
      <c r="E16">
        <f t="shared" si="7"/>
        <v>50</v>
      </c>
      <c r="F16" t="s">
        <v>32</v>
      </c>
      <c r="G16" s="69" t="s">
        <v>239</v>
      </c>
      <c r="H16" s="59" t="str">
        <v>📞</v>
      </c>
      <c r="I16" s="59" t="str">
        <v>💬</v>
      </c>
      <c r="J16" s="1" t="s">
        <v>109</v>
      </c>
      <c r="K16" t="s">
        <v>108</v>
      </c>
      <c r="L16">
        <f>IF(OR(K16="",N16=""),"",IF(L15="",MAX(L$2:L15),L15)+1)</f>
        <v>3</v>
      </c>
      <c r="M16" t="s">
        <v>313</v>
      </c>
      <c r="N16" s="5" t="s">
        <v>95</v>
      </c>
      <c r="P16" s="60" t="s">
        <v>337</v>
      </c>
      <c r="Q16" t="s">
        <v>131</v>
      </c>
      <c r="R16" t="s">
        <v>115</v>
      </c>
      <c r="S16" t="s">
        <v>85</v>
      </c>
      <c r="U16" s="2" t="str">
        <f>HYPERLINK(subc_contr_folder_path&amp;S16,"Open")</f>
        <v>Open</v>
      </c>
      <c r="V16" s="2" t="e">
        <f>HYPERLINK(subc_contr_folder_path&amp;S16&amp;"\ipcs\"&amp;Y16,"Open")</f>
        <v>#VALUE!</v>
      </c>
      <c r="W16" s="2" t="e">
        <f>HYPERLINK(subc_contr_folder_path&amp;S16&amp;"\ipcs\"&amp;Y16&amp;"\"&amp;"log.pdf","Open")</f>
        <v>#VALUE!</v>
      </c>
      <c r="X16" s="2" t="e">
        <f>HYPERLINK(subc_contr_folder_path&amp;S16&amp;"\ipcs\"&amp;Y16&amp;"\"&amp;E16&amp;"-"&amp;Y16&amp;".pdf","Open")</f>
        <v>#VALUE!</v>
      </c>
      <c r="Y16" t="e">
        <f t="shared" si="4"/>
        <v>#VALUE!</v>
      </c>
      <c r="Z16" s="62" t="e">
        <v>#VALUE!</v>
      </c>
      <c r="AC16" s="1" t="s">
        <v>291</v>
      </c>
      <c r="AD16" s="1" t="s">
        <v>441</v>
      </c>
      <c r="AE16" s="1" t="s">
        <v>441</v>
      </c>
      <c r="AF16" s="1" t="s">
        <v>441</v>
      </c>
      <c r="AG16" s="1" t="s">
        <v>441</v>
      </c>
      <c r="AH16" s="1" t="s">
        <v>441</v>
      </c>
      <c r="AI16" s="1" t="s">
        <v>441</v>
      </c>
      <c r="AJ16" s="1" t="s">
        <v>441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>
      <c r="A17">
        <f t="shared" si="3"/>
        <v>16</v>
      </c>
      <c r="B17">
        <f t="shared" ca="1" si="2"/>
        <v>1</v>
      </c>
      <c r="C17">
        <f>IF(_xlfn.IFNA(MATCH(D17,$D$1:D16,0),0)=0,MAX($C$1:C16)+1,"")</f>
        <v>8</v>
      </c>
      <c r="D17" t="s">
        <v>11</v>
      </c>
      <c r="E17">
        <f t="shared" si="7"/>
        <v>51</v>
      </c>
      <c r="F17" t="s">
        <v>33</v>
      </c>
      <c r="G17" s="69" t="s">
        <v>240</v>
      </c>
      <c r="H17" s="59" t="str">
        <v>📞</v>
      </c>
      <c r="I17" s="75" t="str">
        <v>💬</v>
      </c>
      <c r="J17" s="1" t="s">
        <v>109</v>
      </c>
      <c r="K17" t="s">
        <v>108</v>
      </c>
      <c r="L17">
        <f>IF(OR(K17="",N17=""),"",IF(L16="",MAX(L$2:L16),L16)+1)</f>
        <v>4</v>
      </c>
      <c r="M17" t="s">
        <v>307</v>
      </c>
      <c r="N17" s="5" t="s">
        <v>263</v>
      </c>
      <c r="O17" s="5" t="s">
        <v>441</v>
      </c>
      <c r="P17" s="60" t="s">
        <v>227</v>
      </c>
      <c r="Q17" t="s">
        <v>228</v>
      </c>
      <c r="R17" t="s">
        <v>462</v>
      </c>
      <c r="S17" t="s">
        <v>84</v>
      </c>
      <c r="U17" s="2" t="str">
        <f>HYPERLINK(subc_contr_folder_path&amp;S17,"Open")</f>
        <v>Open</v>
      </c>
      <c r="V17" s="2" t="e">
        <f>HYPERLINK(subc_contr_folder_path&amp;S17&amp;"\ipcs\"&amp;Y17,"Open")</f>
        <v>#VALUE!</v>
      </c>
      <c r="W17" s="2" t="e">
        <f>HYPERLINK(subc_contr_folder_path&amp;S17&amp;"\ipcs\"&amp;Y17&amp;"\"&amp;"log.pdf","Open")</f>
        <v>#VALUE!</v>
      </c>
      <c r="X17" s="2" t="e">
        <f>HYPERLINK(subc_contr_folder_path&amp;S17&amp;"\ipcs\"&amp;Y17&amp;"\"&amp;E17&amp;"-"&amp;Y17&amp;".pdf","Open")</f>
        <v>#VALUE!</v>
      </c>
      <c r="Y17" t="e">
        <f t="shared" ref="Y17" si="8">IF(Z17="","",Z17)</f>
        <v>#VALUE!</v>
      </c>
      <c r="Z17" s="62" t="e">
        <v>#VALUE!</v>
      </c>
      <c r="AC17" s="1"/>
      <c r="AD17" s="1" t="s">
        <v>441</v>
      </c>
      <c r="AE17" s="1" t="s">
        <v>441</v>
      </c>
      <c r="AF17" s="1" t="s">
        <v>441</v>
      </c>
      <c r="AG17" s="1" t="s">
        <v>441</v>
      </c>
      <c r="AH17" s="1" t="s">
        <v>441</v>
      </c>
      <c r="AI17" s="1" t="s">
        <v>441</v>
      </c>
      <c r="AJ17" s="1" t="s">
        <v>441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idden="1">
      <c r="A18">
        <f t="shared" si="3"/>
        <v>17</v>
      </c>
      <c r="B18">
        <f t="shared" ca="1" si="2"/>
        <v>2</v>
      </c>
      <c r="C18" t="str">
        <f>IF(_xlfn.IFNA(MATCH(D18,$D$1:D17,0),0)=0,MAX($C$1:C17)+1,"")</f>
        <v/>
      </c>
      <c r="D18" t="s">
        <v>11</v>
      </c>
      <c r="E18">
        <f t="shared" ref="E18" si="9">_xlfn.NUMBERVALUE(RIGHT(D18,3))</f>
        <v>51</v>
      </c>
      <c r="F18" t="s">
        <v>33</v>
      </c>
      <c r="G18" s="69" t="s">
        <v>240</v>
      </c>
      <c r="H18" s="59" t="str">
        <v>📞</v>
      </c>
      <c r="I18" s="59" t="str">
        <v>💬</v>
      </c>
      <c r="J18" s="1" t="s">
        <v>109</v>
      </c>
      <c r="L18" t="str">
        <f>IF(OR(K18="",N18=""),"",IF(L17="",MAX(L$2:L17),L17)+1)</f>
        <v/>
      </c>
      <c r="N18" s="5" t="s">
        <v>97</v>
      </c>
      <c r="P18" s="5" t="s">
        <v>227</v>
      </c>
      <c r="Q18" t="s">
        <v>228</v>
      </c>
      <c r="R18" t="s">
        <v>192</v>
      </c>
      <c r="S18" t="s">
        <v>84</v>
      </c>
      <c r="U18" s="2"/>
      <c r="V18" s="2"/>
      <c r="W18" s="2"/>
      <c r="X18" s="2"/>
      <c r="Y18" t="e">
        <f t="shared" ref="Y18" si="10">IF(Z18="","",Z18)</f>
        <v>#VALUE!</v>
      </c>
      <c r="Z18" s="62" t="e">
        <v>#VALUE!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>
      <c r="A19">
        <f t="shared" si="3"/>
        <v>18</v>
      </c>
      <c r="B19">
        <f t="shared" ca="1" si="2"/>
        <v>3</v>
      </c>
      <c r="C19" t="str">
        <f>IF(_xlfn.IFNA(MATCH(D19,$D$1:D18,0),0)=0,MAX($C$1:C18)+1,"")</f>
        <v/>
      </c>
      <c r="D19" t="s">
        <v>11</v>
      </c>
      <c r="E19">
        <f t="shared" si="7"/>
        <v>51</v>
      </c>
      <c r="F19" t="s">
        <v>33</v>
      </c>
      <c r="G19" s="69" t="s">
        <v>240</v>
      </c>
      <c r="H19" s="59" t="str">
        <v>📞</v>
      </c>
      <c r="I19" s="59" t="str">
        <v>💬</v>
      </c>
      <c r="J19" s="1" t="s">
        <v>109</v>
      </c>
      <c r="L19" t="str">
        <f>IF(OR(K19="",N19=""),"",IF(L18="",MAX(L$2:L18),L18)+1)</f>
        <v/>
      </c>
      <c r="N19" s="5" t="s">
        <v>96</v>
      </c>
      <c r="P19" s="5"/>
      <c r="S19" t="s">
        <v>84</v>
      </c>
      <c r="U19" s="2"/>
      <c r="V19" s="2"/>
      <c r="W19" s="2"/>
      <c r="X19" s="2"/>
      <c r="Y19" t="e">
        <f t="shared" si="4"/>
        <v>#VALUE!</v>
      </c>
      <c r="Z19" s="62" t="e">
        <v>#VALUE!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>
      <c r="A20">
        <f t="shared" si="3"/>
        <v>19</v>
      </c>
      <c r="B20">
        <f t="shared" ca="1" si="2"/>
        <v>4</v>
      </c>
      <c r="C20" t="str">
        <f>IF(_xlfn.IFNA(MATCH(D20,$D$1:D19,0),0)=0,MAX($C$1:C19)+1,"")</f>
        <v/>
      </c>
      <c r="D20" t="s">
        <v>11</v>
      </c>
      <c r="E20">
        <f t="shared" si="7"/>
        <v>51</v>
      </c>
      <c r="F20" t="s">
        <v>33</v>
      </c>
      <c r="G20" s="69" t="s">
        <v>240</v>
      </c>
      <c r="H20" s="59" t="str">
        <v>📞</v>
      </c>
      <c r="I20" s="59" t="str">
        <v>💬</v>
      </c>
      <c r="J20" s="1" t="s">
        <v>109</v>
      </c>
      <c r="L20" t="str">
        <f>IF(OR(K20="",N20=""),"",IF(L19="",MAX(L$2:L19),L19)+1)</f>
        <v/>
      </c>
      <c r="N20" s="5" t="s">
        <v>258</v>
      </c>
      <c r="P20" s="60" t="s">
        <v>257</v>
      </c>
      <c r="Q20" t="s">
        <v>277</v>
      </c>
      <c r="R20" t="s">
        <v>115</v>
      </c>
      <c r="S20" t="s">
        <v>84</v>
      </c>
      <c r="U20" s="2"/>
      <c r="V20" s="2"/>
      <c r="W20" s="2"/>
      <c r="X20" s="2"/>
      <c r="Y20" t="e">
        <f t="shared" si="4"/>
        <v>#VALUE!</v>
      </c>
      <c r="Z20" s="62" t="e">
        <v>#VALUE!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>
      <c r="A21">
        <f t="shared" si="3"/>
        <v>20</v>
      </c>
      <c r="B21">
        <f t="shared" ca="1" si="2"/>
        <v>5</v>
      </c>
      <c r="C21" t="str">
        <f>IF(_xlfn.IFNA(MATCH(D21,$D$1:D20,0),0)=0,MAX($C$1:C20)+1,"")</f>
        <v/>
      </c>
      <c r="D21" t="s">
        <v>11</v>
      </c>
      <c r="E21">
        <f t="shared" si="7"/>
        <v>51</v>
      </c>
      <c r="F21" t="s">
        <v>33</v>
      </c>
      <c r="G21" s="69" t="s">
        <v>240</v>
      </c>
      <c r="H21" s="59" t="str">
        <v>📞</v>
      </c>
      <c r="I21" s="59" t="str">
        <v>💬</v>
      </c>
      <c r="J21" s="1" t="s">
        <v>109</v>
      </c>
      <c r="K21" t="s">
        <v>108</v>
      </c>
      <c r="L21">
        <f>IF(OR(K21="",N21=""),"",IF(L20="",MAX(L$2:L20),L20)+1)</f>
        <v>5</v>
      </c>
      <c r="M21" t="s">
        <v>307</v>
      </c>
      <c r="N21" s="5" t="s">
        <v>298</v>
      </c>
      <c r="O21" s="5" t="s">
        <v>441</v>
      </c>
      <c r="P21" s="60" t="s">
        <v>290</v>
      </c>
      <c r="Q21" t="s">
        <v>289</v>
      </c>
      <c r="R21" t="s">
        <v>462</v>
      </c>
      <c r="S21" t="s">
        <v>84</v>
      </c>
      <c r="U21" s="2"/>
      <c r="V21" s="2"/>
      <c r="W21" s="2"/>
      <c r="X21" s="2"/>
      <c r="Z21" s="62" t="e">
        <v>#VALUE!</v>
      </c>
      <c r="AC21" s="1"/>
      <c r="AD21" s="1" t="s">
        <v>441</v>
      </c>
      <c r="AE21" s="1" t="s">
        <v>441</v>
      </c>
      <c r="AF21" s="1" t="s">
        <v>441</v>
      </c>
      <c r="AG21" s="1" t="s">
        <v>441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idden="1">
      <c r="A22">
        <f t="shared" si="3"/>
        <v>21</v>
      </c>
      <c r="B22">
        <f t="shared" ca="1" si="2"/>
        <v>6</v>
      </c>
      <c r="C22" t="str">
        <f>IF(_xlfn.IFNA(MATCH(D22,$D$1:D21,0),0)=0,MAX($C$1:C21)+1,"")</f>
        <v/>
      </c>
      <c r="D22" t="s">
        <v>11</v>
      </c>
      <c r="E22">
        <f t="shared" si="7"/>
        <v>51</v>
      </c>
      <c r="F22" t="s">
        <v>33</v>
      </c>
      <c r="G22" s="69" t="s">
        <v>240</v>
      </c>
      <c r="H22" s="59" t="str">
        <v>📞</v>
      </c>
      <c r="I22" s="59" t="str">
        <v>💬</v>
      </c>
      <c r="J22" s="1" t="s">
        <v>109</v>
      </c>
      <c r="K22" t="s">
        <v>108</v>
      </c>
      <c r="L22">
        <f>IF(OR(K22="",N22=""),"",IF(L21="",MAX(L$2:L21),L21)+1)</f>
        <v>6</v>
      </c>
      <c r="M22" t="s">
        <v>307</v>
      </c>
      <c r="N22" s="5" t="s">
        <v>299</v>
      </c>
      <c r="O22" s="5" t="s">
        <v>441</v>
      </c>
      <c r="P22" s="60" t="s">
        <v>290</v>
      </c>
      <c r="Q22" t="s">
        <v>289</v>
      </c>
      <c r="R22" t="s">
        <v>462</v>
      </c>
      <c r="S22" t="s">
        <v>84</v>
      </c>
      <c r="U22" s="2"/>
      <c r="V22" s="2"/>
      <c r="W22" s="2"/>
      <c r="X22" s="2"/>
      <c r="Z22" s="62" t="e">
        <v>#VALUE!</v>
      </c>
      <c r="AC22" s="1"/>
      <c r="AD22" s="1" t="s">
        <v>441</v>
      </c>
      <c r="AE22" s="1" t="s">
        <v>441</v>
      </c>
      <c r="AF22" s="1" t="s">
        <v>441</v>
      </c>
      <c r="AG22" s="1" t="s">
        <v>441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idden="1">
      <c r="A23">
        <f t="shared" si="3"/>
        <v>22</v>
      </c>
      <c r="B23">
        <f t="shared" ca="1" si="2"/>
        <v>7</v>
      </c>
      <c r="C23" t="str">
        <f>IF(_xlfn.IFNA(MATCH(D23,$D$1:D22,0),0)=0,MAX($C$1:C22)+1,"")</f>
        <v/>
      </c>
      <c r="D23" t="s">
        <v>11</v>
      </c>
      <c r="E23">
        <f t="shared" ref="E23" si="11">_xlfn.NUMBERVALUE(RIGHT(D23,3))</f>
        <v>51</v>
      </c>
      <c r="F23" t="s">
        <v>33</v>
      </c>
      <c r="G23" s="69" t="s">
        <v>240</v>
      </c>
      <c r="H23" s="59" t="str">
        <v>📞</v>
      </c>
      <c r="I23" s="59" t="str">
        <v>💬</v>
      </c>
      <c r="J23" s="1" t="s">
        <v>109</v>
      </c>
      <c r="K23" t="s">
        <v>108</v>
      </c>
      <c r="L23">
        <f>IF(OR(K23="",N23=""),"",IF(L22="",MAX(L$2:L22),L22)+1)</f>
        <v>7</v>
      </c>
      <c r="M23" t="s">
        <v>307</v>
      </c>
      <c r="N23" s="5" t="s">
        <v>300</v>
      </c>
      <c r="O23" s="5" t="s">
        <v>441</v>
      </c>
      <c r="P23" s="60" t="s">
        <v>290</v>
      </c>
      <c r="Q23" t="s">
        <v>289</v>
      </c>
      <c r="R23" t="s">
        <v>462</v>
      </c>
      <c r="S23" t="s">
        <v>84</v>
      </c>
      <c r="U23" s="2"/>
      <c r="V23" s="2"/>
      <c r="W23" s="2"/>
      <c r="X23" s="2"/>
      <c r="Z23" s="62" t="e">
        <v>#VALUE!</v>
      </c>
      <c r="AC23" s="1"/>
      <c r="AD23" s="1" t="s">
        <v>441</v>
      </c>
      <c r="AE23" s="1" t="s">
        <v>441</v>
      </c>
      <c r="AF23" s="1" t="s">
        <v>441</v>
      </c>
      <c r="AG23" s="1" t="s">
        <v>441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idden="1">
      <c r="A24">
        <f t="shared" si="3"/>
        <v>23</v>
      </c>
      <c r="B24">
        <f t="shared" ca="1" si="2"/>
        <v>1</v>
      </c>
      <c r="C24">
        <f>IF(_xlfn.IFNA(MATCH(D24,$D$1:D23,0),0)=0,MAX($C$1:C23)+1,"")</f>
        <v>9</v>
      </c>
      <c r="D24" t="s">
        <v>12</v>
      </c>
      <c r="E24">
        <f t="shared" si="7"/>
        <v>52</v>
      </c>
      <c r="F24" t="s">
        <v>34</v>
      </c>
      <c r="G24" s="77"/>
      <c r="H24" s="59" t="str">
        <v/>
      </c>
      <c r="I24" s="59" t="str">
        <v/>
      </c>
      <c r="J24" s="1" t="s">
        <v>109</v>
      </c>
      <c r="L24" t="str">
        <f>IF(OR(K24="",N24=""),"",IF(L23="",MAX(L$2:L23),L23)+1)</f>
        <v/>
      </c>
      <c r="N24" s="5" t="s">
        <v>98</v>
      </c>
      <c r="P24" s="5"/>
      <c r="S24" t="s">
        <v>83</v>
      </c>
      <c r="U24" s="2" t="str">
        <f>HYPERLINK(subc_contr_folder_path&amp;S24,"Open")</f>
        <v>Open</v>
      </c>
      <c r="V24" s="2" t="str">
        <f>HYPERLINK(subc_contr_folder_path&amp;S24&amp;"\ipcs","Open")</f>
        <v>Open</v>
      </c>
      <c r="W24" s="2" t="e">
        <f>HYPERLINK(subc_contr_folder_path&amp;S24&amp;"\ipcs\"&amp;Y24&amp;"\"&amp;"log.pdf","Open")</f>
        <v>#VALUE!</v>
      </c>
      <c r="X24" s="2" t="e">
        <f>HYPERLINK(subc_contr_folder_path&amp;S24&amp;"\ipcs\"&amp;Y24&amp;"\"&amp;E24&amp;"-"&amp;Y24&amp;".pdf","Open")</f>
        <v>#VALUE!</v>
      </c>
      <c r="Y24" t="e">
        <f t="shared" ref="Y24" si="12">IF(Z24="","",Z24)</f>
        <v>#VALUE!</v>
      </c>
      <c r="Z24" s="62" t="e">
        <v>#VALUE!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idden="1">
      <c r="A25">
        <f t="shared" si="3"/>
        <v>24</v>
      </c>
      <c r="B25">
        <f t="shared" ca="1" si="2"/>
        <v>2</v>
      </c>
      <c r="C25" t="str">
        <f>IF(_xlfn.IFNA(MATCH(D25,$D$1:D24,0),0)=0,MAX($C$1:C24)+1,"")</f>
        <v/>
      </c>
      <c r="D25" t="s">
        <v>12</v>
      </c>
      <c r="E25">
        <f t="shared" si="7"/>
        <v>52</v>
      </c>
      <c r="F25" t="s">
        <v>34</v>
      </c>
      <c r="G25" s="77"/>
      <c r="H25" s="59" t="str">
        <v/>
      </c>
      <c r="I25" s="59" t="str">
        <v/>
      </c>
      <c r="J25" s="1" t="s">
        <v>109</v>
      </c>
      <c r="L25" t="str">
        <f>IF(OR(K25="",N25=""),"",IF(L24="",MAX(L$2:L24),L24)+1)</f>
        <v/>
      </c>
      <c r="N25" s="5" t="s">
        <v>99</v>
      </c>
      <c r="P25" s="5"/>
      <c r="S25" t="s">
        <v>83</v>
      </c>
      <c r="U25" s="2"/>
      <c r="V25" s="2"/>
      <c r="W25" s="2"/>
      <c r="X25" s="2"/>
      <c r="Y25" t="e">
        <f t="shared" si="4"/>
        <v>#VALUE!</v>
      </c>
      <c r="Z25" s="63" t="e">
        <v>#VALUE!</v>
      </c>
      <c r="AA25" s="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idden="1">
      <c r="A26">
        <f t="shared" si="3"/>
        <v>25</v>
      </c>
      <c r="B26">
        <f t="shared" ca="1" si="2"/>
        <v>1</v>
      </c>
      <c r="C26">
        <f>IF(_xlfn.IFNA(MATCH(D26,$D$1:D25,0),0)=0,MAX($C$1:C25)+1,"")</f>
        <v>10</v>
      </c>
      <c r="D26" t="s">
        <v>13</v>
      </c>
      <c r="E26">
        <f t="shared" si="7"/>
        <v>65</v>
      </c>
      <c r="F26" t="s">
        <v>35</v>
      </c>
      <c r="G26" s="69" t="s">
        <v>241</v>
      </c>
      <c r="H26" s="59" t="str">
        <v>📞</v>
      </c>
      <c r="I26" s="59" t="str">
        <v>💬</v>
      </c>
      <c r="J26" s="1" t="s">
        <v>109</v>
      </c>
      <c r="K26" t="s">
        <v>108</v>
      </c>
      <c r="L26">
        <f>IF(OR(K26="",N26=""),"",IF(L25="",MAX(L$2:L25),L25)+1)</f>
        <v>8</v>
      </c>
      <c r="M26" t="s">
        <v>313</v>
      </c>
      <c r="N26" s="5" t="s">
        <v>62</v>
      </c>
      <c r="P26" s="60" t="s">
        <v>130</v>
      </c>
      <c r="Q26" t="s">
        <v>129</v>
      </c>
      <c r="R26" t="s">
        <v>115</v>
      </c>
      <c r="S26" t="s">
        <v>82</v>
      </c>
      <c r="U26" s="2" t="str">
        <f>HYPERLINK(subc_contr_folder_path&amp;S26,"Open")</f>
        <v>Open</v>
      </c>
      <c r="V26" s="2" t="e">
        <f>HYPERLINK(subc_contr_folder_path&amp;S26&amp;"\ipcs\"&amp;Y26,"Open")</f>
        <v>#VALUE!</v>
      </c>
      <c r="W26" s="2" t="e">
        <f>HYPERLINK(subc_contr_folder_path&amp;S26&amp;"\ipcs\"&amp;Y26&amp;"\"&amp;"log.pdf","Open")</f>
        <v>#VALUE!</v>
      </c>
      <c r="X26" s="2" t="e">
        <f>HYPERLINK(subc_contr_folder_path&amp;S26&amp;"\ipcs\"&amp;Y26&amp;"\"&amp;E26&amp;"-"&amp;Y26&amp;".pdf","Open")</f>
        <v>#VALUE!</v>
      </c>
      <c r="Y26" t="e">
        <f t="shared" si="4"/>
        <v>#VALUE!</v>
      </c>
      <c r="Z26" s="62" t="e">
        <v>#VALUE!</v>
      </c>
      <c r="AC26" s="1"/>
      <c r="AD26" s="1" t="s">
        <v>441</v>
      </c>
      <c r="AE26" s="1" t="s">
        <v>441</v>
      </c>
      <c r="AF26" s="1" t="s">
        <v>441</v>
      </c>
      <c r="AG26" s="1" t="s">
        <v>441</v>
      </c>
      <c r="AH26" s="1" t="s">
        <v>441</v>
      </c>
      <c r="AI26" s="1" t="s">
        <v>441</v>
      </c>
      <c r="AJ26" s="1" t="s">
        <v>441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idden="1">
      <c r="A27">
        <f t="shared" si="3"/>
        <v>26</v>
      </c>
      <c r="B27">
        <f t="shared" ca="1" si="2"/>
        <v>2</v>
      </c>
      <c r="C27" t="str">
        <f>IF(_xlfn.IFNA(MATCH(D27,$D$1:D26,0),0)=0,MAX($C$1:C26)+1,"")</f>
        <v/>
      </c>
      <c r="D27" t="s">
        <v>13</v>
      </c>
      <c r="E27">
        <f t="shared" si="7"/>
        <v>65</v>
      </c>
      <c r="F27" t="s">
        <v>35</v>
      </c>
      <c r="G27" s="69" t="s">
        <v>241</v>
      </c>
      <c r="H27" s="59" t="str">
        <v>📞</v>
      </c>
      <c r="I27" s="59" t="str">
        <v>💬</v>
      </c>
      <c r="J27" s="1" t="s">
        <v>109</v>
      </c>
      <c r="L27" t="str">
        <f>IF(OR(K27="",N27=""),"",IF(L26="",MAX(L$2:L26),L26)+1)</f>
        <v/>
      </c>
      <c r="N27" s="5" t="s">
        <v>63</v>
      </c>
      <c r="P27" s="60" t="s">
        <v>127</v>
      </c>
      <c r="Q27" t="s">
        <v>126</v>
      </c>
      <c r="R27" t="s">
        <v>115</v>
      </c>
      <c r="S27" t="s">
        <v>82</v>
      </c>
      <c r="U27" s="2"/>
      <c r="V27" s="2"/>
      <c r="W27" s="2"/>
      <c r="X27" s="2"/>
      <c r="Y27" t="e">
        <f t="shared" si="4"/>
        <v>#VALUE!</v>
      </c>
      <c r="Z27" s="63" t="e">
        <v>#VALUE!</v>
      </c>
      <c r="AA27" s="2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>
      <c r="A28">
        <f t="shared" si="3"/>
        <v>27</v>
      </c>
      <c r="B28">
        <f t="shared" ca="1" si="2"/>
        <v>1</v>
      </c>
      <c r="C28">
        <f>IF(_xlfn.IFNA(MATCH(D28,$D$1:D27,0),0)=0,MAX($C$1:C27)+1,"")</f>
        <v>11</v>
      </c>
      <c r="D28" t="s">
        <v>14</v>
      </c>
      <c r="E28">
        <f t="shared" si="7"/>
        <v>85</v>
      </c>
      <c r="F28" t="s">
        <v>36</v>
      </c>
      <c r="G28" s="69" t="s">
        <v>242</v>
      </c>
      <c r="H28" s="59" t="str">
        <v>📞</v>
      </c>
      <c r="I28" s="75" t="str">
        <v>💬</v>
      </c>
      <c r="J28" s="1" t="s">
        <v>109</v>
      </c>
      <c r="K28" t="s">
        <v>108</v>
      </c>
      <c r="L28">
        <f>IF(OR(K28="",N28=""),"",IF(L27="",MAX(L$2:L27),L27)+1)</f>
        <v>9</v>
      </c>
      <c r="M28" t="s">
        <v>314</v>
      </c>
      <c r="N28" s="5" t="s">
        <v>100</v>
      </c>
      <c r="P28" s="60" t="s">
        <v>339</v>
      </c>
      <c r="Q28" t="s">
        <v>326</v>
      </c>
      <c r="R28" t="s">
        <v>192</v>
      </c>
      <c r="S28" t="s">
        <v>81</v>
      </c>
      <c r="U28" s="2" t="str">
        <f>HYPERLINK(subc_contr_folder_path&amp;S28,"Open")</f>
        <v>Open</v>
      </c>
      <c r="V28" s="2" t="e">
        <f>HYPERLINK(subc_contr_folder_path&amp;S28&amp;"\ipcs\"&amp;Y28,"Open")</f>
        <v>#VALUE!</v>
      </c>
      <c r="W28" s="2" t="e">
        <f>HYPERLINK(subc_contr_folder_path&amp;S28&amp;"\ipcs\"&amp;Y28&amp;"\"&amp;"log.pdf","Open")</f>
        <v>#VALUE!</v>
      </c>
      <c r="X28" s="2" t="e">
        <f>HYPERLINK(subc_contr_folder_path&amp;S28&amp;"\ipcs\"&amp;Y28&amp;"\"&amp;E28&amp;"-"&amp;Y28&amp;".pdf","Open")</f>
        <v>#VALUE!</v>
      </c>
      <c r="Y28" t="e">
        <f t="shared" si="4"/>
        <v>#VALUE!</v>
      </c>
      <c r="Z28" s="62" t="e">
        <v>#VALUE!</v>
      </c>
      <c r="AC28" s="1" t="s">
        <v>291</v>
      </c>
      <c r="AD28" s="1" t="s">
        <v>441</v>
      </c>
      <c r="AE28" s="1" t="s">
        <v>441</v>
      </c>
      <c r="AF28" s="1" t="s">
        <v>441</v>
      </c>
      <c r="AG28" s="1" t="s">
        <v>441</v>
      </c>
      <c r="AH28" s="1" t="s">
        <v>441</v>
      </c>
      <c r="AI28" s="1" t="s">
        <v>441</v>
      </c>
      <c r="AJ28" s="1" t="s">
        <v>441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idden="1">
      <c r="A29">
        <f t="shared" si="3"/>
        <v>28</v>
      </c>
      <c r="B29">
        <f t="shared" ca="1" si="2"/>
        <v>1</v>
      </c>
      <c r="C29">
        <f>IF(_xlfn.IFNA(MATCH(D29,$D$1:D28,0),0)=0,MAX($C$1:C28)+1,"")</f>
        <v>12</v>
      </c>
      <c r="D29" t="s">
        <v>15</v>
      </c>
      <c r="E29">
        <f t="shared" si="7"/>
        <v>91</v>
      </c>
      <c r="F29" t="s">
        <v>37</v>
      </c>
      <c r="G29" s="69" t="s">
        <v>243</v>
      </c>
      <c r="H29" s="59" t="str">
        <v>📞</v>
      </c>
      <c r="I29" s="75" t="str">
        <v>💬</v>
      </c>
      <c r="J29" s="1" t="s">
        <v>109</v>
      </c>
      <c r="K29" t="s">
        <v>108</v>
      </c>
      <c r="L29">
        <f>IF(OR(K29="",N29=""),"",IF(L28="",MAX(L$2:L28),L28)+1)</f>
        <v>10</v>
      </c>
      <c r="M29" t="s">
        <v>315</v>
      </c>
      <c r="N29" s="5" t="s">
        <v>101</v>
      </c>
      <c r="P29" s="60" t="s">
        <v>330</v>
      </c>
      <c r="Q29" t="s">
        <v>327</v>
      </c>
      <c r="R29" t="s">
        <v>193</v>
      </c>
      <c r="S29" t="s">
        <v>80</v>
      </c>
      <c r="U29" s="2" t="str">
        <f>HYPERLINK(subc_contr_folder_path&amp;S29,"Open")</f>
        <v>Open</v>
      </c>
      <c r="V29" s="2" t="e">
        <f>HYPERLINK(subc_contr_folder_path&amp;S29&amp;"\ipcs\"&amp;Y29,"Open")</f>
        <v>#VALUE!</v>
      </c>
      <c r="W29" s="2" t="e">
        <f>HYPERLINK(subc_contr_folder_path&amp;S29&amp;"\ipcs\"&amp;Y29&amp;"\"&amp;"log.pdf","Open")</f>
        <v>#VALUE!</v>
      </c>
      <c r="X29" s="2" t="e">
        <f>HYPERLINK(subc_contr_folder_path&amp;S29&amp;"\ipcs\"&amp;Y29&amp;"\"&amp;E29&amp;"-"&amp;Y29&amp;".pdf","Open")</f>
        <v>#VALUE!</v>
      </c>
      <c r="Y29" t="e">
        <f t="shared" si="4"/>
        <v>#VALUE!</v>
      </c>
      <c r="Z29" s="62" t="e">
        <v>#VALUE!</v>
      </c>
      <c r="AC29" s="1"/>
      <c r="AD29" s="1" t="s">
        <v>441</v>
      </c>
      <c r="AE29" s="1" t="s">
        <v>441</v>
      </c>
      <c r="AF29" s="1" t="s">
        <v>441</v>
      </c>
      <c r="AG29" s="1" t="s">
        <v>441</v>
      </c>
      <c r="AH29" s="1" t="s">
        <v>441</v>
      </c>
      <c r="AI29" s="1" t="s">
        <v>441</v>
      </c>
      <c r="AJ29" s="1" t="s">
        <v>441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>
      <c r="A30">
        <f t="shared" si="3"/>
        <v>29</v>
      </c>
      <c r="B30">
        <f t="shared" ca="1" si="2"/>
        <v>1</v>
      </c>
      <c r="C30">
        <f>IF(_xlfn.IFNA(MATCH(D30,$D$1:D29,0),0)=0,MAX($C$1:C29)+1,"")</f>
        <v>13</v>
      </c>
      <c r="D30" t="s">
        <v>16</v>
      </c>
      <c r="E30">
        <f t="shared" si="7"/>
        <v>94</v>
      </c>
      <c r="F30" t="s">
        <v>38</v>
      </c>
      <c r="G30" s="69" t="s">
        <v>236</v>
      </c>
      <c r="H30" s="59" t="str">
        <v>📞</v>
      </c>
      <c r="I30" s="59" t="str">
        <v>💬</v>
      </c>
      <c r="J30" s="1" t="s">
        <v>109</v>
      </c>
      <c r="L30" t="str">
        <f>IF(OR(K30="",N30=""),"",IF(L29="",MAX(L$2:L29),L29)+1)</f>
        <v/>
      </c>
      <c r="N30" s="5" t="s">
        <v>60</v>
      </c>
      <c r="P30" s="5"/>
      <c r="R30" t="s">
        <v>119</v>
      </c>
      <c r="S30" t="s">
        <v>79</v>
      </c>
      <c r="U30" s="2" t="str">
        <f>HYPERLINK(subc_contr_folder_path&amp;S30,"Open")</f>
        <v>Open</v>
      </c>
      <c r="V30" s="2" t="str">
        <f>HYPERLINK(subc_contr_folder_path&amp;S30&amp;"\ipcs","Open")</f>
        <v>Open</v>
      </c>
      <c r="W30" s="2" t="e">
        <f>HYPERLINK(subc_contr_folder_path&amp;S30&amp;"\ipcs\"&amp;Y30&amp;"\"&amp;"log.pdf","Open")</f>
        <v>#VALUE!</v>
      </c>
      <c r="X30" s="2" t="e">
        <f>HYPERLINK(subc_contr_folder_path&amp;S30&amp;"\ipcs\"&amp;Y30&amp;"\"&amp;E30&amp;"-"&amp;Y30&amp;".pdf","Open")</f>
        <v>#VALUE!</v>
      </c>
      <c r="Y30" t="e">
        <f t="shared" si="4"/>
        <v>#VALUE!</v>
      </c>
      <c r="Z30" s="62" t="e">
        <v>#VALUE!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idden="1">
      <c r="A31">
        <f t="shared" si="3"/>
        <v>30</v>
      </c>
      <c r="B31">
        <f t="shared" ca="1" si="2"/>
        <v>2</v>
      </c>
      <c r="C31" t="str">
        <f>IF(_xlfn.IFNA(MATCH(D31,$D$1:D30,0),0)=0,MAX($C$1:C30)+1,"")</f>
        <v/>
      </c>
      <c r="D31" t="s">
        <v>16</v>
      </c>
      <c r="E31">
        <f t="shared" si="7"/>
        <v>94</v>
      </c>
      <c r="F31" t="s">
        <v>38</v>
      </c>
      <c r="G31" s="69" t="s">
        <v>236</v>
      </c>
      <c r="H31" s="59" t="str">
        <v>📞</v>
      </c>
      <c r="I31" s="59" t="str">
        <v>💬</v>
      </c>
      <c r="J31" s="1" t="s">
        <v>109</v>
      </c>
      <c r="L31" t="str">
        <f>IF(OR(K31="",N31=""),"",IF(L30="",MAX(L$2:L30),L30)+1)</f>
        <v/>
      </c>
      <c r="N31" s="5" t="s">
        <v>61</v>
      </c>
      <c r="P31" s="5"/>
      <c r="R31" t="s">
        <v>119</v>
      </c>
      <c r="S31" t="s">
        <v>79</v>
      </c>
      <c r="U31" s="2"/>
      <c r="V31" s="2"/>
      <c r="W31" s="2"/>
      <c r="X31" s="2"/>
      <c r="Y31" t="e">
        <f t="shared" si="4"/>
        <v>#VALUE!</v>
      </c>
      <c r="Z31" s="63" t="e">
        <v>#VALUE!</v>
      </c>
      <c r="AA31" s="2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idden="1">
      <c r="A32">
        <f t="shared" si="3"/>
        <v>31</v>
      </c>
      <c r="B32">
        <f t="shared" ca="1" si="2"/>
        <v>1</v>
      </c>
      <c r="C32">
        <f>IF(_xlfn.IFNA(MATCH(D32,$D$1:D31,0),0)=0,MAX($C$1:C31)+1,"")</f>
        <v>14</v>
      </c>
      <c r="D32" t="s">
        <v>17</v>
      </c>
      <c r="E32">
        <f t="shared" si="7"/>
        <v>95</v>
      </c>
      <c r="F32" t="s">
        <v>39</v>
      </c>
      <c r="G32" s="69" t="s">
        <v>244</v>
      </c>
      <c r="H32" s="59" t="str">
        <v>📞</v>
      </c>
      <c r="I32" s="59" t="str">
        <v>💬</v>
      </c>
      <c r="J32" s="1" t="s">
        <v>109</v>
      </c>
      <c r="K32" t="s">
        <v>108</v>
      </c>
      <c r="L32">
        <f>IF(OR(K32="",N32=""),"",IF(L31="",MAX(L$2:L31),L31)+1)</f>
        <v>11</v>
      </c>
      <c r="M32" t="s">
        <v>313</v>
      </c>
      <c r="N32" s="5" t="s">
        <v>102</v>
      </c>
      <c r="P32" s="60" t="s">
        <v>331</v>
      </c>
      <c r="Q32" t="s">
        <v>125</v>
      </c>
      <c r="R32" t="s">
        <v>115</v>
      </c>
      <c r="S32" t="s">
        <v>78</v>
      </c>
      <c r="U32" s="2" t="str">
        <f t="shared" ref="U32:U37" si="13">HYPERLINK(subc_contr_folder_path&amp;S32,"Open")</f>
        <v>Open</v>
      </c>
      <c r="V32" s="2" t="e">
        <f>HYPERLINK(subc_contr_folder_path&amp;S32&amp;"\ipcs\"&amp;Y32,"Open")</f>
        <v>#VALUE!</v>
      </c>
      <c r="W32" s="2" t="e">
        <f t="shared" ref="W32:W37" si="14">HYPERLINK(subc_contr_folder_path&amp;S32&amp;"\ipcs\"&amp;Y32&amp;"\"&amp;"log.pdf","Open")</f>
        <v>#VALUE!</v>
      </c>
      <c r="X32" s="2" t="e">
        <f>HYPERLINK(subc_contr_folder_path&amp;S32&amp;"\ipcs\"&amp;Y32&amp;"\"&amp;E32&amp;"-"&amp;Y32&amp;".pdf","Open")</f>
        <v>#VALUE!</v>
      </c>
      <c r="Y32" t="e">
        <f t="shared" si="4"/>
        <v>#VALUE!</v>
      </c>
      <c r="Z32" s="62" t="e">
        <v>#VALUE!</v>
      </c>
      <c r="AC32" s="1"/>
      <c r="AD32" s="1" t="s">
        <v>441</v>
      </c>
      <c r="AE32" s="1" t="s">
        <v>441</v>
      </c>
      <c r="AF32" s="1" t="s">
        <v>441</v>
      </c>
      <c r="AG32" s="1" t="s">
        <v>441</v>
      </c>
      <c r="AH32" s="1" t="s">
        <v>441</v>
      </c>
      <c r="AI32" s="1" t="s">
        <v>441</v>
      </c>
      <c r="AJ32" s="1" t="s">
        <v>441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idden="1">
      <c r="A33">
        <f t="shared" si="3"/>
        <v>32</v>
      </c>
      <c r="B33">
        <f t="shared" ca="1" si="2"/>
        <v>1</v>
      </c>
      <c r="C33">
        <f>IF(_xlfn.IFNA(MATCH(D33,$D$1:D32,0),0)=0,MAX($C$1:C32)+1,"")</f>
        <v>15</v>
      </c>
      <c r="D33" t="s">
        <v>18</v>
      </c>
      <c r="E33">
        <f t="shared" si="7"/>
        <v>98</v>
      </c>
      <c r="F33" t="s">
        <v>40</v>
      </c>
      <c r="G33" s="69" t="s">
        <v>245</v>
      </c>
      <c r="H33" s="59" t="str">
        <v>📞</v>
      </c>
      <c r="I33" s="59" t="str">
        <v>💬</v>
      </c>
      <c r="J33" s="1" t="s">
        <v>109</v>
      </c>
      <c r="K33" t="s">
        <v>108</v>
      </c>
      <c r="L33">
        <f>IF(OR(K33="",N33=""),"",IF(L32="",MAX(L$2:L32),L32)+1)</f>
        <v>12</v>
      </c>
      <c r="M33" t="s">
        <v>307</v>
      </c>
      <c r="N33" s="5" t="s">
        <v>103</v>
      </c>
      <c r="O33" s="5" t="s">
        <v>441</v>
      </c>
      <c r="P33" s="60" t="s">
        <v>329</v>
      </c>
      <c r="Q33" t="s">
        <v>328</v>
      </c>
      <c r="R33" t="s">
        <v>467</v>
      </c>
      <c r="S33" t="s">
        <v>77</v>
      </c>
      <c r="U33" s="2" t="str">
        <f t="shared" si="13"/>
        <v>Open</v>
      </c>
      <c r="V33" s="2" t="e">
        <f>HYPERLINK(subc_contr_folder_path&amp;S33&amp;"\ipcs\"&amp;Y33,"Open")</f>
        <v>#VALUE!</v>
      </c>
      <c r="W33" s="2" t="e">
        <f t="shared" si="14"/>
        <v>#VALUE!</v>
      </c>
      <c r="X33" s="2" t="e">
        <f>HYPERLINK(subc_contr_folder_path&amp;S33&amp;"\ipcs\"&amp;Y33&amp;"\"&amp;E33&amp;"-"&amp;Y33&amp;".pdf","Open")</f>
        <v>#VALUE!</v>
      </c>
      <c r="Y33" t="e">
        <f t="shared" si="4"/>
        <v>#VALUE!</v>
      </c>
      <c r="Z33" s="62" t="e">
        <v>#VALUE!</v>
      </c>
      <c r="AC33" s="1"/>
      <c r="AD33" s="1" t="s">
        <v>441</v>
      </c>
      <c r="AE33" s="1" t="s">
        <v>441</v>
      </c>
      <c r="AF33" s="1" t="s">
        <v>441</v>
      </c>
      <c r="AG33" s="1" t="s">
        <v>441</v>
      </c>
      <c r="AH33" s="1" t="s">
        <v>441</v>
      </c>
      <c r="AI33" s="1" t="s">
        <v>441</v>
      </c>
      <c r="AJ33" s="1" t="s">
        <v>441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>
      <c r="A34">
        <f t="shared" si="3"/>
        <v>33</v>
      </c>
      <c r="B34">
        <f t="shared" ca="1" si="2"/>
        <v>1</v>
      </c>
      <c r="C34">
        <f>IF(_xlfn.IFNA(MATCH(D34,$D$1:D33,0),0)=0,MAX($C$1:C33)+1,"")</f>
        <v>16</v>
      </c>
      <c r="D34" t="s">
        <v>19</v>
      </c>
      <c r="E34">
        <f t="shared" si="7"/>
        <v>99</v>
      </c>
      <c r="F34" t="s">
        <v>41</v>
      </c>
      <c r="G34" s="69" t="s">
        <v>340</v>
      </c>
      <c r="H34" s="59" t="str">
        <v>📞</v>
      </c>
      <c r="I34" s="59" t="str">
        <v>💬</v>
      </c>
      <c r="J34" s="1" t="s">
        <v>109</v>
      </c>
      <c r="L34" t="str">
        <f>IF(OR(K34="",N34=""),"",IF(L33="",MAX(L$2:L33),L33)+1)</f>
        <v/>
      </c>
      <c r="N34" s="5" t="s">
        <v>104</v>
      </c>
      <c r="P34" s="5"/>
      <c r="R34" t="s">
        <v>119</v>
      </c>
      <c r="S34" t="s">
        <v>76</v>
      </c>
      <c r="U34" s="2" t="str">
        <f t="shared" si="13"/>
        <v>Open</v>
      </c>
      <c r="V34" s="2" t="str">
        <f>HYPERLINK(subc_contr_folder_path&amp;S34&amp;"\ipcs","Open")</f>
        <v>Open</v>
      </c>
      <c r="W34" s="2" t="e">
        <f t="shared" si="14"/>
        <v>#VALUE!</v>
      </c>
      <c r="X34" s="2" t="e">
        <f>HYPERLINK(subc_contr_folder_path&amp;S34&amp;"\ipcs\"&amp;Y34&amp;"\"&amp;E34&amp;"-"&amp;Y34&amp;".pdf","Open")</f>
        <v>#VALUE!</v>
      </c>
      <c r="Y34" t="e">
        <f t="shared" si="4"/>
        <v>#VALUE!</v>
      </c>
      <c r="Z34" s="62" t="e">
        <v>#VALUE!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idden="1">
      <c r="A35">
        <f t="shared" si="3"/>
        <v>34</v>
      </c>
      <c r="B35">
        <f t="shared" ca="1" si="2"/>
        <v>1</v>
      </c>
      <c r="C35">
        <f>IF(_xlfn.IFNA(MATCH(D35,$D$1:D34,0),0)=0,MAX($C$1:C34)+1,"")</f>
        <v>17</v>
      </c>
      <c r="D35" t="s">
        <v>20</v>
      </c>
      <c r="E35">
        <f t="shared" ref="E35" si="15">_xlfn.NUMBERVALUE(RIGHT(D35,3))</f>
        <v>100</v>
      </c>
      <c r="F35" t="s">
        <v>460</v>
      </c>
      <c r="G35" s="69" t="s">
        <v>246</v>
      </c>
      <c r="H35" s="59" t="str">
        <v>📞</v>
      </c>
      <c r="I35" s="75" t="str">
        <v>💬</v>
      </c>
      <c r="J35" s="1" t="s">
        <v>109</v>
      </c>
      <c r="K35" t="s">
        <v>108</v>
      </c>
      <c r="L35">
        <f>IF(OR(K35="",N35=""),"",IF(L34="",MAX(L$2:L34),L34)+1)</f>
        <v>13</v>
      </c>
      <c r="M35" t="s">
        <v>313</v>
      </c>
      <c r="N35" s="5" t="s">
        <v>105</v>
      </c>
      <c r="P35" s="60" t="s">
        <v>130</v>
      </c>
      <c r="Q35" t="s">
        <v>124</v>
      </c>
      <c r="R35" t="s">
        <v>115</v>
      </c>
      <c r="S35" t="s">
        <v>75</v>
      </c>
      <c r="U35" s="2" t="str">
        <f t="shared" si="13"/>
        <v>Open</v>
      </c>
      <c r="V35" s="2" t="e">
        <f>HYPERLINK(subc_contr_folder_path&amp;S35&amp;"\ipcs\"&amp;Y35,"Open")</f>
        <v>#VALUE!</v>
      </c>
      <c r="W35" s="2" t="e">
        <f t="shared" si="14"/>
        <v>#VALUE!</v>
      </c>
      <c r="X35" s="2" t="e">
        <f>HYPERLINK(subc_contr_folder_path&amp;S35&amp;"\ipcs\"&amp;Y35&amp;"\"&amp;E35&amp;"-"&amp;Y35&amp;".pdf","Open")</f>
        <v>#VALUE!</v>
      </c>
      <c r="Y35" t="e">
        <f t="shared" si="4"/>
        <v>#VALUE!</v>
      </c>
      <c r="Z35" s="62" t="e">
        <v>#VALUE!</v>
      </c>
      <c r="AC35" s="1"/>
      <c r="AD35" s="1" t="s">
        <v>441</v>
      </c>
      <c r="AE35" s="1" t="s">
        <v>441</v>
      </c>
      <c r="AF35" s="1" t="s">
        <v>441</v>
      </c>
      <c r="AG35" s="1" t="s">
        <v>441</v>
      </c>
      <c r="AH35" s="1" t="s">
        <v>441</v>
      </c>
      <c r="AI35" s="1" t="s">
        <v>441</v>
      </c>
      <c r="AJ35" s="1" t="s">
        <v>441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idden="1">
      <c r="A36">
        <f t="shared" si="3"/>
        <v>35</v>
      </c>
      <c r="B36">
        <f t="shared" ca="1" si="2"/>
        <v>2</v>
      </c>
      <c r="C36" t="str">
        <f>IF(_xlfn.IFNA(MATCH(D36,$D$1:D35,0),0)=0,MAX($C$1:C35)+1,"")</f>
        <v/>
      </c>
      <c r="D36" t="s">
        <v>20</v>
      </c>
      <c r="E36">
        <f t="shared" si="7"/>
        <v>100</v>
      </c>
      <c r="F36" t="s">
        <v>42</v>
      </c>
      <c r="G36" s="69" t="s">
        <v>246</v>
      </c>
      <c r="H36" s="59" t="str">
        <v>📞</v>
      </c>
      <c r="I36" s="59" t="str">
        <v>💬</v>
      </c>
      <c r="J36" s="1" t="s">
        <v>109</v>
      </c>
      <c r="K36" t="s">
        <v>108</v>
      </c>
      <c r="L36">
        <f>IF(OR(K36="",N36=""),"",IF(L35="",MAX(L$2:L35),L35)+1)</f>
        <v>14</v>
      </c>
      <c r="M36" t="s">
        <v>313</v>
      </c>
      <c r="N36" s="5" t="s">
        <v>296</v>
      </c>
      <c r="P36" s="60" t="s">
        <v>130</v>
      </c>
      <c r="Q36" t="s">
        <v>297</v>
      </c>
      <c r="R36" t="s">
        <v>115</v>
      </c>
      <c r="S36" t="s">
        <v>75</v>
      </c>
      <c r="U36" s="2"/>
      <c r="V36" s="2"/>
      <c r="W36" s="2"/>
      <c r="X36" s="2"/>
      <c r="Z36" s="62" t="e">
        <v>#VALUE!</v>
      </c>
      <c r="AC36" s="1"/>
      <c r="AD36" s="1" t="s">
        <v>441</v>
      </c>
      <c r="AE36" s="1" t="s">
        <v>441</v>
      </c>
      <c r="AF36" s="1" t="s">
        <v>441</v>
      </c>
      <c r="AG36" s="1" t="s">
        <v>441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>
      <c r="A37">
        <f t="shared" si="3"/>
        <v>36</v>
      </c>
      <c r="B37">
        <f t="shared" ca="1" si="2"/>
        <v>1</v>
      </c>
      <c r="C37">
        <f>IF(_xlfn.IFNA(MATCH(D37,$D$1:D36,0),0)=0,MAX($C$1:C36)+1,"")</f>
        <v>18</v>
      </c>
      <c r="D37" t="s">
        <v>21</v>
      </c>
      <c r="E37">
        <f t="shared" si="7"/>
        <v>102</v>
      </c>
      <c r="F37" t="s">
        <v>43</v>
      </c>
      <c r="G37" s="69" t="s">
        <v>236</v>
      </c>
      <c r="H37" s="59" t="str">
        <v>📞</v>
      </c>
      <c r="I37" s="75" t="str">
        <v>💬</v>
      </c>
      <c r="J37" s="1" t="s">
        <v>109</v>
      </c>
      <c r="K37" t="s">
        <v>108</v>
      </c>
      <c r="L37">
        <f>IF(OR(K37="",N37=""),"",IF(L36="",MAX(L$2:L36),L36)+1)</f>
        <v>15</v>
      </c>
      <c r="M37" t="s">
        <v>321</v>
      </c>
      <c r="N37" s="5" t="s">
        <v>64</v>
      </c>
      <c r="P37" s="60" t="s">
        <v>330</v>
      </c>
      <c r="Q37" t="s">
        <v>334</v>
      </c>
      <c r="R37" t="s">
        <v>192</v>
      </c>
      <c r="S37" t="s">
        <v>74</v>
      </c>
      <c r="U37" s="2" t="str">
        <f t="shared" si="13"/>
        <v>Open</v>
      </c>
      <c r="V37" s="2" t="e">
        <f>HYPERLINK(subc_contr_folder_path&amp;S37&amp;"\ipcs\"&amp;Y37,"Open")</f>
        <v>#VALUE!</v>
      </c>
      <c r="W37" s="2" t="e">
        <f t="shared" si="14"/>
        <v>#VALUE!</v>
      </c>
      <c r="X37" s="2" t="e">
        <f>HYPERLINK(subc_contr_folder_path&amp;S37&amp;"\ipcs\"&amp;Y37&amp;"\"&amp;E37&amp;"-"&amp;Y37&amp;".pdf","Open")</f>
        <v>#VALUE!</v>
      </c>
      <c r="Y37" t="e">
        <f t="shared" ref="Y37" si="16">IF(Z37="","",Z37)</f>
        <v>#VALUE!</v>
      </c>
      <c r="Z37" s="62" t="e">
        <v>#VALUE!</v>
      </c>
      <c r="AC37" s="1" t="s">
        <v>441</v>
      </c>
      <c r="AD37" s="1" t="s">
        <v>441</v>
      </c>
      <c r="AE37" s="1" t="s">
        <v>441</v>
      </c>
      <c r="AF37" s="1" t="s">
        <v>441</v>
      </c>
      <c r="AG37" s="1" t="s">
        <v>441</v>
      </c>
      <c r="AH37" s="1" t="s">
        <v>441</v>
      </c>
      <c r="AI37" s="1" t="s">
        <v>441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>
      <c r="A38">
        <f t="shared" si="3"/>
        <v>37</v>
      </c>
      <c r="B38">
        <f t="shared" ca="1" si="2"/>
        <v>2</v>
      </c>
      <c r="C38" t="str">
        <f>IF(_xlfn.IFNA(MATCH(D38,$D$1:D37,0),0)=0,MAX($C$1:C37)+1,"")</f>
        <v/>
      </c>
      <c r="D38" t="s">
        <v>21</v>
      </c>
      <c r="E38">
        <f t="shared" si="7"/>
        <v>102</v>
      </c>
      <c r="F38" t="s">
        <v>43</v>
      </c>
      <c r="G38" s="69" t="s">
        <v>236</v>
      </c>
      <c r="H38" s="59" t="str">
        <v>📞</v>
      </c>
      <c r="I38" s="59" t="str">
        <v>💬</v>
      </c>
      <c r="J38" s="1" t="s">
        <v>109</v>
      </c>
      <c r="L38" t="str">
        <f>IF(OR(K38="",N38=""),"",IF(L37="",MAX(L$2:L37),L37)+1)</f>
        <v/>
      </c>
      <c r="N38" s="5" t="s">
        <v>59</v>
      </c>
      <c r="P38" s="5"/>
      <c r="R38" t="s">
        <v>119</v>
      </c>
      <c r="S38" t="s">
        <v>74</v>
      </c>
      <c r="U38" s="2"/>
      <c r="V38" s="2"/>
      <c r="W38" s="2"/>
      <c r="X38" s="2"/>
      <c r="Y38" t="e">
        <f t="shared" si="4"/>
        <v>#VALUE!</v>
      </c>
      <c r="Z38" s="63" t="e">
        <v>#VALUE!</v>
      </c>
      <c r="AA38" s="2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idden="1">
      <c r="A39">
        <f t="shared" si="3"/>
        <v>38</v>
      </c>
      <c r="B39">
        <f t="shared" ca="1" si="2"/>
        <v>3</v>
      </c>
      <c r="C39" t="str">
        <f>IF(_xlfn.IFNA(MATCH(D39,$D$1:D38,0),0)=0,MAX($C$1:C38)+1,"")</f>
        <v/>
      </c>
      <c r="D39" t="s">
        <v>21</v>
      </c>
      <c r="E39">
        <f t="shared" ref="E39" si="17">_xlfn.NUMBERVALUE(RIGHT(D39,3))</f>
        <v>102</v>
      </c>
      <c r="F39" t="s">
        <v>43</v>
      </c>
      <c r="G39" s="69" t="s">
        <v>236</v>
      </c>
      <c r="H39" s="59" t="str">
        <v>📞</v>
      </c>
      <c r="I39" s="59" t="str">
        <v>💬</v>
      </c>
      <c r="J39" s="1" t="s">
        <v>109</v>
      </c>
      <c r="K39" t="s">
        <v>108</v>
      </c>
      <c r="L39">
        <f>IF(OR(K39="",N39=""),"",IF(L38="",MAX(L$2:L38),L38)+1)</f>
        <v>16</v>
      </c>
      <c r="M39" t="s">
        <v>310</v>
      </c>
      <c r="N39" s="5" t="s">
        <v>61</v>
      </c>
      <c r="P39" s="60" t="s">
        <v>330</v>
      </c>
      <c r="Q39" t="s">
        <v>335</v>
      </c>
      <c r="R39" t="s">
        <v>119</v>
      </c>
      <c r="S39" t="s">
        <v>74</v>
      </c>
      <c r="U39" s="2"/>
      <c r="V39" s="2"/>
      <c r="W39" s="2"/>
      <c r="X39" s="2"/>
      <c r="Z39" s="62" t="e">
        <v>#VALUE!</v>
      </c>
      <c r="AC39" s="1"/>
      <c r="AD39" s="1" t="s">
        <v>441</v>
      </c>
      <c r="AE39" s="1" t="s">
        <v>441</v>
      </c>
      <c r="AF39" s="1" t="s">
        <v>441</v>
      </c>
      <c r="AG39" s="1" t="s">
        <v>441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idden="1">
      <c r="A40">
        <f t="shared" si="3"/>
        <v>39</v>
      </c>
      <c r="B40">
        <f t="shared" ca="1" si="2"/>
        <v>4</v>
      </c>
      <c r="C40" t="str">
        <f>IF(_xlfn.IFNA(MATCH(D40,$D$1:D39,0),0)=0,MAX($C$1:C39)+1,"")</f>
        <v/>
      </c>
      <c r="D40" t="s">
        <v>21</v>
      </c>
      <c r="E40">
        <f t="shared" si="7"/>
        <v>102</v>
      </c>
      <c r="F40" t="s">
        <v>43</v>
      </c>
      <c r="G40" s="69" t="s">
        <v>236</v>
      </c>
      <c r="H40" s="59" t="str">
        <v>📞</v>
      </c>
      <c r="I40" s="59" t="str">
        <v>💬</v>
      </c>
      <c r="J40" s="1" t="s">
        <v>109</v>
      </c>
      <c r="K40" t="s">
        <v>108</v>
      </c>
      <c r="L40">
        <f>IF(OR(K40="",N40=""),"",IF(L39="",MAX(L$2:L39),L39)+1)</f>
        <v>17</v>
      </c>
      <c r="M40" t="s">
        <v>310</v>
      </c>
      <c r="N40" s="5" t="s">
        <v>60</v>
      </c>
      <c r="P40" s="60" t="s">
        <v>330</v>
      </c>
      <c r="Q40" t="s">
        <v>335</v>
      </c>
      <c r="R40" t="s">
        <v>119</v>
      </c>
      <c r="S40" t="s">
        <v>74</v>
      </c>
      <c r="U40" s="2"/>
      <c r="V40" s="2"/>
      <c r="W40" s="2"/>
      <c r="X40" s="2"/>
      <c r="Z40" s="62" t="e">
        <v>#VALUE!</v>
      </c>
      <c r="AC40" s="1"/>
      <c r="AD40" s="1" t="s">
        <v>441</v>
      </c>
      <c r="AE40" s="1" t="s">
        <v>441</v>
      </c>
      <c r="AF40" s="1" t="s">
        <v>441</v>
      </c>
      <c r="AG40" s="1" t="s">
        <v>441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idden="1">
      <c r="A41">
        <f t="shared" si="3"/>
        <v>40</v>
      </c>
      <c r="B41">
        <f t="shared" ca="1" si="2"/>
        <v>1</v>
      </c>
      <c r="C41">
        <f>IF(_xlfn.IFNA(MATCH(D41,$D$1:D40,0),0)=0,MAX($C$1:C40)+1,"")</f>
        <v>19</v>
      </c>
      <c r="D41" t="s">
        <v>22</v>
      </c>
      <c r="E41">
        <f t="shared" si="7"/>
        <v>103</v>
      </c>
      <c r="F41" t="s">
        <v>48</v>
      </c>
      <c r="G41" s="77"/>
      <c r="H41" s="59" t="str">
        <v/>
      </c>
      <c r="I41" s="59" t="str">
        <v/>
      </c>
      <c r="J41" s="1" t="s">
        <v>109</v>
      </c>
      <c r="L41" t="str">
        <f>IF(OR(K41="",N41=""),"",IF(L40="",MAX(L$2:L40),L40)+1)</f>
        <v/>
      </c>
      <c r="P41" s="5"/>
      <c r="S41" t="s">
        <v>73</v>
      </c>
      <c r="U41" s="2" t="str">
        <f t="shared" ref="U41:U48" si="18">HYPERLINK(subc_contr_folder_path&amp;S41,"Open")</f>
        <v>Open</v>
      </c>
      <c r="V41" s="2" t="str">
        <f t="shared" ref="V41:V48" si="19">HYPERLINK(subc_contr_folder_path&amp;S41&amp;"\ipcs","Open")</f>
        <v>Open</v>
      </c>
      <c r="W41" s="2" t="e">
        <f t="shared" ref="W41:W53" si="20">HYPERLINK(subc_contr_folder_path&amp;S41&amp;"\ipcs\"&amp;Y41&amp;"\"&amp;"log.pdf","Open")</f>
        <v>#VALUE!</v>
      </c>
      <c r="X41" s="2" t="e">
        <f t="shared" ref="X41:X55" si="21">HYPERLINK(subc_contr_folder_path&amp;S41&amp;"\ipcs\"&amp;Y41&amp;"\"&amp;E41&amp;"-"&amp;Y41&amp;".pdf","Open")</f>
        <v>#VALUE!</v>
      </c>
      <c r="Y41" t="e">
        <f t="shared" si="4"/>
        <v>#VALUE!</v>
      </c>
      <c r="Z41" s="62" t="e">
        <v>#VALUE!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>
      <c r="A42">
        <f t="shared" si="3"/>
        <v>41</v>
      </c>
      <c r="B42">
        <f t="shared" ca="1" si="2"/>
        <v>1</v>
      </c>
      <c r="C42">
        <f>IF(_xlfn.IFNA(MATCH(D42,$D$1:D41,0),0)=0,MAX($C$1:C41)+1,"")</f>
        <v>20</v>
      </c>
      <c r="D42" t="s">
        <v>23</v>
      </c>
      <c r="E42">
        <f t="shared" si="7"/>
        <v>107</v>
      </c>
      <c r="F42" t="s">
        <v>49</v>
      </c>
      <c r="G42" s="69" t="s">
        <v>247</v>
      </c>
      <c r="H42" s="59" t="str">
        <v>📞</v>
      </c>
      <c r="I42" s="59" t="str">
        <v>💬</v>
      </c>
      <c r="J42" s="1" t="s">
        <v>109</v>
      </c>
      <c r="L42" t="str">
        <f>IF(OR(K42="",N42=""),"",IF(L41="",MAX(L$2:L41),L41)+1)</f>
        <v/>
      </c>
      <c r="P42" s="5" t="s">
        <v>149</v>
      </c>
      <c r="R42" t="s">
        <v>116</v>
      </c>
      <c r="S42" t="s">
        <v>72</v>
      </c>
      <c r="U42" s="2" t="str">
        <f t="shared" si="18"/>
        <v>Open</v>
      </c>
      <c r="V42" s="2" t="str">
        <f t="shared" si="19"/>
        <v>Open</v>
      </c>
      <c r="W42" s="2" t="e">
        <f t="shared" si="20"/>
        <v>#VALUE!</v>
      </c>
      <c r="X42" s="2" t="e">
        <f t="shared" si="21"/>
        <v>#VALUE!</v>
      </c>
      <c r="Y42" t="e">
        <f t="shared" si="4"/>
        <v>#VALUE!</v>
      </c>
      <c r="Z42" s="62" t="e">
        <v>#VALUE!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>
      <c r="A43">
        <f t="shared" si="3"/>
        <v>42</v>
      </c>
      <c r="B43">
        <f t="shared" ca="1" si="2"/>
        <v>1</v>
      </c>
      <c r="C43">
        <f>IF(_xlfn.IFNA(MATCH(D43,$D$1:D42,0),0)=0,MAX($C$1:C42)+1,"")</f>
        <v>21</v>
      </c>
      <c r="D43" t="s">
        <v>24</v>
      </c>
      <c r="E43">
        <f t="shared" ref="E43:E47" si="22">_xlfn.NUMBERVALUE(RIGHT(D43,3))</f>
        <v>110</v>
      </c>
      <c r="F43" t="s">
        <v>44</v>
      </c>
      <c r="G43" s="69" t="s">
        <v>248</v>
      </c>
      <c r="H43" s="59" t="str">
        <v>📞</v>
      </c>
      <c r="I43" s="59" t="str">
        <v>💬</v>
      </c>
      <c r="J43" s="1" t="s">
        <v>109</v>
      </c>
      <c r="L43" t="str">
        <f>IF(OR(K43="",N43=""),"",IF(L42="",MAX(L$2:L42),L42)+1)</f>
        <v/>
      </c>
      <c r="M43" t="s">
        <v>314</v>
      </c>
      <c r="N43" s="5" t="s">
        <v>106</v>
      </c>
      <c r="P43" s="60" t="s">
        <v>333</v>
      </c>
      <c r="Q43" t="s">
        <v>332</v>
      </c>
      <c r="R43" t="s">
        <v>192</v>
      </c>
      <c r="S43" t="s">
        <v>71</v>
      </c>
      <c r="U43" s="2" t="str">
        <f t="shared" si="18"/>
        <v>Open</v>
      </c>
      <c r="V43" s="2" t="str">
        <f>HYPERLINK(subc_contr_folder_path&amp;S43&amp;"\ipcs\"&amp;Y43,"Open")</f>
        <v>Open</v>
      </c>
      <c r="W43" s="2" t="str">
        <f t="shared" si="20"/>
        <v>Open</v>
      </c>
      <c r="X43" s="2" t="str">
        <f t="shared" si="21"/>
        <v>Open</v>
      </c>
      <c r="Y43">
        <v>1</v>
      </c>
      <c r="Z43" s="62" t="e">
        <v>#VALUE!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idden="1">
      <c r="A44">
        <f t="shared" si="3"/>
        <v>43</v>
      </c>
      <c r="B44">
        <f t="shared" ca="1" si="2"/>
        <v>1</v>
      </c>
      <c r="C44">
        <f>IF(_xlfn.IFNA(MATCH(D44,$D$1:D43,0),0)=0,MAX($C$1:C43)+1,"")</f>
        <v>22</v>
      </c>
      <c r="D44" t="s">
        <v>25</v>
      </c>
      <c r="E44">
        <f t="shared" si="22"/>
        <v>115</v>
      </c>
      <c r="F44" t="s">
        <v>45</v>
      </c>
      <c r="G44" s="77"/>
      <c r="H44" s="59" t="str">
        <v/>
      </c>
      <c r="I44" s="59" t="str">
        <v/>
      </c>
      <c r="J44" s="1" t="s">
        <v>109</v>
      </c>
      <c r="L44" t="str">
        <f>IF(OR(K44="",N44=""),"",IF(L43="",MAX(L$2:L43),L43)+1)</f>
        <v/>
      </c>
      <c r="P44" s="5"/>
      <c r="S44" t="s">
        <v>70</v>
      </c>
      <c r="U44" s="2" t="str">
        <f t="shared" si="18"/>
        <v>Open</v>
      </c>
      <c r="V44" s="2" t="str">
        <f t="shared" si="19"/>
        <v>Open</v>
      </c>
      <c r="W44" s="2" t="e">
        <f t="shared" si="20"/>
        <v>#VALUE!</v>
      </c>
      <c r="X44" s="2" t="e">
        <f t="shared" si="21"/>
        <v>#VALUE!</v>
      </c>
      <c r="Y44" t="e">
        <f t="shared" si="4"/>
        <v>#VALUE!</v>
      </c>
      <c r="Z44" s="62" t="e">
        <v>#VALUE!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idden="1">
      <c r="A45">
        <f t="shared" si="3"/>
        <v>44</v>
      </c>
      <c r="B45">
        <f t="shared" ca="1" si="2"/>
        <v>1</v>
      </c>
      <c r="C45">
        <f>IF(_xlfn.IFNA(MATCH(D45,$D$1:D44,0),0)=0,MAX($C$1:C44)+1,"")</f>
        <v>23</v>
      </c>
      <c r="D45" t="s">
        <v>26</v>
      </c>
      <c r="E45">
        <f t="shared" si="22"/>
        <v>121</v>
      </c>
      <c r="F45" t="s">
        <v>46</v>
      </c>
      <c r="G45" s="69" t="s">
        <v>249</v>
      </c>
      <c r="H45" s="59" t="str">
        <v>📞</v>
      </c>
      <c r="I45" s="59" t="str">
        <v>💬</v>
      </c>
      <c r="J45" s="1" t="s">
        <v>109</v>
      </c>
      <c r="K45" t="s">
        <v>108</v>
      </c>
      <c r="L45">
        <f>IF(OR(K45="",N45=""),"",IF(L44="",MAX(L$2:L44),L44)+1)</f>
        <v>18</v>
      </c>
      <c r="M45" t="s">
        <v>307</v>
      </c>
      <c r="N45" s="5" t="s">
        <v>121</v>
      </c>
      <c r="O45" s="5" t="s">
        <v>441</v>
      </c>
      <c r="P45" s="60" t="s">
        <v>329</v>
      </c>
      <c r="Q45" t="s">
        <v>328</v>
      </c>
      <c r="R45" t="s">
        <v>467</v>
      </c>
      <c r="S45" t="s">
        <v>69</v>
      </c>
      <c r="U45" s="2" t="str">
        <f t="shared" si="18"/>
        <v>Open</v>
      </c>
      <c r="V45" s="2" t="e">
        <f>HYPERLINK(subc_contr_folder_path&amp;S45&amp;"\ipcs\"&amp;Y45,"Open")</f>
        <v>#VALUE!</v>
      </c>
      <c r="W45" s="2" t="e">
        <f t="shared" si="20"/>
        <v>#VALUE!</v>
      </c>
      <c r="X45" s="2" t="e">
        <f t="shared" si="21"/>
        <v>#VALUE!</v>
      </c>
      <c r="Y45" t="e">
        <f t="shared" si="4"/>
        <v>#VALUE!</v>
      </c>
      <c r="Z45" s="62" t="e">
        <v>#VALUE!</v>
      </c>
      <c r="AC45" s="1"/>
      <c r="AD45" s="1" t="s">
        <v>441</v>
      </c>
      <c r="AE45" s="1" t="s">
        <v>441</v>
      </c>
      <c r="AF45" s="1" t="s">
        <v>441</v>
      </c>
      <c r="AG45" s="1" t="s">
        <v>441</v>
      </c>
      <c r="AH45" s="1" t="s">
        <v>441</v>
      </c>
      <c r="AI45" s="1" t="s">
        <v>441</v>
      </c>
      <c r="AJ45" s="1" t="s">
        <v>441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idden="1">
      <c r="A46">
        <f t="shared" si="3"/>
        <v>45</v>
      </c>
      <c r="B46">
        <f t="shared" ca="1" si="2"/>
        <v>1</v>
      </c>
      <c r="C46">
        <f>IF(_xlfn.IFNA(MATCH(D46,$D$1:D45,0),0)=0,MAX($C$1:C45)+1,"")</f>
        <v>24</v>
      </c>
      <c r="D46" t="s">
        <v>27</v>
      </c>
      <c r="E46">
        <f t="shared" si="22"/>
        <v>124</v>
      </c>
      <c r="F46" t="s">
        <v>47</v>
      </c>
      <c r="G46" s="77"/>
      <c r="H46" s="59" t="str">
        <v/>
      </c>
      <c r="I46" s="59" t="str">
        <v/>
      </c>
      <c r="J46" s="1" t="s">
        <v>109</v>
      </c>
      <c r="L46" t="str">
        <f>IF(OR(K46="",N46=""),"",IF(L45="",MAX(L$2:L45),L45)+1)</f>
        <v/>
      </c>
      <c r="P46" s="5"/>
      <c r="S46" t="s">
        <v>68</v>
      </c>
      <c r="U46" s="2" t="str">
        <f t="shared" si="18"/>
        <v>Open</v>
      </c>
      <c r="V46" s="2" t="str">
        <f t="shared" si="19"/>
        <v>Open</v>
      </c>
      <c r="W46" s="2" t="e">
        <f t="shared" si="20"/>
        <v>#VALUE!</v>
      </c>
      <c r="X46" s="2" t="e">
        <f t="shared" si="21"/>
        <v>#VALUE!</v>
      </c>
      <c r="Y46" t="e">
        <f t="shared" si="4"/>
        <v>#VALUE!</v>
      </c>
      <c r="Z46" s="62" t="e">
        <v>#VALUE!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idden="1">
      <c r="A47">
        <f t="shared" si="3"/>
        <v>46</v>
      </c>
      <c r="B47">
        <f t="shared" ca="1" si="2"/>
        <v>1</v>
      </c>
      <c r="C47">
        <f>IF(_xlfn.IFNA(MATCH(D47,$D$1:D46,0),0)=0,MAX($C$1:C46)+1,"")</f>
        <v>25</v>
      </c>
      <c r="D47" t="s">
        <v>144</v>
      </c>
      <c r="E47">
        <f t="shared" si="22"/>
        <v>141</v>
      </c>
      <c r="F47" t="s">
        <v>145</v>
      </c>
      <c r="G47" s="69" t="s">
        <v>250</v>
      </c>
      <c r="H47" s="59" t="str">
        <v>📞</v>
      </c>
      <c r="I47" s="75" t="str">
        <v>💬</v>
      </c>
      <c r="J47" s="1" t="s">
        <v>109</v>
      </c>
      <c r="K47" t="s">
        <v>108</v>
      </c>
      <c r="L47">
        <f>IF(OR(K47="",N47=""),"",IF(L46="",MAX(L$2:L46),L46)+1)</f>
        <v>19</v>
      </c>
      <c r="M47" t="s">
        <v>313</v>
      </c>
      <c r="N47" s="5" t="s">
        <v>148</v>
      </c>
      <c r="P47" s="60" t="s">
        <v>150</v>
      </c>
      <c r="Q47" t="s">
        <v>147</v>
      </c>
      <c r="R47" t="s">
        <v>115</v>
      </c>
      <c r="S47" t="s">
        <v>146</v>
      </c>
      <c r="U47" s="2" t="str">
        <f t="shared" si="18"/>
        <v>Open</v>
      </c>
      <c r="V47" s="2" t="e">
        <f>HYPERLINK(subc_contr_folder_path&amp;S47&amp;"\ipcs\"&amp;Y47,"Open")</f>
        <v>#VALUE!</v>
      </c>
      <c r="W47" s="2" t="e">
        <f t="shared" si="20"/>
        <v>#VALUE!</v>
      </c>
      <c r="X47" s="2" t="e">
        <f t="shared" si="21"/>
        <v>#VALUE!</v>
      </c>
      <c r="Y47" t="e">
        <f t="shared" si="4"/>
        <v>#VALUE!</v>
      </c>
      <c r="Z47" s="62" t="e">
        <v>#VALUE!</v>
      </c>
      <c r="AC47" s="1"/>
      <c r="AD47" s="1" t="s">
        <v>441</v>
      </c>
      <c r="AE47" s="1" t="s">
        <v>441</v>
      </c>
      <c r="AF47" s="1" t="s">
        <v>441</v>
      </c>
      <c r="AG47" s="1" t="s">
        <v>441</v>
      </c>
      <c r="AH47" s="1" t="s">
        <v>441</v>
      </c>
      <c r="AI47" s="1" t="s">
        <v>441</v>
      </c>
      <c r="AJ47" s="1" t="s">
        <v>441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idden="1">
      <c r="A48">
        <f t="shared" si="3"/>
        <v>47</v>
      </c>
      <c r="B48">
        <f t="shared" ca="1" si="2"/>
        <v>1</v>
      </c>
      <c r="C48">
        <f>IF(_xlfn.IFNA(MATCH(D48,$D$1:D47,0),0)=0,MAX($C$1:C47)+1,"")</f>
        <v>26</v>
      </c>
      <c r="D48" t="s">
        <v>164</v>
      </c>
      <c r="E48">
        <f t="shared" ref="E48" si="23">_xlfn.NUMBERVALUE(RIGHT(D48,3))</f>
        <v>150</v>
      </c>
      <c r="F48" t="s">
        <v>165</v>
      </c>
      <c r="G48" s="69" t="s">
        <v>233</v>
      </c>
      <c r="H48" s="59" t="str">
        <v>📞</v>
      </c>
      <c r="I48" s="59" t="str">
        <v>💬</v>
      </c>
      <c r="J48" s="1" t="s">
        <v>109</v>
      </c>
      <c r="K48" t="s">
        <v>108</v>
      </c>
      <c r="L48" t="str">
        <f>IF(OR(K48="",N48=""),"",IF(L47="",MAX(L$2:L47),L47)+1)</f>
        <v/>
      </c>
      <c r="M48" t="s">
        <v>194</v>
      </c>
      <c r="P48" s="4"/>
      <c r="R48" t="s">
        <v>116</v>
      </c>
      <c r="S48" t="s">
        <v>166</v>
      </c>
      <c r="U48" s="2" t="str">
        <f t="shared" si="18"/>
        <v>Open</v>
      </c>
      <c r="V48" s="2" t="str">
        <f t="shared" si="19"/>
        <v>Open</v>
      </c>
      <c r="W48" s="2" t="e">
        <f t="shared" si="20"/>
        <v>#VALUE!</v>
      </c>
      <c r="X48" s="2" t="e">
        <f t="shared" si="21"/>
        <v>#VALUE!</v>
      </c>
      <c r="Y48" t="e">
        <f t="shared" si="4"/>
        <v>#VALUE!</v>
      </c>
      <c r="Z48" s="62" t="e">
        <v>#VALUE!</v>
      </c>
      <c r="AB48" s="10" t="s">
        <v>169</v>
      </c>
      <c r="AC48" s="1"/>
      <c r="AD48" s="1" t="s">
        <v>441</v>
      </c>
      <c r="AE48" s="1" t="s">
        <v>441</v>
      </c>
      <c r="AF48" s="1" t="s">
        <v>441</v>
      </c>
      <c r="AG48" s="1" t="s">
        <v>441</v>
      </c>
      <c r="AH48" s="1" t="s">
        <v>441</v>
      </c>
      <c r="AI48" s="1" t="s">
        <v>441</v>
      </c>
      <c r="AJ48" s="1" t="s">
        <v>441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idden="1">
      <c r="A49">
        <f t="shared" si="3"/>
        <v>48</v>
      </c>
      <c r="B49">
        <f t="shared" ca="1" si="2"/>
        <v>1</v>
      </c>
      <c r="C49">
        <f>IF(_xlfn.IFNA(MATCH(D49,$D$1:D48,0),0)=0,MAX($C$1:C48)+1,"")</f>
        <v>27</v>
      </c>
      <c r="D49" t="s">
        <v>253</v>
      </c>
      <c r="E49">
        <v>117</v>
      </c>
      <c r="F49" t="s">
        <v>251</v>
      </c>
      <c r="G49" s="70" t="s">
        <v>453</v>
      </c>
      <c r="H49" s="59" t="str">
        <v>📞</v>
      </c>
      <c r="I49" s="59" t="str">
        <v>💬</v>
      </c>
      <c r="J49" s="1" t="s">
        <v>255</v>
      </c>
      <c r="K49" t="s">
        <v>108</v>
      </c>
      <c r="L49">
        <f>IF(OR(K49="",N49=""),"",IF(L48="",MAX(L$2:L48),L48)+1)</f>
        <v>20</v>
      </c>
      <c r="M49" t="s">
        <v>307</v>
      </c>
      <c r="N49" s="5" t="s">
        <v>256</v>
      </c>
      <c r="P49" s="60" t="s">
        <v>130</v>
      </c>
      <c r="Q49" t="s">
        <v>252</v>
      </c>
      <c r="R49" t="s">
        <v>115</v>
      </c>
      <c r="S49" t="s">
        <v>254</v>
      </c>
      <c r="U49" s="2" t="str">
        <f t="shared" ref="U49" si="24">HYPERLINK(subc_contr_folder_path&amp;S49,"Open")</f>
        <v>Open</v>
      </c>
      <c r="V49" s="2" t="str">
        <f t="shared" ref="V49" si="25">HYPERLINK(subc_contr_folder_path&amp;S49&amp;"\ipcs","Open")</f>
        <v>Open</v>
      </c>
      <c r="W49" s="2" t="e">
        <f t="shared" si="20"/>
        <v>#VALUE!</v>
      </c>
      <c r="X49" s="2" t="e">
        <f t="shared" si="21"/>
        <v>#VALUE!</v>
      </c>
      <c r="Y49" t="e">
        <f t="shared" si="4"/>
        <v>#VALUE!</v>
      </c>
      <c r="Z49" s="62" t="e">
        <v>#VALUE!</v>
      </c>
      <c r="AC49" s="1" t="s">
        <v>441</v>
      </c>
      <c r="AD49" s="1" t="s">
        <v>441</v>
      </c>
      <c r="AE49" s="1" t="s">
        <v>441</v>
      </c>
      <c r="AF49" s="1" t="s">
        <v>441</v>
      </c>
      <c r="AG49" s="1" t="s">
        <v>441</v>
      </c>
      <c r="AH49" s="1" t="s">
        <v>441</v>
      </c>
      <c r="AI49" s="1" t="s">
        <v>441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idden="1">
      <c r="A50">
        <f t="shared" si="3"/>
        <v>49</v>
      </c>
      <c r="B50">
        <f t="shared" ca="1" si="2"/>
        <v>1</v>
      </c>
      <c r="C50">
        <f>IF(_xlfn.IFNA(MATCH(D50,$D$1:D49,0),0)=0,MAX($C$1:C49)+1,"")</f>
        <v>28</v>
      </c>
      <c r="D50" t="s">
        <v>264</v>
      </c>
      <c r="E50">
        <f t="shared" ref="E50:E55" si="26">_xlfn.NUMBERVALUE(RIGHT(D50,3))</f>
        <v>163</v>
      </c>
      <c r="F50" t="s">
        <v>265</v>
      </c>
      <c r="G50" s="70" t="s">
        <v>267</v>
      </c>
      <c r="H50" t="str">
        <v>📞</v>
      </c>
      <c r="I50" s="78" t="str">
        <v>💬</v>
      </c>
      <c r="J50" s="1" t="s">
        <v>109</v>
      </c>
      <c r="K50" t="s">
        <v>108</v>
      </c>
      <c r="L50">
        <f>IF(OR(K50="",N50=""),"",IF(L49="",MAX(L$2:L49),L49)+1)</f>
        <v>21</v>
      </c>
      <c r="M50" t="s">
        <v>321</v>
      </c>
      <c r="N50" s="5" t="s">
        <v>268</v>
      </c>
      <c r="O50" s="5" t="s">
        <v>441</v>
      </c>
      <c r="P50" s="60" t="s">
        <v>269</v>
      </c>
      <c r="Q50" t="s">
        <v>270</v>
      </c>
      <c r="R50" t="s">
        <v>450</v>
      </c>
      <c r="S50" t="s">
        <v>266</v>
      </c>
      <c r="U50" s="2" t="str">
        <f t="shared" ref="U50" si="27">HYPERLINK(subc_contr_folder_path&amp;S50,"Open")</f>
        <v>Open</v>
      </c>
      <c r="V50" s="2" t="e">
        <f t="shared" ref="V50:V55" si="28">HYPERLINK(subc_contr_folder_path&amp;S50&amp;"\ipcs\"&amp;Y50,"Open")</f>
        <v>#VALUE!</v>
      </c>
      <c r="W50" s="2" t="e">
        <f t="shared" si="20"/>
        <v>#VALUE!</v>
      </c>
      <c r="X50" s="2" t="e">
        <f t="shared" si="21"/>
        <v>#VALUE!</v>
      </c>
      <c r="Y50" t="e">
        <f t="shared" si="4"/>
        <v>#VALUE!</v>
      </c>
      <c r="Z50" s="62" t="e">
        <v>#VALUE!</v>
      </c>
      <c r="AC50" s="1"/>
      <c r="AD50" s="1" t="s">
        <v>441</v>
      </c>
      <c r="AE50" s="1" t="s">
        <v>441</v>
      </c>
      <c r="AF50" s="1" t="s">
        <v>441</v>
      </c>
      <c r="AG50" s="1" t="s">
        <v>441</v>
      </c>
      <c r="AH50" s="1" t="s">
        <v>441</v>
      </c>
      <c r="AI50" s="1" t="s">
        <v>441</v>
      </c>
      <c r="AJ50" s="1" t="s">
        <v>441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idden="1">
      <c r="A51">
        <f t="shared" si="3"/>
        <v>50</v>
      </c>
      <c r="B51">
        <f t="shared" ca="1" si="2"/>
        <v>1</v>
      </c>
      <c r="C51">
        <f>IF(_xlfn.IFNA(MATCH(D51,$D$1:D50,0),0)=0,MAX($C$1:C50)+1,"")</f>
        <v>29</v>
      </c>
      <c r="D51" t="s">
        <v>271</v>
      </c>
      <c r="E51">
        <f t="shared" si="26"/>
        <v>164</v>
      </c>
      <c r="F51" t="s">
        <v>273</v>
      </c>
      <c r="G51" s="70" t="s">
        <v>276</v>
      </c>
      <c r="H51" t="str">
        <v>📞</v>
      </c>
      <c r="I51" s="4" t="str">
        <v>💬</v>
      </c>
      <c r="J51" s="1" t="s">
        <v>109</v>
      </c>
      <c r="L51" t="str">
        <f>IF(OR(K51="",N51=""),"",IF(L50="",MAX(L$2:L50),L50)+1)</f>
        <v/>
      </c>
      <c r="M51" t="s">
        <v>314</v>
      </c>
      <c r="N51" s="5" t="s">
        <v>274</v>
      </c>
      <c r="P51" s="60" t="s">
        <v>338</v>
      </c>
      <c r="Q51" t="s">
        <v>275</v>
      </c>
      <c r="R51" t="s">
        <v>192</v>
      </c>
      <c r="S51" t="s">
        <v>272</v>
      </c>
      <c r="U51" s="2" t="str">
        <f t="shared" ref="U51" si="29">HYPERLINK(subc_contr_folder_path&amp;S51,"Open")</f>
        <v>Open</v>
      </c>
      <c r="V51" s="2" t="e">
        <f t="shared" si="28"/>
        <v>#VALUE!</v>
      </c>
      <c r="W51" s="2" t="e">
        <f t="shared" si="20"/>
        <v>#VALUE!</v>
      </c>
      <c r="X51" s="2" t="e">
        <f t="shared" si="21"/>
        <v>#VALUE!</v>
      </c>
      <c r="Y51" t="e">
        <f t="shared" ref="Y51:Y54" si="30">IF(Z51="","",Z51)</f>
        <v>#VALUE!</v>
      </c>
      <c r="Z51" s="62" t="e">
        <v>#VALUE!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idden="1">
      <c r="A52">
        <f t="shared" si="3"/>
        <v>51</v>
      </c>
      <c r="B52">
        <f t="shared" ca="1" si="2"/>
        <v>1</v>
      </c>
      <c r="C52">
        <f>IF(_xlfn.IFNA(MATCH(D52,$D$1:D51,0),0)=0,MAX($C$1:C51)+1,"")</f>
        <v>30</v>
      </c>
      <c r="D52" t="s">
        <v>278</v>
      </c>
      <c r="E52">
        <f t="shared" si="26"/>
        <v>172</v>
      </c>
      <c r="F52" t="s">
        <v>279</v>
      </c>
      <c r="G52" s="70" t="s">
        <v>324</v>
      </c>
      <c r="H52" t="str">
        <v>📞</v>
      </c>
      <c r="I52" s="78" t="str">
        <v>💬</v>
      </c>
      <c r="J52" s="1" t="s">
        <v>109</v>
      </c>
      <c r="L52" t="str">
        <f>IF(OR(K52="",N52=""),"",IF(L51="",MAX(L$2:L51),L51)+1)</f>
        <v/>
      </c>
      <c r="M52" t="s">
        <v>313</v>
      </c>
      <c r="N52" s="5" t="s">
        <v>280</v>
      </c>
      <c r="P52" s="60" t="s">
        <v>130</v>
      </c>
      <c r="Q52" t="s">
        <v>281</v>
      </c>
      <c r="R52" t="s">
        <v>115</v>
      </c>
      <c r="S52" t="s">
        <v>282</v>
      </c>
      <c r="U52" s="2" t="str">
        <f t="shared" ref="U52" si="31">HYPERLINK(subc_contr_folder_path&amp;S52,"Open")</f>
        <v>Open</v>
      </c>
      <c r="V52" s="2" t="e">
        <f t="shared" si="28"/>
        <v>#VALUE!</v>
      </c>
      <c r="W52" s="2" t="e">
        <f t="shared" si="20"/>
        <v>#VALUE!</v>
      </c>
      <c r="X52" s="2" t="e">
        <f t="shared" si="21"/>
        <v>#VALUE!</v>
      </c>
      <c r="Y52" t="e">
        <f t="shared" si="30"/>
        <v>#VALUE!</v>
      </c>
      <c r="Z52" s="62" t="e">
        <v>#VALUE!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idden="1">
      <c r="A53">
        <f t="shared" si="3"/>
        <v>52</v>
      </c>
      <c r="B53">
        <f t="shared" ca="1" si="2"/>
        <v>1</v>
      </c>
      <c r="C53">
        <f>IF(_xlfn.IFNA(MATCH(D53,$D$1:D52,0),0)=0,MAX($C$1:C52)+1,"")</f>
        <v>31</v>
      </c>
      <c r="D53" t="s">
        <v>283</v>
      </c>
      <c r="E53">
        <f t="shared" si="26"/>
        <v>173</v>
      </c>
      <c r="F53" t="s">
        <v>284</v>
      </c>
      <c r="G53" s="70" t="s">
        <v>285</v>
      </c>
      <c r="H53" t="str">
        <v>📞</v>
      </c>
      <c r="I53" s="78" t="str">
        <v>💬</v>
      </c>
      <c r="J53" s="1" t="s">
        <v>109</v>
      </c>
      <c r="K53" t="s">
        <v>108</v>
      </c>
      <c r="L53">
        <f>IF(OR(K53="",N53=""),"",IF(L52="",MAX(L$2:L52),L52)+1)</f>
        <v>22</v>
      </c>
      <c r="M53" t="s">
        <v>314</v>
      </c>
      <c r="N53" s="5" t="s">
        <v>286</v>
      </c>
      <c r="P53" s="60" t="s">
        <v>338</v>
      </c>
      <c r="Q53" t="s">
        <v>287</v>
      </c>
      <c r="R53" t="s">
        <v>192</v>
      </c>
      <c r="S53" t="s">
        <v>288</v>
      </c>
      <c r="U53" s="2" t="str">
        <f t="shared" ref="U53" si="32">HYPERLINK(subc_contr_folder_path&amp;S53,"Open")</f>
        <v>Open</v>
      </c>
      <c r="V53" s="2" t="e">
        <f t="shared" si="28"/>
        <v>#VALUE!</v>
      </c>
      <c r="W53" s="2" t="e">
        <f t="shared" si="20"/>
        <v>#VALUE!</v>
      </c>
      <c r="X53" s="2" t="e">
        <f t="shared" si="21"/>
        <v>#VALUE!</v>
      </c>
      <c r="Y53" t="e">
        <f t="shared" si="30"/>
        <v>#VALUE!</v>
      </c>
      <c r="Z53" s="62" t="e">
        <v>#VALUE!</v>
      </c>
      <c r="AC53" s="1"/>
      <c r="AD53" s="1" t="s">
        <v>441</v>
      </c>
      <c r="AE53" s="1" t="s">
        <v>441</v>
      </c>
      <c r="AF53" s="1" t="s">
        <v>441</v>
      </c>
      <c r="AG53" s="1" t="s">
        <v>441</v>
      </c>
      <c r="AH53" s="1" t="s">
        <v>441</v>
      </c>
      <c r="AI53" s="1" t="s">
        <v>441</v>
      </c>
      <c r="AJ53" s="1" t="s">
        <v>441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idden="1">
      <c r="A54">
        <f t="shared" si="3"/>
        <v>53</v>
      </c>
      <c r="B54">
        <f t="shared" ca="1" si="2"/>
        <v>1</v>
      </c>
      <c r="C54">
        <f>IF(_xlfn.IFNA(MATCH(D54,$D$1:D53,0),0)=0,MAX($C$1:C53)+1,"")</f>
        <v>32</v>
      </c>
      <c r="D54" t="s">
        <v>442</v>
      </c>
      <c r="E54">
        <f t="shared" si="26"/>
        <v>179</v>
      </c>
      <c r="F54" t="s">
        <v>443</v>
      </c>
      <c r="G54" s="70" t="s">
        <v>452</v>
      </c>
      <c r="H54" t="str">
        <v>📞</v>
      </c>
      <c r="I54" s="78" t="str">
        <v>💬</v>
      </c>
      <c r="J54" s="1" t="s">
        <v>109</v>
      </c>
      <c r="K54" t="s">
        <v>108</v>
      </c>
      <c r="L54">
        <f>IF(OR(K54="",N54=""),"",IF(L53="",MAX(L$2:L53),L53)+1)</f>
        <v>23</v>
      </c>
      <c r="M54" t="s">
        <v>321</v>
      </c>
      <c r="N54" s="5" t="s">
        <v>444</v>
      </c>
      <c r="P54" s="60" t="s">
        <v>130</v>
      </c>
      <c r="Q54" t="s">
        <v>445</v>
      </c>
      <c r="R54" t="s">
        <v>446</v>
      </c>
      <c r="S54" t="s">
        <v>447</v>
      </c>
      <c r="U54" s="2" t="str">
        <f t="shared" ref="U54" si="33">HYPERLINK(subc_contr_folder_path&amp;S54,"Open")</f>
        <v>Open</v>
      </c>
      <c r="V54" s="2" t="e">
        <f t="shared" si="28"/>
        <v>#VALUE!</v>
      </c>
      <c r="W54" s="2" t="e">
        <f t="shared" ref="W54" si="34">HYPERLINK(subc_contr_folder_path&amp;S54&amp;"\ipcs\"&amp;Y54&amp;"\"&amp;"log.pdf","Open")</f>
        <v>#VALUE!</v>
      </c>
      <c r="X54" s="2" t="e">
        <f t="shared" si="21"/>
        <v>#VALUE!</v>
      </c>
      <c r="Y54" t="e">
        <f t="shared" si="30"/>
        <v>#VALUE!</v>
      </c>
      <c r="Z54" s="62" t="e">
        <v>#VALUE!</v>
      </c>
      <c r="AC54" s="1"/>
      <c r="AD54" s="1" t="s">
        <v>441</v>
      </c>
      <c r="AE54" s="1" t="s">
        <v>441</v>
      </c>
      <c r="AF54" s="1" t="s">
        <v>441</v>
      </c>
      <c r="AG54" s="1" t="s">
        <v>441</v>
      </c>
      <c r="AH54" s="1" t="s">
        <v>441</v>
      </c>
      <c r="AI54" s="1" t="s">
        <v>441</v>
      </c>
      <c r="AJ54" s="1" t="s">
        <v>441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idden="1">
      <c r="A55">
        <f t="shared" si="3"/>
        <v>54</v>
      </c>
      <c r="B55">
        <f t="shared" ref="B55" ca="1" si="35">COUNTIF(INDIRECT("D1:D"&amp;ROW()-1),D55)+1</f>
        <v>1</v>
      </c>
      <c r="C55">
        <f>IF(_xlfn.IFNA(MATCH(D55,$D$1:D54,0),0)=0,MAX($C$1:C54)+1,"")</f>
        <v>33</v>
      </c>
      <c r="D55" t="s">
        <v>301</v>
      </c>
      <c r="E55">
        <f t="shared" si="26"/>
        <v>182</v>
      </c>
      <c r="F55" t="s">
        <v>317</v>
      </c>
      <c r="G55" s="70" t="s">
        <v>302</v>
      </c>
      <c r="H55" t="str">
        <v>📞</v>
      </c>
      <c r="I55" s="4" t="str">
        <v>💬</v>
      </c>
      <c r="J55" s="1" t="s">
        <v>109</v>
      </c>
      <c r="K55" t="s">
        <v>108</v>
      </c>
      <c r="L55">
        <f>IF(OR(K55="",N55=""),"",IF(L54="",MAX(L$2:L54),L54)+1)</f>
        <v>24</v>
      </c>
      <c r="M55" t="s">
        <v>307</v>
      </c>
      <c r="N55" s="5" t="s">
        <v>303</v>
      </c>
      <c r="O55" s="5" t="s">
        <v>441</v>
      </c>
      <c r="P55" s="60" t="s">
        <v>318</v>
      </c>
      <c r="Q55" t="s">
        <v>319</v>
      </c>
      <c r="R55" t="s">
        <v>462</v>
      </c>
      <c r="S55" t="s">
        <v>316</v>
      </c>
      <c r="U55" s="2" t="str">
        <f t="shared" ref="U55" si="36">HYPERLINK(subc_contr_folder_path&amp;S55,"Open")</f>
        <v>Open</v>
      </c>
      <c r="V55" s="2" t="e">
        <f t="shared" si="28"/>
        <v>#VALUE!</v>
      </c>
      <c r="W55" s="2" t="e">
        <f t="shared" ref="W55" si="37">HYPERLINK(subc_contr_folder_path&amp;S55&amp;"\ipcs\"&amp;Y55&amp;"\"&amp;"log.pdf","Open")</f>
        <v>#VALUE!</v>
      </c>
      <c r="X55" s="2" t="e">
        <f t="shared" si="21"/>
        <v>#VALUE!</v>
      </c>
      <c r="Y55" t="e">
        <f t="shared" ref="Y55:Y87" si="38">IF(Z55="","",Z55)</f>
        <v>#VALUE!</v>
      </c>
      <c r="Z55" s="62" t="e">
        <v>#VALUE!</v>
      </c>
      <c r="AC55" s="1"/>
      <c r="AD55" s="1" t="s">
        <v>441</v>
      </c>
      <c r="AE55" s="1" t="s">
        <v>441</v>
      </c>
      <c r="AF55" s="1" t="s">
        <v>441</v>
      </c>
      <c r="AG55" s="1" t="s">
        <v>441</v>
      </c>
      <c r="AH55" s="1" t="s">
        <v>441</v>
      </c>
      <c r="AI55" s="1" t="s">
        <v>441</v>
      </c>
      <c r="AJ55" s="1" t="s">
        <v>441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idden="1">
      <c r="A56">
        <f t="shared" si="3"/>
        <v>55</v>
      </c>
      <c r="B56">
        <f t="shared" ref="B56" ca="1" si="39">COUNTIF(INDIRECT("D1:D"&amp;ROW()-1),D56)+1</f>
        <v>2</v>
      </c>
      <c r="C56" t="str">
        <f>IF(_xlfn.IFNA(MATCH(D56,$D$1:D55,0),0)=0,MAX($C$1:C55)+1,"")</f>
        <v/>
      </c>
      <c r="D56" t="s">
        <v>301</v>
      </c>
      <c r="E56">
        <f t="shared" ref="E56" si="40">_xlfn.NUMBERVALUE(RIGHT(D56,3))</f>
        <v>182</v>
      </c>
      <c r="F56" t="s">
        <v>317</v>
      </c>
      <c r="G56" s="70" t="s">
        <v>302</v>
      </c>
      <c r="H56" t="str">
        <v>📞</v>
      </c>
      <c r="I56" s="4" t="str">
        <v>💬</v>
      </c>
      <c r="J56" s="1" t="s">
        <v>109</v>
      </c>
      <c r="K56" t="s">
        <v>108</v>
      </c>
      <c r="L56">
        <f>IF(OR(K56="",N56=""),"",IF(L55="",MAX(L$2:L55),L55)+1)</f>
        <v>25</v>
      </c>
      <c r="M56" t="s">
        <v>307</v>
      </c>
      <c r="N56" s="5" t="s">
        <v>304</v>
      </c>
      <c r="O56" s="5" t="s">
        <v>441</v>
      </c>
      <c r="P56" s="60" t="s">
        <v>318</v>
      </c>
      <c r="Q56" t="s">
        <v>320</v>
      </c>
      <c r="R56" t="s">
        <v>462</v>
      </c>
      <c r="S56" t="s">
        <v>316</v>
      </c>
      <c r="Y56" t="e">
        <f t="shared" si="38"/>
        <v>#VALUE!</v>
      </c>
      <c r="Z56" s="62" t="e">
        <v>#VALUE!</v>
      </c>
      <c r="AC56" s="1"/>
      <c r="AD56" s="1" t="s">
        <v>441</v>
      </c>
      <c r="AE56" s="1" t="s">
        <v>441</v>
      </c>
      <c r="AF56" s="1" t="s">
        <v>441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idden="1">
      <c r="A57">
        <f t="shared" si="3"/>
        <v>56</v>
      </c>
      <c r="B57">
        <f t="shared" ref="B57:B87" ca="1" si="41">COUNTIF(INDIRECT("D1:D"&amp;ROW()-1),D57)+1</f>
        <v>1</v>
      </c>
      <c r="C57">
        <f>IF(_xlfn.IFNA(MATCH(D57,$D$1:D56,0),0)=0,MAX($C$1:C56)+1,"")</f>
        <v>34</v>
      </c>
      <c r="D57" t="s">
        <v>341</v>
      </c>
      <c r="E57">
        <v>7</v>
      </c>
      <c r="F57" t="s">
        <v>365</v>
      </c>
      <c r="G57" s="70" t="s">
        <v>456</v>
      </c>
      <c r="H57" t="str">
        <v>📞</v>
      </c>
      <c r="I57" s="78" t="str">
        <v>💬</v>
      </c>
      <c r="J57" s="1" t="s">
        <v>255</v>
      </c>
      <c r="K57" t="s">
        <v>108</v>
      </c>
      <c r="L57">
        <f>IF(OR(K57="",N57=""),"",IF(L56="",MAX(L$2:L56),L56)+1)</f>
        <v>26</v>
      </c>
      <c r="M57" t="s">
        <v>307</v>
      </c>
      <c r="N57" s="5" t="s">
        <v>451</v>
      </c>
      <c r="P57" s="60" t="s">
        <v>406</v>
      </c>
      <c r="Q57" t="s">
        <v>407</v>
      </c>
      <c r="R57" t="s">
        <v>193</v>
      </c>
      <c r="S57" t="s">
        <v>408</v>
      </c>
      <c r="U57" s="2" t="str">
        <f t="shared" ref="U57" si="42">HYPERLINK(subc_contr_folder_path&amp;S57,"Open")</f>
        <v>Open</v>
      </c>
      <c r="V57" s="2" t="e">
        <f>HYPERLINK(subc_contr_folder_path&amp;S57&amp;"\ipcs\"&amp;Y57,"Open")</f>
        <v>#VALUE!</v>
      </c>
      <c r="W57" s="2" t="e">
        <f t="shared" ref="W57" si="43">HYPERLINK(subc_contr_folder_path&amp;S57&amp;"\ipcs\"&amp;Y57&amp;"\"&amp;"log.pdf","Open")</f>
        <v>#VALUE!</v>
      </c>
      <c r="X57" s="2" t="e">
        <f>HYPERLINK(subc_contr_folder_path&amp;S57&amp;"\ipcs\"&amp;Y57&amp;"\"&amp;E57&amp;"-"&amp;Y57&amp;".pdf","Open")</f>
        <v>#VALUE!</v>
      </c>
      <c r="Y57" t="e">
        <f t="shared" si="38"/>
        <v>#VALUE!</v>
      </c>
      <c r="Z57" s="62" t="e">
        <v>#VALUE!</v>
      </c>
      <c r="AC57" s="1" t="s">
        <v>441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idden="1">
      <c r="A58">
        <f t="shared" si="3"/>
        <v>57</v>
      </c>
      <c r="B58">
        <f t="shared" ca="1" si="41"/>
        <v>2</v>
      </c>
      <c r="C58" t="str">
        <f>IF(_xlfn.IFNA(MATCH(D58,$D$1:D57,0),0)=0,MAX($C$1:C57)+1,"")</f>
        <v/>
      </c>
      <c r="D58" t="s">
        <v>341</v>
      </c>
      <c r="E58">
        <v>7</v>
      </c>
      <c r="F58" t="s">
        <v>365</v>
      </c>
      <c r="H58" t="str">
        <v/>
      </c>
      <c r="I58" s="78" t="str">
        <v/>
      </c>
      <c r="J58" s="80" t="s">
        <v>109</v>
      </c>
      <c r="K58" t="s">
        <v>108</v>
      </c>
      <c r="L58" t="str">
        <f>IF(OR(K58="",N58=""),"",IF(L57="",MAX(L$2:L57),L57)+1)</f>
        <v/>
      </c>
      <c r="P58" s="60" t="s">
        <v>388</v>
      </c>
      <c r="R58" t="s">
        <v>193</v>
      </c>
      <c r="S58" t="s">
        <v>408</v>
      </c>
      <c r="Y58" t="e">
        <f t="shared" si="38"/>
        <v>#VALUE!</v>
      </c>
      <c r="Z58" s="62" t="e">
        <v>#VALUE!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idden="1">
      <c r="A59">
        <f t="shared" si="3"/>
        <v>58</v>
      </c>
      <c r="B59">
        <f t="shared" ca="1" si="41"/>
        <v>1</v>
      </c>
      <c r="C59">
        <f>IF(_xlfn.IFNA(MATCH(D59,$D$1:D58,0),0)=0,MAX($C$1:C58)+1,"")</f>
        <v>35</v>
      </c>
      <c r="D59" t="s">
        <v>342</v>
      </c>
      <c r="E59">
        <v>17</v>
      </c>
      <c r="F59" t="s">
        <v>366</v>
      </c>
      <c r="H59" t="str">
        <v/>
      </c>
      <c r="I59" s="78" t="str">
        <v/>
      </c>
      <c r="J59" s="1" t="s">
        <v>255</v>
      </c>
      <c r="K59" t="s">
        <v>108</v>
      </c>
      <c r="L59" t="str">
        <f>IF(OR(K59="",N59=""),"",IF(L58="",MAX(L$2:L58),L58)+1)</f>
        <v/>
      </c>
      <c r="P59" s="60" t="s">
        <v>389</v>
      </c>
      <c r="R59" t="s">
        <v>118</v>
      </c>
      <c r="S59" t="s">
        <v>409</v>
      </c>
      <c r="U59" s="2" t="str">
        <f t="shared" ref="U59:U86" si="44">HYPERLINK(subc_contr_folder_path&amp;S59,"Open")</f>
        <v>Open</v>
      </c>
      <c r="V59" s="2" t="e">
        <f>HYPERLINK(subc_contr_folder_path&amp;S59&amp;"\ipcs\"&amp;Y59,"Open")</f>
        <v>#VALUE!</v>
      </c>
      <c r="W59" s="2" t="e">
        <f t="shared" ref="W59:W86" si="45">HYPERLINK(subc_contr_folder_path&amp;S59&amp;"\ipcs\"&amp;Y59&amp;"\"&amp;"log.pdf","Open")</f>
        <v>#VALUE!</v>
      </c>
      <c r="X59" s="2" t="e">
        <f t="shared" ref="X59:X73" si="46">HYPERLINK(subc_contr_folder_path&amp;S59&amp;"\ipcs\"&amp;Y59&amp;"\"&amp;E59&amp;"-"&amp;Y59&amp;".pdf","Open")</f>
        <v>#VALUE!</v>
      </c>
      <c r="Y59" t="e">
        <f t="shared" si="38"/>
        <v>#VALUE!</v>
      </c>
      <c r="Z59" s="62" t="e">
        <v>#VALUE!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idden="1">
      <c r="A60">
        <f t="shared" si="3"/>
        <v>59</v>
      </c>
      <c r="B60">
        <f t="shared" ca="1" si="41"/>
        <v>1</v>
      </c>
      <c r="C60">
        <f>IF(_xlfn.IFNA(MATCH(D60,$D$1:D59,0),0)=0,MAX($C$1:C59)+1,"")</f>
        <v>36</v>
      </c>
      <c r="D60" t="s">
        <v>343</v>
      </c>
      <c r="E60">
        <v>20</v>
      </c>
      <c r="F60" t="s">
        <v>367</v>
      </c>
      <c r="G60" s="70" t="s">
        <v>455</v>
      </c>
      <c r="H60" t="str">
        <v>📞</v>
      </c>
      <c r="I60" s="78" t="str">
        <v>💬</v>
      </c>
      <c r="J60" s="80" t="s">
        <v>255</v>
      </c>
      <c r="K60" t="s">
        <v>108</v>
      </c>
      <c r="L60" t="str">
        <f>IF(OR(K60="",N60=""),"",IF(L59="",MAX(L$2:L59),L59)+1)</f>
        <v/>
      </c>
      <c r="M60" t="s">
        <v>311</v>
      </c>
      <c r="P60" s="60" t="s">
        <v>390</v>
      </c>
      <c r="S60" t="s">
        <v>410</v>
      </c>
      <c r="U60" s="2" t="str">
        <f t="shared" si="44"/>
        <v>Open</v>
      </c>
      <c r="V60" s="2" t="e">
        <f t="shared" ref="V60:V71" si="47">HYPERLINK(subc_contr_folder_path&amp;S60&amp;"\02_IPC\"&amp;Y60,"Open")</f>
        <v>#VALUE!</v>
      </c>
      <c r="W60" s="2" t="e">
        <f t="shared" si="45"/>
        <v>#VALUE!</v>
      </c>
      <c r="X60" s="2" t="e">
        <f t="shared" si="46"/>
        <v>#VALUE!</v>
      </c>
      <c r="Y60" t="e">
        <f t="shared" si="38"/>
        <v>#VALUE!</v>
      </c>
      <c r="Z60" s="62" t="e">
        <v>#VALUE!</v>
      </c>
      <c r="AC60" s="1" t="s">
        <v>441</v>
      </c>
      <c r="AD60" s="1" t="s">
        <v>441</v>
      </c>
      <c r="AE60" s="1" t="s">
        <v>441</v>
      </c>
      <c r="AF60" s="1" t="s">
        <v>441</v>
      </c>
      <c r="AG60" s="1" t="s">
        <v>441</v>
      </c>
      <c r="AH60" s="1" t="s">
        <v>441</v>
      </c>
      <c r="AI60" s="1" t="s">
        <v>441</v>
      </c>
      <c r="AJ60" s="1" t="s">
        <v>441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idden="1">
      <c r="A61">
        <f t="shared" si="3"/>
        <v>60</v>
      </c>
      <c r="B61">
        <f t="shared" ca="1" si="41"/>
        <v>1</v>
      </c>
      <c r="C61">
        <f>IF(_xlfn.IFNA(MATCH(D61,$D$1:D60,0),0)=0,MAX($C$1:C60)+1,"")</f>
        <v>37</v>
      </c>
      <c r="D61" t="s">
        <v>344</v>
      </c>
      <c r="E61">
        <v>39</v>
      </c>
      <c r="F61" t="s">
        <v>368</v>
      </c>
      <c r="H61" t="str">
        <v/>
      </c>
      <c r="I61" s="78" t="str">
        <v/>
      </c>
      <c r="J61" s="1" t="s">
        <v>255</v>
      </c>
      <c r="L61" t="str">
        <f>IF(OR(K61="",N61=""),"",IF(L60="",MAX(L$2:L60),L60)+1)</f>
        <v/>
      </c>
      <c r="P61" s="60" t="s">
        <v>391</v>
      </c>
      <c r="S61" t="s">
        <v>411</v>
      </c>
      <c r="U61" s="2" t="str">
        <f t="shared" si="44"/>
        <v>Open</v>
      </c>
      <c r="V61" s="2" t="e">
        <f t="shared" si="47"/>
        <v>#VALUE!</v>
      </c>
      <c r="W61" s="2" t="e">
        <f t="shared" si="45"/>
        <v>#VALUE!</v>
      </c>
      <c r="X61" s="2" t="e">
        <f t="shared" si="46"/>
        <v>#VALUE!</v>
      </c>
      <c r="Y61" t="e">
        <f t="shared" si="38"/>
        <v>#VALUE!</v>
      </c>
      <c r="Z61" s="62" t="e">
        <v>#VALUE!</v>
      </c>
      <c r="AC61" s="1" t="s">
        <v>441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idden="1">
      <c r="A62">
        <f t="shared" si="3"/>
        <v>61</v>
      </c>
      <c r="B62">
        <f t="shared" ca="1" si="41"/>
        <v>1</v>
      </c>
      <c r="C62">
        <f>IF(_xlfn.IFNA(MATCH(D62,$D$1:D61,0),0)=0,MAX($C$1:C61)+1,"")</f>
        <v>38</v>
      </c>
      <c r="D62" t="s">
        <v>345</v>
      </c>
      <c r="E62">
        <v>66</v>
      </c>
      <c r="F62" t="s">
        <v>369</v>
      </c>
      <c r="H62" t="str">
        <v/>
      </c>
      <c r="I62" s="78" t="str">
        <v/>
      </c>
      <c r="J62" s="1" t="s">
        <v>255</v>
      </c>
      <c r="K62" t="s">
        <v>108</v>
      </c>
      <c r="L62" t="str">
        <f>IF(OR(K62="",N62=""),"",IF(L61="",MAX(L$2:L61),L61)+1)</f>
        <v/>
      </c>
      <c r="P62" s="60" t="s">
        <v>388</v>
      </c>
      <c r="S62" t="s">
        <v>412</v>
      </c>
      <c r="U62" s="2" t="str">
        <f t="shared" si="44"/>
        <v>Open</v>
      </c>
      <c r="V62" s="2" t="e">
        <f t="shared" si="47"/>
        <v>#VALUE!</v>
      </c>
      <c r="W62" s="2" t="e">
        <f t="shared" si="45"/>
        <v>#VALUE!</v>
      </c>
      <c r="X62" s="2" t="e">
        <f t="shared" si="46"/>
        <v>#VALUE!</v>
      </c>
      <c r="Y62" t="e">
        <f t="shared" si="38"/>
        <v>#VALUE!</v>
      </c>
      <c r="Z62" s="62" t="e">
        <v>#VALUE!</v>
      </c>
      <c r="AC62" s="1" t="s">
        <v>441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idden="1">
      <c r="A63">
        <f t="shared" si="3"/>
        <v>62</v>
      </c>
      <c r="B63">
        <f t="shared" ca="1" si="41"/>
        <v>1</v>
      </c>
      <c r="C63">
        <f>IF(_xlfn.IFNA(MATCH(D63,$D$1:D62,0),0)=0,MAX($C$1:C62)+1,"")</f>
        <v>39</v>
      </c>
      <c r="D63" t="s">
        <v>346</v>
      </c>
      <c r="E63">
        <v>82</v>
      </c>
      <c r="F63" t="s">
        <v>370</v>
      </c>
      <c r="H63" t="str">
        <v/>
      </c>
      <c r="I63" s="78" t="str">
        <v/>
      </c>
      <c r="J63" s="1" t="s">
        <v>255</v>
      </c>
      <c r="K63" t="s">
        <v>108</v>
      </c>
      <c r="L63" t="str">
        <f>IF(OR(K63="",N63=""),"",IF(L62="",MAX(L$2:L62),L62)+1)</f>
        <v/>
      </c>
      <c r="P63" s="60" t="s">
        <v>392</v>
      </c>
      <c r="S63" t="s">
        <v>413</v>
      </c>
      <c r="U63" s="2" t="str">
        <f t="shared" si="44"/>
        <v>Open</v>
      </c>
      <c r="V63" s="2" t="e">
        <f t="shared" si="47"/>
        <v>#VALUE!</v>
      </c>
      <c r="W63" s="2" t="e">
        <f t="shared" si="45"/>
        <v>#VALUE!</v>
      </c>
      <c r="X63" s="2" t="e">
        <f t="shared" si="46"/>
        <v>#VALUE!</v>
      </c>
      <c r="Y63" t="e">
        <f t="shared" si="38"/>
        <v>#VALUE!</v>
      </c>
      <c r="Z63" s="62" t="e">
        <v>#VALUE!</v>
      </c>
      <c r="AC63" s="1" t="s">
        <v>441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idden="1">
      <c r="A64">
        <f t="shared" si="3"/>
        <v>63</v>
      </c>
      <c r="B64">
        <f t="shared" ca="1" si="41"/>
        <v>1</v>
      </c>
      <c r="C64">
        <f>IF(_xlfn.IFNA(MATCH(D64,$D$1:D63,0),0)=0,MAX($C$1:C63)+1,"")</f>
        <v>40</v>
      </c>
      <c r="D64" t="s">
        <v>347</v>
      </c>
      <c r="E64">
        <v>88</v>
      </c>
      <c r="F64" t="s">
        <v>371</v>
      </c>
      <c r="H64" t="str">
        <v/>
      </c>
      <c r="I64" s="78" t="str">
        <v/>
      </c>
      <c r="J64" s="1" t="s">
        <v>255</v>
      </c>
      <c r="K64" t="s">
        <v>108</v>
      </c>
      <c r="L64" t="str">
        <f>IF(OR(K64="",N64=""),"",IF(L63="",MAX(L$2:L63),L63)+1)</f>
        <v/>
      </c>
      <c r="P64" s="60" t="s">
        <v>388</v>
      </c>
      <c r="S64" t="s">
        <v>414</v>
      </c>
      <c r="U64" s="2" t="str">
        <f t="shared" si="44"/>
        <v>Open</v>
      </c>
      <c r="V64" s="2" t="e">
        <f t="shared" si="47"/>
        <v>#VALUE!</v>
      </c>
      <c r="W64" s="2" t="e">
        <f t="shared" si="45"/>
        <v>#VALUE!</v>
      </c>
      <c r="X64" s="2" t="e">
        <f t="shared" si="46"/>
        <v>#VALUE!</v>
      </c>
      <c r="Y64" t="e">
        <f t="shared" si="38"/>
        <v>#VALUE!</v>
      </c>
      <c r="Z64" s="62" t="e">
        <v>#VALUE!</v>
      </c>
      <c r="AC64" s="1" t="s">
        <v>441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idden="1">
      <c r="A65">
        <f t="shared" si="3"/>
        <v>64</v>
      </c>
      <c r="B65">
        <f t="shared" ca="1" si="41"/>
        <v>1</v>
      </c>
      <c r="C65">
        <f>IF(_xlfn.IFNA(MATCH(D65,$D$1:D64,0),0)=0,MAX($C$1:C64)+1,"")</f>
        <v>41</v>
      </c>
      <c r="D65" t="s">
        <v>348</v>
      </c>
      <c r="E65">
        <v>92</v>
      </c>
      <c r="F65" t="s">
        <v>372</v>
      </c>
      <c r="H65" t="str">
        <v/>
      </c>
      <c r="I65" s="78" t="str">
        <v/>
      </c>
      <c r="J65" s="1" t="s">
        <v>255</v>
      </c>
      <c r="K65" t="s">
        <v>108</v>
      </c>
      <c r="L65" t="str">
        <f>IF(OR(K65="",N65=""),"",IF(L64="",MAX(L$2:L64),L64)+1)</f>
        <v/>
      </c>
      <c r="P65" s="60" t="s">
        <v>393</v>
      </c>
      <c r="S65" t="s">
        <v>415</v>
      </c>
      <c r="U65" s="2" t="str">
        <f t="shared" si="44"/>
        <v>Open</v>
      </c>
      <c r="V65" s="2" t="e">
        <f t="shared" si="47"/>
        <v>#VALUE!</v>
      </c>
      <c r="W65" s="2" t="e">
        <f t="shared" si="45"/>
        <v>#VALUE!</v>
      </c>
      <c r="X65" s="2" t="e">
        <f t="shared" si="46"/>
        <v>#VALUE!</v>
      </c>
      <c r="Y65" t="e">
        <f t="shared" si="38"/>
        <v>#VALUE!</v>
      </c>
      <c r="Z65" s="62" t="e">
        <v>#VALUE!</v>
      </c>
      <c r="AC65" s="1" t="s">
        <v>441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idden="1">
      <c r="A66">
        <f t="shared" si="3"/>
        <v>65</v>
      </c>
      <c r="B66">
        <f t="shared" ca="1" si="41"/>
        <v>1</v>
      </c>
      <c r="C66">
        <f>IF(_xlfn.IFNA(MATCH(D66,$D$1:D65,0),0)=0,MAX($C$1:C65)+1,"")</f>
        <v>42</v>
      </c>
      <c r="D66" t="s">
        <v>349</v>
      </c>
      <c r="E66">
        <v>96</v>
      </c>
      <c r="F66" t="s">
        <v>373</v>
      </c>
      <c r="H66" t="str">
        <v/>
      </c>
      <c r="I66" s="78" t="str">
        <v/>
      </c>
      <c r="J66" s="1" t="s">
        <v>255</v>
      </c>
      <c r="K66" t="s">
        <v>108</v>
      </c>
      <c r="L66" t="str">
        <f>IF(OR(K66="",N66=""),"",IF(L65="",MAX(L$2:L65),L65)+1)</f>
        <v/>
      </c>
      <c r="P66" s="60" t="s">
        <v>394</v>
      </c>
      <c r="S66" t="s">
        <v>416</v>
      </c>
      <c r="U66" s="2" t="str">
        <f t="shared" si="44"/>
        <v>Open</v>
      </c>
      <c r="V66" s="2" t="e">
        <f t="shared" si="47"/>
        <v>#VALUE!</v>
      </c>
      <c r="W66" s="2" t="e">
        <f t="shared" si="45"/>
        <v>#VALUE!</v>
      </c>
      <c r="X66" s="2" t="e">
        <f t="shared" si="46"/>
        <v>#VALUE!</v>
      </c>
      <c r="Y66" t="e">
        <f t="shared" si="38"/>
        <v>#VALUE!</v>
      </c>
      <c r="Z66" s="62" t="e">
        <v>#VALUE!</v>
      </c>
      <c r="AC66" s="1" t="s">
        <v>441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idden="1">
      <c r="A67">
        <f t="shared" si="3"/>
        <v>66</v>
      </c>
      <c r="B67">
        <f t="shared" ca="1" si="41"/>
        <v>1</v>
      </c>
      <c r="C67">
        <f>IF(_xlfn.IFNA(MATCH(D67,$D$1:D66,0),0)=0,MAX($C$1:C66)+1,"")</f>
        <v>43</v>
      </c>
      <c r="D67" t="s">
        <v>350</v>
      </c>
      <c r="E67">
        <v>97</v>
      </c>
      <c r="F67" t="s">
        <v>374</v>
      </c>
      <c r="H67" t="str">
        <v/>
      </c>
      <c r="I67" s="78" t="str">
        <v/>
      </c>
      <c r="J67" s="1" t="s">
        <v>255</v>
      </c>
      <c r="L67" t="str">
        <f>IF(OR(K67="",N67=""),"",IF(L66="",MAX(L$2:L66),L66)+1)</f>
        <v/>
      </c>
      <c r="P67" s="60" t="s">
        <v>395</v>
      </c>
      <c r="S67" t="s">
        <v>417</v>
      </c>
      <c r="U67" s="2" t="str">
        <f t="shared" si="44"/>
        <v>Open</v>
      </c>
      <c r="V67" s="2" t="e">
        <f t="shared" si="47"/>
        <v>#VALUE!</v>
      </c>
      <c r="W67" s="2" t="e">
        <f t="shared" si="45"/>
        <v>#VALUE!</v>
      </c>
      <c r="X67" s="2" t="e">
        <f t="shared" si="46"/>
        <v>#VALUE!</v>
      </c>
      <c r="Y67" t="e">
        <f t="shared" si="38"/>
        <v>#VALUE!</v>
      </c>
      <c r="Z67" s="62" t="e">
        <v>#VALUE!</v>
      </c>
      <c r="AC67" s="1" t="s">
        <v>441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idden="1">
      <c r="A68">
        <f t="shared" si="3"/>
        <v>67</v>
      </c>
      <c r="B68">
        <f t="shared" ca="1" si="41"/>
        <v>1</v>
      </c>
      <c r="C68">
        <f>IF(_xlfn.IFNA(MATCH(D68,$D$1:D67,0),0)=0,MAX($C$1:C67)+1,"")</f>
        <v>44</v>
      </c>
      <c r="D68" t="s">
        <v>351</v>
      </c>
      <c r="E68">
        <v>104</v>
      </c>
      <c r="F68" t="s">
        <v>375</v>
      </c>
      <c r="H68" t="str">
        <v/>
      </c>
      <c r="I68" s="78" t="str">
        <v/>
      </c>
      <c r="J68" s="1" t="s">
        <v>255</v>
      </c>
      <c r="L68" t="str">
        <f>IF(OR(K68="",N68=""),"",IF(L67="",MAX(L$2:L67),L67)+1)</f>
        <v/>
      </c>
      <c r="P68" s="60" t="s">
        <v>388</v>
      </c>
      <c r="S68" t="s">
        <v>418</v>
      </c>
      <c r="U68" s="2" t="str">
        <f t="shared" si="44"/>
        <v>Open</v>
      </c>
      <c r="V68" s="2" t="e">
        <f t="shared" si="47"/>
        <v>#VALUE!</v>
      </c>
      <c r="W68" s="2" t="e">
        <f t="shared" si="45"/>
        <v>#VALUE!</v>
      </c>
      <c r="X68" s="2" t="e">
        <f t="shared" si="46"/>
        <v>#VALUE!</v>
      </c>
      <c r="Y68" t="e">
        <f t="shared" si="38"/>
        <v>#VALUE!</v>
      </c>
      <c r="Z68" s="62" t="e">
        <v>#VALUE!</v>
      </c>
      <c r="AC68" s="1" t="s">
        <v>441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idden="1">
      <c r="A69">
        <f t="shared" ref="A69:A87" si="48">+A68+1</f>
        <v>68</v>
      </c>
      <c r="B69">
        <f t="shared" ca="1" si="41"/>
        <v>1</v>
      </c>
      <c r="C69">
        <f>IF(_xlfn.IFNA(MATCH(D69,$D$1:D68,0),0)=0,MAX($C$1:C68)+1,"")</f>
        <v>45</v>
      </c>
      <c r="D69" t="s">
        <v>352</v>
      </c>
      <c r="E69">
        <v>105</v>
      </c>
      <c r="F69" t="s">
        <v>376</v>
      </c>
      <c r="H69" t="str">
        <v/>
      </c>
      <c r="I69" s="78" t="str">
        <v/>
      </c>
      <c r="J69" s="1" t="s">
        <v>255</v>
      </c>
      <c r="L69" t="str">
        <f>IF(OR(K69="",N69=""),"",IF(L68="",MAX(L$2:L68),L68)+1)</f>
        <v/>
      </c>
      <c r="P69" s="60" t="s">
        <v>388</v>
      </c>
      <c r="S69" t="s">
        <v>419</v>
      </c>
      <c r="U69" s="2" t="str">
        <f t="shared" si="44"/>
        <v>Open</v>
      </c>
      <c r="V69" s="2" t="e">
        <f t="shared" si="47"/>
        <v>#VALUE!</v>
      </c>
      <c r="W69" s="2" t="e">
        <f t="shared" si="45"/>
        <v>#VALUE!</v>
      </c>
      <c r="X69" s="2" t="e">
        <f t="shared" si="46"/>
        <v>#VALUE!</v>
      </c>
      <c r="Y69" t="e">
        <f t="shared" si="38"/>
        <v>#VALUE!</v>
      </c>
      <c r="Z69" s="62" t="e">
        <v>#VALUE!</v>
      </c>
      <c r="AC69" s="1" t="s">
        <v>441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idden="1">
      <c r="A70">
        <f t="shared" si="48"/>
        <v>69</v>
      </c>
      <c r="B70">
        <f t="shared" ca="1" si="41"/>
        <v>1</v>
      </c>
      <c r="C70">
        <f>IF(_xlfn.IFNA(MATCH(D70,$D$1:D69,0),0)=0,MAX($C$1:C69)+1,"")</f>
        <v>46</v>
      </c>
      <c r="D70" t="s">
        <v>353</v>
      </c>
      <c r="E70">
        <v>106</v>
      </c>
      <c r="F70" t="s">
        <v>377</v>
      </c>
      <c r="H70" t="str">
        <v/>
      </c>
      <c r="I70" s="78" t="str">
        <v/>
      </c>
      <c r="J70" s="1" t="s">
        <v>255</v>
      </c>
      <c r="L70" t="str">
        <f>IF(OR(K70="",N70=""),"",IF(L69="",MAX(L$2:L69),L69)+1)</f>
        <v/>
      </c>
      <c r="P70" s="60" t="s">
        <v>396</v>
      </c>
      <c r="S70" t="s">
        <v>420</v>
      </c>
      <c r="U70" s="2" t="str">
        <f t="shared" si="44"/>
        <v>Open</v>
      </c>
      <c r="V70" s="2" t="e">
        <f t="shared" si="47"/>
        <v>#VALUE!</v>
      </c>
      <c r="W70" s="2" t="e">
        <f t="shared" si="45"/>
        <v>#VALUE!</v>
      </c>
      <c r="X70" s="2" t="e">
        <f t="shared" si="46"/>
        <v>#VALUE!</v>
      </c>
      <c r="Y70" t="e">
        <f t="shared" si="38"/>
        <v>#VALUE!</v>
      </c>
      <c r="Z70" s="62" t="e">
        <v>#VALUE!</v>
      </c>
      <c r="AC70" s="1" t="s">
        <v>441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idden="1">
      <c r="A71">
        <f t="shared" si="48"/>
        <v>70</v>
      </c>
      <c r="B71">
        <f t="shared" ca="1" si="41"/>
        <v>1</v>
      </c>
      <c r="C71">
        <f>IF(_xlfn.IFNA(MATCH(D71,$D$1:D70,0),0)=0,MAX($C$1:C70)+1,"")</f>
        <v>47</v>
      </c>
      <c r="D71" t="s">
        <v>354</v>
      </c>
      <c r="E71">
        <v>116</v>
      </c>
      <c r="F71" t="s">
        <v>378</v>
      </c>
      <c r="H71" t="str">
        <v/>
      </c>
      <c r="I71" s="78" t="str">
        <v/>
      </c>
      <c r="J71" s="1" t="s">
        <v>255</v>
      </c>
      <c r="K71" t="s">
        <v>108</v>
      </c>
      <c r="L71" t="str">
        <f>IF(OR(K71="",N71=""),"",IF(L70="",MAX(L$2:L70),L70)+1)</f>
        <v/>
      </c>
      <c r="P71" s="60" t="s">
        <v>397</v>
      </c>
      <c r="S71" t="s">
        <v>421</v>
      </c>
      <c r="U71" s="2" t="str">
        <f t="shared" si="44"/>
        <v>Open</v>
      </c>
      <c r="V71" s="2" t="e">
        <f t="shared" si="47"/>
        <v>#VALUE!</v>
      </c>
      <c r="W71" s="2" t="e">
        <f t="shared" si="45"/>
        <v>#VALUE!</v>
      </c>
      <c r="X71" s="2" t="e">
        <f t="shared" si="46"/>
        <v>#VALUE!</v>
      </c>
      <c r="Y71" t="e">
        <f t="shared" si="38"/>
        <v>#VALUE!</v>
      </c>
      <c r="Z71" s="62" t="e">
        <v>#VALUE!</v>
      </c>
      <c r="AC71" s="1" t="s">
        <v>441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idden="1">
      <c r="A72">
        <f t="shared" si="48"/>
        <v>71</v>
      </c>
      <c r="B72">
        <f t="shared" ca="1" si="41"/>
        <v>1</v>
      </c>
      <c r="C72">
        <f>IF(_xlfn.IFNA(MATCH(D72,$D$1:D71,0),0)=0,MAX($C$1:C71)+1,"")</f>
        <v>48</v>
      </c>
      <c r="D72" t="s">
        <v>355</v>
      </c>
      <c r="E72">
        <v>118</v>
      </c>
      <c r="F72" t="s">
        <v>368</v>
      </c>
      <c r="H72" t="str">
        <v/>
      </c>
      <c r="I72" s="78" t="str">
        <v/>
      </c>
      <c r="J72" s="1" t="s">
        <v>255</v>
      </c>
      <c r="L72" t="str">
        <f>IF(OR(K72="",N72=""),"",IF(#REF!="",MAX(L$2:L71),#REF!)+1)</f>
        <v/>
      </c>
      <c r="P72" s="60" t="s">
        <v>388</v>
      </c>
      <c r="S72" t="s">
        <v>422</v>
      </c>
      <c r="U72" s="2" t="str">
        <f t="shared" si="44"/>
        <v>Open</v>
      </c>
      <c r="V72" s="2" t="e">
        <f>HYPERLINK(subc_contr_folder_path&amp;S72&amp;"\02_IPC\"&amp;Y72,"Open")</f>
        <v>#VALUE!</v>
      </c>
      <c r="W72" s="2" t="e">
        <f t="shared" si="45"/>
        <v>#VALUE!</v>
      </c>
      <c r="X72" s="2" t="e">
        <f t="shared" si="46"/>
        <v>#VALUE!</v>
      </c>
      <c r="Y72" t="e">
        <f t="shared" si="38"/>
        <v>#VALUE!</v>
      </c>
      <c r="Z72" s="62" t="e">
        <v>#VALUE!</v>
      </c>
      <c r="AC72" t="s">
        <v>441</v>
      </c>
    </row>
    <row r="73" spans="1:49" hidden="1">
      <c r="A73">
        <f t="shared" si="48"/>
        <v>72</v>
      </c>
      <c r="B73">
        <f t="shared" ca="1" si="41"/>
        <v>1</v>
      </c>
      <c r="C73">
        <f>IF(_xlfn.IFNA(MATCH(D73,$D$1:D72,0),0)=0,MAX($C$1:C72)+1,"")</f>
        <v>49</v>
      </c>
      <c r="D73" t="s">
        <v>356</v>
      </c>
      <c r="E73">
        <v>119</v>
      </c>
      <c r="F73" t="s">
        <v>379</v>
      </c>
      <c r="G73" s="70" t="s">
        <v>454</v>
      </c>
      <c r="H73" t="str">
        <v>📞</v>
      </c>
      <c r="I73" s="78" t="str">
        <v>💬</v>
      </c>
      <c r="J73" s="1" t="s">
        <v>255</v>
      </c>
      <c r="K73" t="s">
        <v>108</v>
      </c>
      <c r="L73">
        <f>IF(OR(K73="",N73=""),"",IF(L72="",MAX(L$2:L72),L72)+1)</f>
        <v>27</v>
      </c>
      <c r="M73" t="s">
        <v>307</v>
      </c>
      <c r="N73" s="5" t="s">
        <v>435</v>
      </c>
      <c r="P73" s="60" t="s">
        <v>405</v>
      </c>
      <c r="R73" t="s">
        <v>193</v>
      </c>
      <c r="S73" t="s">
        <v>423</v>
      </c>
      <c r="U73" s="2" t="str">
        <f t="shared" si="44"/>
        <v>Open</v>
      </c>
      <c r="V73" s="2" t="e">
        <f>HYPERLINK(subc_contr_folder_path&amp;S73&amp;"\03_IPCs\"&amp;Y73,"Open")</f>
        <v>#VALUE!</v>
      </c>
      <c r="W73" s="2" t="e">
        <f t="shared" si="45"/>
        <v>#VALUE!</v>
      </c>
      <c r="X73" s="2" t="e">
        <f t="shared" si="46"/>
        <v>#VALUE!</v>
      </c>
      <c r="Y73" t="e">
        <f t="shared" si="38"/>
        <v>#VALUE!</v>
      </c>
      <c r="Z73" s="62" t="e">
        <v>#VALUE!</v>
      </c>
      <c r="AC73" s="1" t="s">
        <v>441</v>
      </c>
      <c r="AD73" s="1" t="s">
        <v>441</v>
      </c>
      <c r="AE73" s="1" t="s">
        <v>441</v>
      </c>
      <c r="AF73" s="1" t="s">
        <v>441</v>
      </c>
      <c r="AG73" s="1" t="s">
        <v>441</v>
      </c>
    </row>
    <row r="74" spans="1:49" hidden="1">
      <c r="A74">
        <f t="shared" si="48"/>
        <v>73</v>
      </c>
      <c r="B74">
        <f t="shared" ca="1" si="41"/>
        <v>2</v>
      </c>
      <c r="C74" t="str">
        <f>IF(_xlfn.IFNA(MATCH(D74,$D$1:D73,0),0)=0,MAX($C$1:C73)+1,"")</f>
        <v/>
      </c>
      <c r="D74" t="s">
        <v>356</v>
      </c>
      <c r="E74">
        <v>119</v>
      </c>
      <c r="F74" t="s">
        <v>379</v>
      </c>
      <c r="G74" s="70" t="s">
        <v>454</v>
      </c>
      <c r="H74" t="str">
        <v>📞</v>
      </c>
      <c r="I74" s="78" t="str">
        <v>💬</v>
      </c>
      <c r="J74" s="80" t="s">
        <v>109</v>
      </c>
      <c r="K74" t="s">
        <v>108</v>
      </c>
      <c r="L74">
        <f>IF(OR(K74="",N74=""),"",IF(L73="",MAX(L$2:L73),L73)+1)</f>
        <v>28</v>
      </c>
      <c r="M74" t="s">
        <v>307</v>
      </c>
      <c r="N74" s="5" t="s">
        <v>436</v>
      </c>
      <c r="P74" s="60" t="s">
        <v>438</v>
      </c>
      <c r="R74" t="s">
        <v>193</v>
      </c>
      <c r="S74" t="s">
        <v>423</v>
      </c>
      <c r="U74" s="2"/>
      <c r="V74" s="2"/>
      <c r="W74" s="2"/>
      <c r="X74" s="2"/>
      <c r="Y74" t="e">
        <f t="shared" si="38"/>
        <v>#VALUE!</v>
      </c>
      <c r="Z74" s="62" t="e">
        <v>#VALUE!</v>
      </c>
      <c r="AC74" s="1" t="s">
        <v>441</v>
      </c>
      <c r="AD74" s="1" t="s">
        <v>441</v>
      </c>
      <c r="AE74" s="1" t="s">
        <v>441</v>
      </c>
      <c r="AF74" s="1"/>
      <c r="AG74" s="1" t="s">
        <v>441</v>
      </c>
    </row>
    <row r="75" spans="1:49" hidden="1">
      <c r="A75">
        <f t="shared" si="48"/>
        <v>74</v>
      </c>
      <c r="B75">
        <f t="shared" ca="1" si="41"/>
        <v>3</v>
      </c>
      <c r="C75" t="str">
        <f>IF(_xlfn.IFNA(MATCH(D75,$D$1:D74,0),0)=0,MAX($C$1:C74)+1,"")</f>
        <v/>
      </c>
      <c r="D75" t="s">
        <v>356</v>
      </c>
      <c r="E75">
        <v>119</v>
      </c>
      <c r="F75" t="s">
        <v>379</v>
      </c>
      <c r="G75" s="70" t="s">
        <v>454</v>
      </c>
      <c r="H75" t="str">
        <v>📞</v>
      </c>
      <c r="I75" s="78" t="str">
        <v>💬</v>
      </c>
      <c r="J75" s="80" t="s">
        <v>109</v>
      </c>
      <c r="K75" t="s">
        <v>108</v>
      </c>
      <c r="L75">
        <f>IF(OR(K75="",N75=""),"",IF(L74="",MAX(L$2:L74),L74)+1)</f>
        <v>29</v>
      </c>
      <c r="M75" t="s">
        <v>307</v>
      </c>
      <c r="N75" s="5" t="s">
        <v>437</v>
      </c>
      <c r="P75" s="60" t="s">
        <v>127</v>
      </c>
      <c r="R75" t="s">
        <v>193</v>
      </c>
      <c r="S75" t="s">
        <v>423</v>
      </c>
      <c r="U75" s="2"/>
      <c r="V75" s="2"/>
      <c r="W75" s="2"/>
      <c r="X75" s="2"/>
      <c r="Y75" t="e">
        <f t="shared" si="38"/>
        <v>#VALUE!</v>
      </c>
      <c r="Z75" s="62" t="e">
        <v>#VALUE!</v>
      </c>
      <c r="AC75" s="1" t="s">
        <v>441</v>
      </c>
      <c r="AD75" s="1" t="s">
        <v>441</v>
      </c>
      <c r="AE75" s="1" t="s">
        <v>441</v>
      </c>
      <c r="AG75" s="1" t="s">
        <v>441</v>
      </c>
    </row>
    <row r="76" spans="1:49" hidden="1">
      <c r="A76">
        <f>+A74+1</f>
        <v>74</v>
      </c>
      <c r="B76">
        <f t="shared" ref="B76" ca="1" si="49">COUNTIF(INDIRECT("D1:D"&amp;ROW()-1),D76)+1</f>
        <v>4</v>
      </c>
      <c r="C76" t="str">
        <f>IF(_xlfn.IFNA(MATCH(D76,$D$1:D74,0),0)=0,MAX($C$1:C74)+1,"")</f>
        <v/>
      </c>
      <c r="D76" t="s">
        <v>356</v>
      </c>
      <c r="E76">
        <v>119</v>
      </c>
      <c r="F76" t="s">
        <v>379</v>
      </c>
      <c r="G76" s="70" t="s">
        <v>454</v>
      </c>
      <c r="H76" t="str">
        <v>📞</v>
      </c>
      <c r="I76" s="78" t="str">
        <v>💬</v>
      </c>
      <c r="J76" s="80" t="s">
        <v>109</v>
      </c>
      <c r="K76" t="s">
        <v>108</v>
      </c>
      <c r="L76">
        <f>IF(OR(K76="",N76=""),"",IF(L75="",MAX(L$2:L75),L75)+1)</f>
        <v>30</v>
      </c>
      <c r="M76" t="s">
        <v>307</v>
      </c>
      <c r="N76" s="5" t="s">
        <v>439</v>
      </c>
      <c r="P76" s="60" t="s">
        <v>440</v>
      </c>
      <c r="R76" t="s">
        <v>193</v>
      </c>
      <c r="S76" t="s">
        <v>423</v>
      </c>
      <c r="U76" s="2"/>
      <c r="V76" s="2"/>
      <c r="W76" s="2"/>
      <c r="X76" s="2"/>
      <c r="Y76" t="e">
        <f t="shared" ref="Y76" si="50">IF(Z76="","",Z76)</f>
        <v>#VALUE!</v>
      </c>
      <c r="Z76" s="62" t="e">
        <v>#VALUE!</v>
      </c>
      <c r="AC76" s="1" t="s">
        <v>441</v>
      </c>
      <c r="AD76" s="1" t="s">
        <v>441</v>
      </c>
      <c r="AE76" s="1" t="s">
        <v>441</v>
      </c>
      <c r="AG76" s="1" t="s">
        <v>441</v>
      </c>
    </row>
    <row r="77" spans="1:49" hidden="1">
      <c r="A77">
        <f>+A75+1</f>
        <v>75</v>
      </c>
      <c r="B77">
        <f t="shared" ca="1" si="41"/>
        <v>5</v>
      </c>
      <c r="C77" t="str">
        <f>IF(_xlfn.IFNA(MATCH(D77,$D$1:D75,0),0)=0,MAX($C$1:C75)+1,"")</f>
        <v/>
      </c>
      <c r="D77" t="s">
        <v>356</v>
      </c>
      <c r="E77">
        <v>119</v>
      </c>
      <c r="F77" t="s">
        <v>379</v>
      </c>
      <c r="G77" s="70" t="s">
        <v>454</v>
      </c>
      <c r="H77" t="str">
        <v>📞</v>
      </c>
      <c r="I77" s="78" t="str">
        <v>💬</v>
      </c>
      <c r="J77" s="80" t="s">
        <v>109</v>
      </c>
      <c r="K77" t="s">
        <v>108</v>
      </c>
      <c r="L77">
        <f>IF(OR(K77="",N77=""),"",IF(L76="",MAX(L$2:L76),L76)+1)</f>
        <v>31</v>
      </c>
      <c r="M77" t="s">
        <v>307</v>
      </c>
      <c r="N77" s="5" t="s">
        <v>459</v>
      </c>
      <c r="P77" s="60" t="s">
        <v>440</v>
      </c>
      <c r="R77" t="s">
        <v>193</v>
      </c>
      <c r="S77" t="s">
        <v>423</v>
      </c>
      <c r="U77" s="2"/>
      <c r="V77" s="2"/>
      <c r="W77" s="2"/>
      <c r="X77" s="2"/>
      <c r="Y77" t="e">
        <f t="shared" si="38"/>
        <v>#VALUE!</v>
      </c>
      <c r="Z77" s="62" t="e">
        <v>#VALUE!</v>
      </c>
      <c r="AC77" s="1" t="s">
        <v>441</v>
      </c>
      <c r="AD77" s="1" t="s">
        <v>441</v>
      </c>
      <c r="AE77" s="1" t="s">
        <v>441</v>
      </c>
      <c r="AG77" s="1" t="s">
        <v>441</v>
      </c>
    </row>
    <row r="78" spans="1:49" hidden="1">
      <c r="A78">
        <f t="shared" si="48"/>
        <v>76</v>
      </c>
      <c r="B78">
        <f t="shared" ca="1" si="41"/>
        <v>1</v>
      </c>
      <c r="C78">
        <f>IF(_xlfn.IFNA(MATCH(D78,$D$1:D77,0),0)=0,MAX($C$1:C77)+1,"")</f>
        <v>50</v>
      </c>
      <c r="D78" t="s">
        <v>357</v>
      </c>
      <c r="E78">
        <v>130</v>
      </c>
      <c r="F78" t="s">
        <v>380</v>
      </c>
      <c r="H78" t="str">
        <v/>
      </c>
      <c r="I78" s="78" t="str">
        <v/>
      </c>
      <c r="J78" s="1" t="s">
        <v>255</v>
      </c>
      <c r="K78" t="s">
        <v>108</v>
      </c>
      <c r="L78" t="str">
        <f>IF(OR(K78="",N78=""),"",IF(L77="",MAX(L$2:L77),L77)+1)</f>
        <v/>
      </c>
      <c r="P78" s="60" t="s">
        <v>398</v>
      </c>
      <c r="S78" t="s">
        <v>424</v>
      </c>
      <c r="U78" s="2" t="str">
        <f t="shared" si="44"/>
        <v>Open</v>
      </c>
      <c r="V78" s="2" t="e">
        <f>HYPERLINK(subc_contr_folder_path&amp;S78&amp;"\02_IPC\"&amp;Y78,"Open")</f>
        <v>#VALUE!</v>
      </c>
      <c r="W78" s="2" t="e">
        <f t="shared" si="45"/>
        <v>#VALUE!</v>
      </c>
      <c r="X78" s="2" t="e">
        <f t="shared" ref="X78:X83" si="51">HYPERLINK(subc_contr_folder_path&amp;S78&amp;"\ipcs\"&amp;Y78&amp;"\"&amp;E78&amp;"-"&amp;Y78&amp;".pdf","Open")</f>
        <v>#VALUE!</v>
      </c>
      <c r="Y78" t="e">
        <f t="shared" si="38"/>
        <v>#VALUE!</v>
      </c>
      <c r="Z78" s="62" t="e">
        <v>#VALUE!</v>
      </c>
      <c r="AC78" t="s">
        <v>441</v>
      </c>
    </row>
    <row r="79" spans="1:49" hidden="1">
      <c r="A79">
        <f t="shared" si="48"/>
        <v>77</v>
      </c>
      <c r="B79">
        <f t="shared" ca="1" si="41"/>
        <v>1</v>
      </c>
      <c r="C79">
        <f>IF(_xlfn.IFNA(MATCH(D79,$D$1:D78,0),0)=0,MAX($C$1:C78)+1,"")</f>
        <v>51</v>
      </c>
      <c r="D79" t="s">
        <v>358</v>
      </c>
      <c r="E79">
        <v>132</v>
      </c>
      <c r="F79" t="s">
        <v>381</v>
      </c>
      <c r="H79" t="str">
        <v/>
      </c>
      <c r="I79" s="78" t="str">
        <v/>
      </c>
      <c r="J79" s="1" t="s">
        <v>255</v>
      </c>
      <c r="L79" t="str">
        <f>IF(OR(K79="",N79=""),"",IF(L78="",MAX(L$2:L78),L78)+1)</f>
        <v/>
      </c>
      <c r="P79" s="60" t="s">
        <v>399</v>
      </c>
      <c r="S79" t="s">
        <v>425</v>
      </c>
      <c r="U79" s="2" t="str">
        <f t="shared" si="44"/>
        <v>Open</v>
      </c>
      <c r="V79" s="2" t="e">
        <f>HYPERLINK(subc_contr_folder_path&amp;S79&amp;"\02_IPC\"&amp;Y79,"Open")</f>
        <v>#VALUE!</v>
      </c>
      <c r="W79" s="2" t="e">
        <f t="shared" si="45"/>
        <v>#VALUE!</v>
      </c>
      <c r="X79" s="2" t="e">
        <f t="shared" si="51"/>
        <v>#VALUE!</v>
      </c>
      <c r="Y79" t="e">
        <f t="shared" si="38"/>
        <v>#VALUE!</v>
      </c>
      <c r="Z79" s="62" t="e">
        <v>#VALUE!</v>
      </c>
      <c r="AC79" t="s">
        <v>441</v>
      </c>
    </row>
    <row r="80" spans="1:49" hidden="1">
      <c r="A80">
        <f t="shared" si="48"/>
        <v>78</v>
      </c>
      <c r="B80">
        <f t="shared" ca="1" si="41"/>
        <v>1</v>
      </c>
      <c r="C80">
        <f>IF(_xlfn.IFNA(MATCH(D80,$D$1:D79,0),0)=0,MAX($C$1:C79)+1,"")</f>
        <v>52</v>
      </c>
      <c r="D80" t="s">
        <v>359</v>
      </c>
      <c r="E80">
        <v>143</v>
      </c>
      <c r="F80" t="s">
        <v>382</v>
      </c>
      <c r="H80" t="str">
        <v/>
      </c>
      <c r="I80" s="78" t="str">
        <v/>
      </c>
      <c r="J80" s="1" t="s">
        <v>255</v>
      </c>
      <c r="K80" t="s">
        <v>108</v>
      </c>
      <c r="L80" t="str">
        <f>IF(OR(K80="",N80=""),"",IF(L79="",MAX(L$2:L79),L79)+1)</f>
        <v/>
      </c>
      <c r="P80" s="60" t="s">
        <v>400</v>
      </c>
      <c r="S80" t="s">
        <v>426</v>
      </c>
      <c r="U80" s="2" t="str">
        <f t="shared" si="44"/>
        <v>Open</v>
      </c>
      <c r="V80" s="2" t="e">
        <f>HYPERLINK(subc_contr_folder_path&amp;S80&amp;"\02_IPC\"&amp;Y80,"Open")</f>
        <v>#VALUE!</v>
      </c>
      <c r="W80" s="2" t="e">
        <f t="shared" si="45"/>
        <v>#VALUE!</v>
      </c>
      <c r="X80" s="2" t="e">
        <f t="shared" si="51"/>
        <v>#VALUE!</v>
      </c>
      <c r="Y80" t="e">
        <f t="shared" si="38"/>
        <v>#VALUE!</v>
      </c>
      <c r="Z80" s="62" t="e">
        <v>#VALUE!</v>
      </c>
      <c r="AC80" t="s">
        <v>441</v>
      </c>
    </row>
    <row r="81" spans="1:36" hidden="1">
      <c r="A81">
        <f t="shared" si="48"/>
        <v>79</v>
      </c>
      <c r="B81">
        <f t="shared" ca="1" si="41"/>
        <v>1</v>
      </c>
      <c r="C81">
        <f>IF(_xlfn.IFNA(MATCH(D81,$D$1:D80,0),0)=0,MAX($C$1:C80)+1,"")</f>
        <v>53</v>
      </c>
      <c r="D81" t="s">
        <v>360</v>
      </c>
      <c r="E81">
        <v>145</v>
      </c>
      <c r="F81" t="s">
        <v>383</v>
      </c>
      <c r="H81" t="str">
        <v/>
      </c>
      <c r="I81" s="78" t="str">
        <v/>
      </c>
      <c r="J81" s="1" t="s">
        <v>255</v>
      </c>
      <c r="L81" t="str">
        <f>IF(OR(K81="",N81=""),"",IF(L80="",MAX(L$2:L80),L80)+1)</f>
        <v/>
      </c>
      <c r="P81" s="60" t="s">
        <v>401</v>
      </c>
      <c r="S81" t="s">
        <v>427</v>
      </c>
      <c r="U81" s="2" t="str">
        <f t="shared" si="44"/>
        <v>Open</v>
      </c>
      <c r="V81" s="2" t="e">
        <f>HYPERLINK(subc_contr_folder_path&amp;S81&amp;"\02_IPC\"&amp;Y81,"Open")</f>
        <v>#VALUE!</v>
      </c>
      <c r="W81" s="2" t="e">
        <f t="shared" si="45"/>
        <v>#VALUE!</v>
      </c>
      <c r="X81" s="2" t="e">
        <f t="shared" si="51"/>
        <v>#VALUE!</v>
      </c>
      <c r="Y81" t="e">
        <f t="shared" si="38"/>
        <v>#VALUE!</v>
      </c>
      <c r="Z81" s="62" t="e">
        <v>#VALUE!</v>
      </c>
      <c r="AC81" t="s">
        <v>441</v>
      </c>
    </row>
    <row r="82" spans="1:36" hidden="1">
      <c r="A82">
        <f t="shared" si="48"/>
        <v>80</v>
      </c>
      <c r="B82">
        <f t="shared" ca="1" si="41"/>
        <v>1</v>
      </c>
      <c r="C82">
        <f>IF(_xlfn.IFNA(MATCH(D82,$D$1:D81,0),0)=0,MAX($C$1:C81)+1,"")</f>
        <v>54</v>
      </c>
      <c r="D82" t="s">
        <v>361</v>
      </c>
      <c r="E82">
        <v>152</v>
      </c>
      <c r="F82" t="s">
        <v>384</v>
      </c>
      <c r="H82" t="str">
        <v/>
      </c>
      <c r="I82" s="78" t="str">
        <v/>
      </c>
      <c r="J82" s="1" t="s">
        <v>255</v>
      </c>
      <c r="L82" t="str">
        <f>IF(OR(K82="",N82=""),"",IF(L81="",MAX(L$2:L81),L81)+1)</f>
        <v/>
      </c>
      <c r="N82" s="5" t="s">
        <v>434</v>
      </c>
      <c r="P82" s="60" t="s">
        <v>402</v>
      </c>
      <c r="S82" t="s">
        <v>428</v>
      </c>
      <c r="U82" s="2" t="str">
        <f t="shared" si="44"/>
        <v>Open</v>
      </c>
      <c r="V82" s="2" t="e">
        <f>HYPERLINK(subc_contr_folder_path&amp;S82&amp;"\02_IPC\"&amp;Y82,"Open")</f>
        <v>#VALUE!</v>
      </c>
      <c r="W82" s="2" t="e">
        <f t="shared" si="45"/>
        <v>#VALUE!</v>
      </c>
      <c r="X82" s="2" t="e">
        <f t="shared" si="51"/>
        <v>#VALUE!</v>
      </c>
      <c r="Y82" t="e">
        <f t="shared" si="38"/>
        <v>#VALUE!</v>
      </c>
      <c r="Z82" s="62" t="e">
        <v>#VALUE!</v>
      </c>
      <c r="AC82" t="s">
        <v>441</v>
      </c>
    </row>
    <row r="83" spans="1:36" hidden="1">
      <c r="A83">
        <f t="shared" si="48"/>
        <v>81</v>
      </c>
      <c r="B83">
        <f t="shared" ca="1" si="41"/>
        <v>1</v>
      </c>
      <c r="C83">
        <f>IF(_xlfn.IFNA(MATCH(D83,$D$1:D82,0),0)=0,MAX($C$1:C82)+1,"")</f>
        <v>55</v>
      </c>
      <c r="D83" t="s">
        <v>362</v>
      </c>
      <c r="E83">
        <v>162</v>
      </c>
      <c r="F83" t="s">
        <v>385</v>
      </c>
      <c r="G83" s="70" t="s">
        <v>454</v>
      </c>
      <c r="H83" t="str">
        <v>📞</v>
      </c>
      <c r="I83" s="78" t="str">
        <v>💬</v>
      </c>
      <c r="J83" s="1" t="s">
        <v>255</v>
      </c>
      <c r="K83" t="s">
        <v>108</v>
      </c>
      <c r="L83">
        <f>IF(OR(K83="",N83=""),"",IF(L82="",MAX(L$2:L82),L82)+1)</f>
        <v>32</v>
      </c>
      <c r="M83" t="s">
        <v>307</v>
      </c>
      <c r="N83" s="5" t="s">
        <v>433</v>
      </c>
      <c r="O83" s="5" t="s">
        <v>441</v>
      </c>
      <c r="P83" s="60" t="s">
        <v>403</v>
      </c>
      <c r="R83" t="s">
        <v>467</v>
      </c>
      <c r="S83" t="s">
        <v>429</v>
      </c>
      <c r="U83" s="2" t="str">
        <f t="shared" ref="U83" si="52">HYPERLINK(subc_contr_folder_path&amp;S83,"Open")</f>
        <v>Open</v>
      </c>
      <c r="V83" s="2" t="e">
        <f>HYPERLINK(subc_contr_folder_path&amp;S83&amp;"\03_IPC\"&amp;Y83,"Open")</f>
        <v>#VALUE!</v>
      </c>
      <c r="W83" s="2" t="e">
        <f t="shared" ref="W83" si="53">HYPERLINK(subc_contr_folder_path&amp;S83&amp;"\ipcs\"&amp;Y83&amp;"\"&amp;"log.pdf","Open")</f>
        <v>#VALUE!</v>
      </c>
      <c r="X83" s="2" t="e">
        <f t="shared" si="51"/>
        <v>#VALUE!</v>
      </c>
      <c r="Y83" t="e">
        <f t="shared" si="38"/>
        <v>#VALUE!</v>
      </c>
      <c r="Z83" s="62" t="e">
        <v>#VALUE!</v>
      </c>
      <c r="AC83" s="1" t="s">
        <v>441</v>
      </c>
      <c r="AD83" s="1" t="s">
        <v>441</v>
      </c>
      <c r="AE83" s="1" t="s">
        <v>441</v>
      </c>
      <c r="AF83" s="1" t="s">
        <v>441</v>
      </c>
      <c r="AG83" s="1" t="s">
        <v>441</v>
      </c>
      <c r="AH83" s="1" t="s">
        <v>441</v>
      </c>
      <c r="AI83" s="1" t="s">
        <v>441</v>
      </c>
    </row>
    <row r="84" spans="1:36" hidden="1">
      <c r="A84">
        <f t="shared" si="48"/>
        <v>82</v>
      </c>
      <c r="B84">
        <f t="shared" ca="1" si="41"/>
        <v>2</v>
      </c>
      <c r="C84" t="str">
        <f>IF(_xlfn.IFNA(MATCH(D84,$D$1:D83,0),0)=0,MAX($C$1:C83)+1,"")</f>
        <v/>
      </c>
      <c r="D84" t="s">
        <v>362</v>
      </c>
      <c r="E84">
        <v>162</v>
      </c>
      <c r="F84" t="s">
        <v>385</v>
      </c>
      <c r="G84" s="70" t="s">
        <v>454</v>
      </c>
      <c r="H84" t="str">
        <v>📞</v>
      </c>
      <c r="I84" s="78" t="str">
        <v>💬</v>
      </c>
      <c r="J84" s="80" t="s">
        <v>109</v>
      </c>
      <c r="K84" t="s">
        <v>108</v>
      </c>
      <c r="L84">
        <f>IF(OR(K84="",N84=""),"",IF(L83="",MAX(L$2:L83),L83)+1)</f>
        <v>33</v>
      </c>
      <c r="M84" t="s">
        <v>307</v>
      </c>
      <c r="N84" s="5" t="s">
        <v>461</v>
      </c>
      <c r="O84" s="5" t="s">
        <v>441</v>
      </c>
      <c r="P84" s="60" t="s">
        <v>461</v>
      </c>
      <c r="R84" t="s">
        <v>462</v>
      </c>
      <c r="S84" t="s">
        <v>429</v>
      </c>
      <c r="U84" s="2"/>
      <c r="V84" s="2"/>
      <c r="W84" s="2"/>
      <c r="X84" s="2"/>
      <c r="Y84" t="e">
        <f t="shared" si="38"/>
        <v>#VALUE!</v>
      </c>
      <c r="Z84" s="62" t="e">
        <v>#VALUE!</v>
      </c>
      <c r="AC84" s="1" t="s">
        <v>441</v>
      </c>
      <c r="AD84" s="1" t="s">
        <v>441</v>
      </c>
      <c r="AE84" s="1" t="s">
        <v>441</v>
      </c>
      <c r="AG84" s="1" t="s">
        <v>441</v>
      </c>
    </row>
    <row r="85" spans="1:36" hidden="1">
      <c r="A85">
        <f t="shared" si="48"/>
        <v>83</v>
      </c>
      <c r="B85">
        <f t="shared" ca="1" si="41"/>
        <v>1</v>
      </c>
      <c r="C85">
        <f>IF(_xlfn.IFNA(MATCH(D85,$D$1:D84,0),0)=0,MAX($C$1:C84)+1,"")</f>
        <v>56</v>
      </c>
      <c r="D85" t="s">
        <v>363</v>
      </c>
      <c r="E85">
        <v>169</v>
      </c>
      <c r="F85" t="s">
        <v>386</v>
      </c>
      <c r="H85" t="str">
        <v/>
      </c>
      <c r="I85" s="78" t="str">
        <v/>
      </c>
      <c r="J85" s="80" t="s">
        <v>255</v>
      </c>
      <c r="K85" t="s">
        <v>108</v>
      </c>
      <c r="L85" t="str">
        <f>IF(OR(K85="",N85=""),"",IF(L84="",MAX(L$2:L84),L84)+1)</f>
        <v/>
      </c>
      <c r="M85" t="s">
        <v>311</v>
      </c>
      <c r="P85" s="60" t="s">
        <v>404</v>
      </c>
      <c r="S85" t="s">
        <v>430</v>
      </c>
      <c r="U85" s="2" t="str">
        <f t="shared" si="44"/>
        <v>Open</v>
      </c>
      <c r="V85" s="2" t="e">
        <f>HYPERLINK(subc_contr_folder_path&amp;S85&amp;"\02_IPC\"&amp;Y85,"Open")</f>
        <v>#VALUE!</v>
      </c>
      <c r="W85" s="2" t="e">
        <f t="shared" si="45"/>
        <v>#VALUE!</v>
      </c>
      <c r="X85" s="2" t="e">
        <f>HYPERLINK(subc_contr_folder_path&amp;S85&amp;"\ipcs\"&amp;Y85&amp;"\"&amp;E85&amp;"-"&amp;Y85&amp;".pdf","Open")</f>
        <v>#VALUE!</v>
      </c>
      <c r="Y85" t="e">
        <f t="shared" si="38"/>
        <v>#VALUE!</v>
      </c>
      <c r="Z85" s="62" t="e">
        <v>#VALUE!</v>
      </c>
      <c r="AC85" s="1" t="s">
        <v>441</v>
      </c>
      <c r="AD85" s="1" t="s">
        <v>441</v>
      </c>
      <c r="AE85" s="1" t="s">
        <v>441</v>
      </c>
      <c r="AF85" s="1" t="s">
        <v>441</v>
      </c>
      <c r="AG85" s="1" t="s">
        <v>441</v>
      </c>
      <c r="AH85" s="1" t="s">
        <v>441</v>
      </c>
      <c r="AI85" s="1" t="s">
        <v>441</v>
      </c>
      <c r="AJ85" s="1" t="s">
        <v>441</v>
      </c>
    </row>
    <row r="86" spans="1:36" hidden="1">
      <c r="A86">
        <f t="shared" si="48"/>
        <v>84</v>
      </c>
      <c r="B86">
        <f t="shared" ca="1" si="41"/>
        <v>1</v>
      </c>
      <c r="C86">
        <f>IF(_xlfn.IFNA(MATCH(D86,$D$1:D85,0),0)=0,MAX($C$1:C85)+1,"")</f>
        <v>57</v>
      </c>
      <c r="D86" t="s">
        <v>364</v>
      </c>
      <c r="E86">
        <v>178</v>
      </c>
      <c r="F86" t="s">
        <v>387</v>
      </c>
      <c r="G86" s="70" t="s">
        <v>457</v>
      </c>
      <c r="H86" t="str">
        <v>📞</v>
      </c>
      <c r="I86" s="78" t="str">
        <v>💬</v>
      </c>
      <c r="J86" s="1" t="s">
        <v>255</v>
      </c>
      <c r="K86" t="s">
        <v>108</v>
      </c>
      <c r="L86">
        <f>IF(OR(K86="",N86=""),"",IF(L85="",MAX(L$2:L85),L85)+1)</f>
        <v>34</v>
      </c>
      <c r="M86" t="s">
        <v>307</v>
      </c>
      <c r="N86" s="5" t="s">
        <v>432</v>
      </c>
      <c r="O86" s="5" t="s">
        <v>441</v>
      </c>
      <c r="P86" s="60" t="s">
        <v>405</v>
      </c>
      <c r="R86" t="s">
        <v>462</v>
      </c>
      <c r="S86" t="s">
        <v>431</v>
      </c>
      <c r="U86" s="2" t="str">
        <f t="shared" si="44"/>
        <v>Open</v>
      </c>
      <c r="V86" s="2" t="e">
        <f>HYPERLINK(subc_contr_folder_path&amp;S86&amp;"\ipcs\"&amp;Y86,"Open")</f>
        <v>#VALUE!</v>
      </c>
      <c r="W86" s="2" t="e">
        <f t="shared" si="45"/>
        <v>#VALUE!</v>
      </c>
      <c r="X86" s="2" t="e">
        <f>HYPERLINK(subc_contr_folder_path&amp;S86&amp;"\ipcs\"&amp;Y86&amp;"\"&amp;E86&amp;"-"&amp;Y86&amp;".pdf","Open")</f>
        <v>#VALUE!</v>
      </c>
      <c r="Y86" t="e">
        <f t="shared" si="38"/>
        <v>#VALUE!</v>
      </c>
      <c r="Z86" s="62" t="e">
        <v>#VALUE!</v>
      </c>
      <c r="AC86" s="1" t="s">
        <v>441</v>
      </c>
      <c r="AD86" s="1" t="s">
        <v>441</v>
      </c>
      <c r="AE86" s="1" t="s">
        <v>441</v>
      </c>
      <c r="AF86" s="1" t="s">
        <v>441</v>
      </c>
      <c r="AG86" s="1" t="s">
        <v>441</v>
      </c>
      <c r="AH86" s="1" t="s">
        <v>441</v>
      </c>
      <c r="AI86" s="1" t="s">
        <v>441</v>
      </c>
    </row>
    <row r="87" spans="1:36" hidden="1">
      <c r="A87">
        <f t="shared" si="48"/>
        <v>85</v>
      </c>
      <c r="B87">
        <f t="shared" ca="1" si="41"/>
        <v>2</v>
      </c>
      <c r="C87" t="str">
        <f>IF(_xlfn.IFNA(MATCH(D87,$D$1:D86,0),0)=0,MAX($C$1:C86)+1,"")</f>
        <v/>
      </c>
      <c r="D87" t="s">
        <v>364</v>
      </c>
      <c r="E87">
        <v>178</v>
      </c>
      <c r="F87" t="s">
        <v>387</v>
      </c>
      <c r="G87" s="70" t="s">
        <v>457</v>
      </c>
      <c r="H87" t="str">
        <v>📞</v>
      </c>
      <c r="I87" s="78" t="str">
        <v>💬</v>
      </c>
      <c r="J87" s="80" t="s">
        <v>109</v>
      </c>
      <c r="K87" t="s">
        <v>108</v>
      </c>
      <c r="L87">
        <f>IF(OR(K87="",N87=""),"",IF(L86="",MAX(L$2:L86),L86)+1)</f>
        <v>35</v>
      </c>
      <c r="M87" t="s">
        <v>307</v>
      </c>
      <c r="N87" s="5" t="s">
        <v>458</v>
      </c>
      <c r="O87" s="5" t="s">
        <v>441</v>
      </c>
      <c r="P87" s="60" t="s">
        <v>405</v>
      </c>
      <c r="R87" t="s">
        <v>462</v>
      </c>
      <c r="S87" t="s">
        <v>431</v>
      </c>
      <c r="U87" s="2"/>
      <c r="V87" s="2"/>
      <c r="W87" s="2"/>
      <c r="X87" s="2"/>
      <c r="Y87" t="e">
        <f t="shared" si="38"/>
        <v>#VALUE!</v>
      </c>
      <c r="Z87" s="62" t="e">
        <v>#VALUE!</v>
      </c>
      <c r="AC87" s="1" t="s">
        <v>441</v>
      </c>
      <c r="AD87" s="1" t="s">
        <v>441</v>
      </c>
      <c r="AE87" s="1" t="s">
        <v>441</v>
      </c>
      <c r="AF87" s="1" t="s">
        <v>441</v>
      </c>
      <c r="AG87" s="1" t="s">
        <v>441</v>
      </c>
    </row>
  </sheetData>
  <autoFilter ref="A1:AR87" xr:uid="{00000000-0001-0000-0000-000000000000}">
    <filterColumn colId="2">
      <customFilters>
        <customFilter operator="notEqual" val=" "/>
      </customFilters>
    </filterColumn>
    <filterColumn colId="9">
      <filters>
        <filter val="EB"/>
      </filters>
    </filterColumn>
    <filterColumn colId="10">
      <customFilters>
        <customFilter operator="notEqual" val=" "/>
      </customFilters>
    </filterColumn>
    <filterColumn colId="35">
      <filters blank="1"/>
    </filterColumn>
  </autoFilter>
  <sortState xmlns:xlrd2="http://schemas.microsoft.com/office/spreadsheetml/2017/richdata2" ref="S2:S46">
    <sortCondition ref="S2:S46"/>
  </sortState>
  <conditionalFormatting sqref="AC1:AR1048576">
    <cfRule type="expression" dxfId="1" priority="4">
      <formula>AND($J1="EB", $A1&lt;&gt;"", AC1&lt;&gt;"+",$K1="Active")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E85F-C093-40E7-BE27-CEA2BFD5451E}">
  <sheetPr codeName="Sheet3">
    <pageSetUpPr fitToPage="1"/>
  </sheetPr>
  <dimension ref="A1:AE45"/>
  <sheetViews>
    <sheetView showZeros="0" view="pageBreakPreview" zoomScale="55" zoomScaleNormal="55" zoomScaleSheetLayoutView="55" workbookViewId="0">
      <selection activeCell="V13" sqref="V13"/>
    </sheetView>
  </sheetViews>
  <sheetFormatPr defaultColWidth="8.7109375" defaultRowHeight="15"/>
  <cols>
    <col min="1" max="1" width="19.140625" bestFit="1" customWidth="1"/>
    <col min="2" max="2" width="19.5703125" customWidth="1"/>
    <col min="3" max="3" width="15" bestFit="1" customWidth="1"/>
    <col min="4" max="4" width="19.85546875" bestFit="1" customWidth="1"/>
    <col min="5" max="5" width="16.5703125" bestFit="1" customWidth="1"/>
    <col min="6" max="6" width="21.140625" bestFit="1" customWidth="1"/>
    <col min="7" max="7" width="15.28515625" customWidth="1"/>
    <col min="8" max="8" width="22.7109375" customWidth="1"/>
    <col min="9" max="9" width="21.7109375" bestFit="1" customWidth="1"/>
    <col min="10" max="10" width="22.28515625" bestFit="1" customWidth="1"/>
    <col min="11" max="11" width="9.28515625" customWidth="1"/>
    <col min="12" max="15" width="25.140625" customWidth="1"/>
    <col min="20" max="20" width="27.28515625" bestFit="1" customWidth="1"/>
    <col min="21" max="21" width="32.140625" bestFit="1" customWidth="1"/>
    <col min="22" max="22" width="26.7109375" bestFit="1" customWidth="1"/>
    <col min="26" max="26" width="5.85546875" bestFit="1" customWidth="1"/>
    <col min="27" max="27" width="19.5703125" bestFit="1" customWidth="1"/>
    <col min="28" max="28" width="16.28515625" bestFit="1" customWidth="1"/>
    <col min="261" max="261" width="17.5703125" customWidth="1"/>
    <col min="262" max="262" width="28.28515625" customWidth="1"/>
    <col min="263" max="263" width="21.28515625" customWidth="1"/>
    <col min="264" max="264" width="10.5703125" customWidth="1"/>
    <col min="265" max="265" width="19" customWidth="1"/>
    <col min="266" max="266" width="9.28515625" customWidth="1"/>
    <col min="517" max="517" width="17.5703125" customWidth="1"/>
    <col min="518" max="518" width="28.28515625" customWidth="1"/>
    <col min="519" max="519" width="21.28515625" customWidth="1"/>
    <col min="520" max="520" width="10.5703125" customWidth="1"/>
    <col min="521" max="521" width="19" customWidth="1"/>
    <col min="522" max="522" width="9.28515625" customWidth="1"/>
    <col min="773" max="773" width="17.5703125" customWidth="1"/>
    <col min="774" max="774" width="28.28515625" customWidth="1"/>
    <col min="775" max="775" width="21.28515625" customWidth="1"/>
    <col min="776" max="776" width="10.5703125" customWidth="1"/>
    <col min="777" max="777" width="19" customWidth="1"/>
    <col min="778" max="778" width="9.28515625" customWidth="1"/>
    <col min="1029" max="1029" width="17.5703125" customWidth="1"/>
    <col min="1030" max="1030" width="28.28515625" customWidth="1"/>
    <col min="1031" max="1031" width="21.28515625" customWidth="1"/>
    <col min="1032" max="1032" width="10.5703125" customWidth="1"/>
    <col min="1033" max="1033" width="19" customWidth="1"/>
    <col min="1034" max="1034" width="9.28515625" customWidth="1"/>
    <col min="1285" max="1285" width="17.5703125" customWidth="1"/>
    <col min="1286" max="1286" width="28.28515625" customWidth="1"/>
    <col min="1287" max="1287" width="21.28515625" customWidth="1"/>
    <col min="1288" max="1288" width="10.5703125" customWidth="1"/>
    <col min="1289" max="1289" width="19" customWidth="1"/>
    <col min="1290" max="1290" width="9.28515625" customWidth="1"/>
    <col min="1541" max="1541" width="17.5703125" customWidth="1"/>
    <col min="1542" max="1542" width="28.28515625" customWidth="1"/>
    <col min="1543" max="1543" width="21.28515625" customWidth="1"/>
    <col min="1544" max="1544" width="10.5703125" customWidth="1"/>
    <col min="1545" max="1545" width="19" customWidth="1"/>
    <col min="1546" max="1546" width="9.28515625" customWidth="1"/>
    <col min="1797" max="1797" width="17.5703125" customWidth="1"/>
    <col min="1798" max="1798" width="28.28515625" customWidth="1"/>
    <col min="1799" max="1799" width="21.28515625" customWidth="1"/>
    <col min="1800" max="1800" width="10.5703125" customWidth="1"/>
    <col min="1801" max="1801" width="19" customWidth="1"/>
    <col min="1802" max="1802" width="9.28515625" customWidth="1"/>
    <col min="2053" max="2053" width="17.5703125" customWidth="1"/>
    <col min="2054" max="2054" width="28.28515625" customWidth="1"/>
    <col min="2055" max="2055" width="21.28515625" customWidth="1"/>
    <col min="2056" max="2056" width="10.5703125" customWidth="1"/>
    <col min="2057" max="2057" width="19" customWidth="1"/>
    <col min="2058" max="2058" width="9.28515625" customWidth="1"/>
    <col min="2309" max="2309" width="17.5703125" customWidth="1"/>
    <col min="2310" max="2310" width="28.28515625" customWidth="1"/>
    <col min="2311" max="2311" width="21.28515625" customWidth="1"/>
    <col min="2312" max="2312" width="10.5703125" customWidth="1"/>
    <col min="2313" max="2313" width="19" customWidth="1"/>
    <col min="2314" max="2314" width="9.28515625" customWidth="1"/>
    <col min="2565" max="2565" width="17.5703125" customWidth="1"/>
    <col min="2566" max="2566" width="28.28515625" customWidth="1"/>
    <col min="2567" max="2567" width="21.28515625" customWidth="1"/>
    <col min="2568" max="2568" width="10.5703125" customWidth="1"/>
    <col min="2569" max="2569" width="19" customWidth="1"/>
    <col min="2570" max="2570" width="9.28515625" customWidth="1"/>
    <col min="2821" max="2821" width="17.5703125" customWidth="1"/>
    <col min="2822" max="2822" width="28.28515625" customWidth="1"/>
    <col min="2823" max="2823" width="21.28515625" customWidth="1"/>
    <col min="2824" max="2824" width="10.5703125" customWidth="1"/>
    <col min="2825" max="2825" width="19" customWidth="1"/>
    <col min="2826" max="2826" width="9.28515625" customWidth="1"/>
    <col min="3077" max="3077" width="17.5703125" customWidth="1"/>
    <col min="3078" max="3078" width="28.28515625" customWidth="1"/>
    <col min="3079" max="3079" width="21.28515625" customWidth="1"/>
    <col min="3080" max="3080" width="10.5703125" customWidth="1"/>
    <col min="3081" max="3081" width="19" customWidth="1"/>
    <col min="3082" max="3082" width="9.28515625" customWidth="1"/>
    <col min="3333" max="3333" width="17.5703125" customWidth="1"/>
    <col min="3334" max="3334" width="28.28515625" customWidth="1"/>
    <col min="3335" max="3335" width="21.28515625" customWidth="1"/>
    <col min="3336" max="3336" width="10.5703125" customWidth="1"/>
    <col min="3337" max="3337" width="19" customWidth="1"/>
    <col min="3338" max="3338" width="9.28515625" customWidth="1"/>
    <col min="3589" max="3589" width="17.5703125" customWidth="1"/>
    <col min="3590" max="3590" width="28.28515625" customWidth="1"/>
    <col min="3591" max="3591" width="21.28515625" customWidth="1"/>
    <col min="3592" max="3592" width="10.5703125" customWidth="1"/>
    <col min="3593" max="3593" width="19" customWidth="1"/>
    <col min="3594" max="3594" width="9.28515625" customWidth="1"/>
    <col min="3845" max="3845" width="17.5703125" customWidth="1"/>
    <col min="3846" max="3846" width="28.28515625" customWidth="1"/>
    <col min="3847" max="3847" width="21.28515625" customWidth="1"/>
    <col min="3848" max="3848" width="10.5703125" customWidth="1"/>
    <col min="3849" max="3849" width="19" customWidth="1"/>
    <col min="3850" max="3850" width="9.28515625" customWidth="1"/>
    <col min="4101" max="4101" width="17.5703125" customWidth="1"/>
    <col min="4102" max="4102" width="28.28515625" customWidth="1"/>
    <col min="4103" max="4103" width="21.28515625" customWidth="1"/>
    <col min="4104" max="4104" width="10.5703125" customWidth="1"/>
    <col min="4105" max="4105" width="19" customWidth="1"/>
    <col min="4106" max="4106" width="9.28515625" customWidth="1"/>
    <col min="4357" max="4357" width="17.5703125" customWidth="1"/>
    <col min="4358" max="4358" width="28.28515625" customWidth="1"/>
    <col min="4359" max="4359" width="21.28515625" customWidth="1"/>
    <col min="4360" max="4360" width="10.5703125" customWidth="1"/>
    <col min="4361" max="4361" width="19" customWidth="1"/>
    <col min="4362" max="4362" width="9.28515625" customWidth="1"/>
    <col min="4613" max="4613" width="17.5703125" customWidth="1"/>
    <col min="4614" max="4614" width="28.28515625" customWidth="1"/>
    <col min="4615" max="4615" width="21.28515625" customWidth="1"/>
    <col min="4616" max="4616" width="10.5703125" customWidth="1"/>
    <col min="4617" max="4617" width="19" customWidth="1"/>
    <col min="4618" max="4618" width="9.28515625" customWidth="1"/>
    <col min="4869" max="4869" width="17.5703125" customWidth="1"/>
    <col min="4870" max="4870" width="28.28515625" customWidth="1"/>
    <col min="4871" max="4871" width="21.28515625" customWidth="1"/>
    <col min="4872" max="4872" width="10.5703125" customWidth="1"/>
    <col min="4873" max="4873" width="19" customWidth="1"/>
    <col min="4874" max="4874" width="9.28515625" customWidth="1"/>
    <col min="5125" max="5125" width="17.5703125" customWidth="1"/>
    <col min="5126" max="5126" width="28.28515625" customWidth="1"/>
    <col min="5127" max="5127" width="21.28515625" customWidth="1"/>
    <col min="5128" max="5128" width="10.5703125" customWidth="1"/>
    <col min="5129" max="5129" width="19" customWidth="1"/>
    <col min="5130" max="5130" width="9.28515625" customWidth="1"/>
    <col min="5381" max="5381" width="17.5703125" customWidth="1"/>
    <col min="5382" max="5382" width="28.28515625" customWidth="1"/>
    <col min="5383" max="5383" width="21.28515625" customWidth="1"/>
    <col min="5384" max="5384" width="10.5703125" customWidth="1"/>
    <col min="5385" max="5385" width="19" customWidth="1"/>
    <col min="5386" max="5386" width="9.28515625" customWidth="1"/>
    <col min="5637" max="5637" width="17.5703125" customWidth="1"/>
    <col min="5638" max="5638" width="28.28515625" customWidth="1"/>
    <col min="5639" max="5639" width="21.28515625" customWidth="1"/>
    <col min="5640" max="5640" width="10.5703125" customWidth="1"/>
    <col min="5641" max="5641" width="19" customWidth="1"/>
    <col min="5642" max="5642" width="9.28515625" customWidth="1"/>
    <col min="5893" max="5893" width="17.5703125" customWidth="1"/>
    <col min="5894" max="5894" width="28.28515625" customWidth="1"/>
    <col min="5895" max="5895" width="21.28515625" customWidth="1"/>
    <col min="5896" max="5896" width="10.5703125" customWidth="1"/>
    <col min="5897" max="5897" width="19" customWidth="1"/>
    <col min="5898" max="5898" width="9.28515625" customWidth="1"/>
    <col min="6149" max="6149" width="17.5703125" customWidth="1"/>
    <col min="6150" max="6150" width="28.28515625" customWidth="1"/>
    <col min="6151" max="6151" width="21.28515625" customWidth="1"/>
    <col min="6152" max="6152" width="10.5703125" customWidth="1"/>
    <col min="6153" max="6153" width="19" customWidth="1"/>
    <col min="6154" max="6154" width="9.28515625" customWidth="1"/>
    <col min="6405" max="6405" width="17.5703125" customWidth="1"/>
    <col min="6406" max="6406" width="28.28515625" customWidth="1"/>
    <col min="6407" max="6407" width="21.28515625" customWidth="1"/>
    <col min="6408" max="6408" width="10.5703125" customWidth="1"/>
    <col min="6409" max="6409" width="19" customWidth="1"/>
    <col min="6410" max="6410" width="9.28515625" customWidth="1"/>
    <col min="6661" max="6661" width="17.5703125" customWidth="1"/>
    <col min="6662" max="6662" width="28.28515625" customWidth="1"/>
    <col min="6663" max="6663" width="21.28515625" customWidth="1"/>
    <col min="6664" max="6664" width="10.5703125" customWidth="1"/>
    <col min="6665" max="6665" width="19" customWidth="1"/>
    <col min="6666" max="6666" width="9.28515625" customWidth="1"/>
    <col min="6917" max="6917" width="17.5703125" customWidth="1"/>
    <col min="6918" max="6918" width="28.28515625" customWidth="1"/>
    <col min="6919" max="6919" width="21.28515625" customWidth="1"/>
    <col min="6920" max="6920" width="10.5703125" customWidth="1"/>
    <col min="6921" max="6921" width="19" customWidth="1"/>
    <col min="6922" max="6922" width="9.28515625" customWidth="1"/>
    <col min="7173" max="7173" width="17.5703125" customWidth="1"/>
    <col min="7174" max="7174" width="28.28515625" customWidth="1"/>
    <col min="7175" max="7175" width="21.28515625" customWidth="1"/>
    <col min="7176" max="7176" width="10.5703125" customWidth="1"/>
    <col min="7177" max="7177" width="19" customWidth="1"/>
    <col min="7178" max="7178" width="9.28515625" customWidth="1"/>
    <col min="7429" max="7429" width="17.5703125" customWidth="1"/>
    <col min="7430" max="7430" width="28.28515625" customWidth="1"/>
    <col min="7431" max="7431" width="21.28515625" customWidth="1"/>
    <col min="7432" max="7432" width="10.5703125" customWidth="1"/>
    <col min="7433" max="7433" width="19" customWidth="1"/>
    <col min="7434" max="7434" width="9.28515625" customWidth="1"/>
    <col min="7685" max="7685" width="17.5703125" customWidth="1"/>
    <col min="7686" max="7686" width="28.28515625" customWidth="1"/>
    <col min="7687" max="7687" width="21.28515625" customWidth="1"/>
    <col min="7688" max="7688" width="10.5703125" customWidth="1"/>
    <col min="7689" max="7689" width="19" customWidth="1"/>
    <col min="7690" max="7690" width="9.28515625" customWidth="1"/>
    <col min="7941" max="7941" width="17.5703125" customWidth="1"/>
    <col min="7942" max="7942" width="28.28515625" customWidth="1"/>
    <col min="7943" max="7943" width="21.28515625" customWidth="1"/>
    <col min="7944" max="7944" width="10.5703125" customWidth="1"/>
    <col min="7945" max="7945" width="19" customWidth="1"/>
    <col min="7946" max="7946" width="9.28515625" customWidth="1"/>
    <col min="8197" max="8197" width="17.5703125" customWidth="1"/>
    <col min="8198" max="8198" width="28.28515625" customWidth="1"/>
    <col min="8199" max="8199" width="21.28515625" customWidth="1"/>
    <col min="8200" max="8200" width="10.5703125" customWidth="1"/>
    <col min="8201" max="8201" width="19" customWidth="1"/>
    <col min="8202" max="8202" width="9.28515625" customWidth="1"/>
    <col min="8453" max="8453" width="17.5703125" customWidth="1"/>
    <col min="8454" max="8454" width="28.28515625" customWidth="1"/>
    <col min="8455" max="8455" width="21.28515625" customWidth="1"/>
    <col min="8456" max="8456" width="10.5703125" customWidth="1"/>
    <col min="8457" max="8457" width="19" customWidth="1"/>
    <col min="8458" max="8458" width="9.28515625" customWidth="1"/>
    <col min="8709" max="8709" width="17.5703125" customWidth="1"/>
    <col min="8710" max="8710" width="28.28515625" customWidth="1"/>
    <col min="8711" max="8711" width="21.28515625" customWidth="1"/>
    <col min="8712" max="8712" width="10.5703125" customWidth="1"/>
    <col min="8713" max="8713" width="19" customWidth="1"/>
    <col min="8714" max="8714" width="9.28515625" customWidth="1"/>
    <col min="8965" max="8965" width="17.5703125" customWidth="1"/>
    <col min="8966" max="8966" width="28.28515625" customWidth="1"/>
    <col min="8967" max="8967" width="21.28515625" customWidth="1"/>
    <col min="8968" max="8968" width="10.5703125" customWidth="1"/>
    <col min="8969" max="8969" width="19" customWidth="1"/>
    <col min="8970" max="8970" width="9.28515625" customWidth="1"/>
    <col min="9221" max="9221" width="17.5703125" customWidth="1"/>
    <col min="9222" max="9222" width="28.28515625" customWidth="1"/>
    <col min="9223" max="9223" width="21.28515625" customWidth="1"/>
    <col min="9224" max="9224" width="10.5703125" customWidth="1"/>
    <col min="9225" max="9225" width="19" customWidth="1"/>
    <col min="9226" max="9226" width="9.28515625" customWidth="1"/>
    <col min="9477" max="9477" width="17.5703125" customWidth="1"/>
    <col min="9478" max="9478" width="28.28515625" customWidth="1"/>
    <col min="9479" max="9479" width="21.28515625" customWidth="1"/>
    <col min="9480" max="9480" width="10.5703125" customWidth="1"/>
    <col min="9481" max="9481" width="19" customWidth="1"/>
    <col min="9482" max="9482" width="9.28515625" customWidth="1"/>
    <col min="9733" max="9733" width="17.5703125" customWidth="1"/>
    <col min="9734" max="9734" width="28.28515625" customWidth="1"/>
    <col min="9735" max="9735" width="21.28515625" customWidth="1"/>
    <col min="9736" max="9736" width="10.5703125" customWidth="1"/>
    <col min="9737" max="9737" width="19" customWidth="1"/>
    <col min="9738" max="9738" width="9.28515625" customWidth="1"/>
    <col min="9989" max="9989" width="17.5703125" customWidth="1"/>
    <col min="9990" max="9990" width="28.28515625" customWidth="1"/>
    <col min="9991" max="9991" width="21.28515625" customWidth="1"/>
    <col min="9992" max="9992" width="10.5703125" customWidth="1"/>
    <col min="9993" max="9993" width="19" customWidth="1"/>
    <col min="9994" max="9994" width="9.28515625" customWidth="1"/>
    <col min="10245" max="10245" width="17.5703125" customWidth="1"/>
    <col min="10246" max="10246" width="28.28515625" customWidth="1"/>
    <col min="10247" max="10247" width="21.28515625" customWidth="1"/>
    <col min="10248" max="10248" width="10.5703125" customWidth="1"/>
    <col min="10249" max="10249" width="19" customWidth="1"/>
    <col min="10250" max="10250" width="9.28515625" customWidth="1"/>
    <col min="10501" max="10501" width="17.5703125" customWidth="1"/>
    <col min="10502" max="10502" width="28.28515625" customWidth="1"/>
    <col min="10503" max="10503" width="21.28515625" customWidth="1"/>
    <col min="10504" max="10504" width="10.5703125" customWidth="1"/>
    <col min="10505" max="10505" width="19" customWidth="1"/>
    <col min="10506" max="10506" width="9.28515625" customWidth="1"/>
    <col min="10757" max="10757" width="17.5703125" customWidth="1"/>
    <col min="10758" max="10758" width="28.28515625" customWidth="1"/>
    <col min="10759" max="10759" width="21.28515625" customWidth="1"/>
    <col min="10760" max="10760" width="10.5703125" customWidth="1"/>
    <col min="10761" max="10761" width="19" customWidth="1"/>
    <col min="10762" max="10762" width="9.28515625" customWidth="1"/>
    <col min="11013" max="11013" width="17.5703125" customWidth="1"/>
    <col min="11014" max="11014" width="28.28515625" customWidth="1"/>
    <col min="11015" max="11015" width="21.28515625" customWidth="1"/>
    <col min="11016" max="11016" width="10.5703125" customWidth="1"/>
    <col min="11017" max="11017" width="19" customWidth="1"/>
    <col min="11018" max="11018" width="9.28515625" customWidth="1"/>
    <col min="11269" max="11269" width="17.5703125" customWidth="1"/>
    <col min="11270" max="11270" width="28.28515625" customWidth="1"/>
    <col min="11271" max="11271" width="21.28515625" customWidth="1"/>
    <col min="11272" max="11272" width="10.5703125" customWidth="1"/>
    <col min="11273" max="11273" width="19" customWidth="1"/>
    <col min="11274" max="11274" width="9.28515625" customWidth="1"/>
    <col min="11525" max="11525" width="17.5703125" customWidth="1"/>
    <col min="11526" max="11526" width="28.28515625" customWidth="1"/>
    <col min="11527" max="11527" width="21.28515625" customWidth="1"/>
    <col min="11528" max="11528" width="10.5703125" customWidth="1"/>
    <col min="11529" max="11529" width="19" customWidth="1"/>
    <col min="11530" max="11530" width="9.28515625" customWidth="1"/>
    <col min="11781" max="11781" width="17.5703125" customWidth="1"/>
    <col min="11782" max="11782" width="28.28515625" customWidth="1"/>
    <col min="11783" max="11783" width="21.28515625" customWidth="1"/>
    <col min="11784" max="11784" width="10.5703125" customWidth="1"/>
    <col min="11785" max="11785" width="19" customWidth="1"/>
    <col min="11786" max="11786" width="9.28515625" customWidth="1"/>
    <col min="12037" max="12037" width="17.5703125" customWidth="1"/>
    <col min="12038" max="12038" width="28.28515625" customWidth="1"/>
    <col min="12039" max="12039" width="21.28515625" customWidth="1"/>
    <col min="12040" max="12040" width="10.5703125" customWidth="1"/>
    <col min="12041" max="12041" width="19" customWidth="1"/>
    <col min="12042" max="12042" width="9.28515625" customWidth="1"/>
    <col min="12293" max="12293" width="17.5703125" customWidth="1"/>
    <col min="12294" max="12294" width="28.28515625" customWidth="1"/>
    <col min="12295" max="12295" width="21.28515625" customWidth="1"/>
    <col min="12296" max="12296" width="10.5703125" customWidth="1"/>
    <col min="12297" max="12297" width="19" customWidth="1"/>
    <col min="12298" max="12298" width="9.28515625" customWidth="1"/>
    <col min="12549" max="12549" width="17.5703125" customWidth="1"/>
    <col min="12550" max="12550" width="28.28515625" customWidth="1"/>
    <col min="12551" max="12551" width="21.28515625" customWidth="1"/>
    <col min="12552" max="12552" width="10.5703125" customWidth="1"/>
    <col min="12553" max="12553" width="19" customWidth="1"/>
    <col min="12554" max="12554" width="9.28515625" customWidth="1"/>
    <col min="12805" max="12805" width="17.5703125" customWidth="1"/>
    <col min="12806" max="12806" width="28.28515625" customWidth="1"/>
    <col min="12807" max="12807" width="21.28515625" customWidth="1"/>
    <col min="12808" max="12808" width="10.5703125" customWidth="1"/>
    <col min="12809" max="12809" width="19" customWidth="1"/>
    <col min="12810" max="12810" width="9.28515625" customWidth="1"/>
    <col min="13061" max="13061" width="17.5703125" customWidth="1"/>
    <col min="13062" max="13062" width="28.28515625" customWidth="1"/>
    <col min="13063" max="13063" width="21.28515625" customWidth="1"/>
    <col min="13064" max="13064" width="10.5703125" customWidth="1"/>
    <col min="13065" max="13065" width="19" customWidth="1"/>
    <col min="13066" max="13066" width="9.28515625" customWidth="1"/>
    <col min="13317" max="13317" width="17.5703125" customWidth="1"/>
    <col min="13318" max="13318" width="28.28515625" customWidth="1"/>
    <col min="13319" max="13319" width="21.28515625" customWidth="1"/>
    <col min="13320" max="13320" width="10.5703125" customWidth="1"/>
    <col min="13321" max="13321" width="19" customWidth="1"/>
    <col min="13322" max="13322" width="9.28515625" customWidth="1"/>
    <col min="13573" max="13573" width="17.5703125" customWidth="1"/>
    <col min="13574" max="13574" width="28.28515625" customWidth="1"/>
    <col min="13575" max="13575" width="21.28515625" customWidth="1"/>
    <col min="13576" max="13576" width="10.5703125" customWidth="1"/>
    <col min="13577" max="13577" width="19" customWidth="1"/>
    <col min="13578" max="13578" width="9.28515625" customWidth="1"/>
    <col min="13829" max="13829" width="17.5703125" customWidth="1"/>
    <col min="13830" max="13830" width="28.28515625" customWidth="1"/>
    <col min="13831" max="13831" width="21.28515625" customWidth="1"/>
    <col min="13832" max="13832" width="10.5703125" customWidth="1"/>
    <col min="13833" max="13833" width="19" customWidth="1"/>
    <col min="13834" max="13834" width="9.28515625" customWidth="1"/>
    <col min="14085" max="14085" width="17.5703125" customWidth="1"/>
    <col min="14086" max="14086" width="28.28515625" customWidth="1"/>
    <col min="14087" max="14087" width="21.28515625" customWidth="1"/>
    <col min="14088" max="14088" width="10.5703125" customWidth="1"/>
    <col min="14089" max="14089" width="19" customWidth="1"/>
    <col min="14090" max="14090" width="9.28515625" customWidth="1"/>
    <col min="14341" max="14341" width="17.5703125" customWidth="1"/>
    <col min="14342" max="14342" width="28.28515625" customWidth="1"/>
    <col min="14343" max="14343" width="21.28515625" customWidth="1"/>
    <col min="14344" max="14344" width="10.5703125" customWidth="1"/>
    <col min="14345" max="14345" width="19" customWidth="1"/>
    <col min="14346" max="14346" width="9.28515625" customWidth="1"/>
    <col min="14597" max="14597" width="17.5703125" customWidth="1"/>
    <col min="14598" max="14598" width="28.28515625" customWidth="1"/>
    <col min="14599" max="14599" width="21.28515625" customWidth="1"/>
    <col min="14600" max="14600" width="10.5703125" customWidth="1"/>
    <col min="14601" max="14601" width="19" customWidth="1"/>
    <col min="14602" max="14602" width="9.28515625" customWidth="1"/>
    <col min="14853" max="14853" width="17.5703125" customWidth="1"/>
    <col min="14854" max="14854" width="28.28515625" customWidth="1"/>
    <col min="14855" max="14855" width="21.28515625" customWidth="1"/>
    <col min="14856" max="14856" width="10.5703125" customWidth="1"/>
    <col min="14857" max="14857" width="19" customWidth="1"/>
    <col min="14858" max="14858" width="9.28515625" customWidth="1"/>
    <col min="15109" max="15109" width="17.5703125" customWidth="1"/>
    <col min="15110" max="15110" width="28.28515625" customWidth="1"/>
    <col min="15111" max="15111" width="21.28515625" customWidth="1"/>
    <col min="15112" max="15112" width="10.5703125" customWidth="1"/>
    <col min="15113" max="15113" width="19" customWidth="1"/>
    <col min="15114" max="15114" width="9.28515625" customWidth="1"/>
    <col min="15365" max="15365" width="17.5703125" customWidth="1"/>
    <col min="15366" max="15366" width="28.28515625" customWidth="1"/>
    <col min="15367" max="15367" width="21.28515625" customWidth="1"/>
    <col min="15368" max="15368" width="10.5703125" customWidth="1"/>
    <col min="15369" max="15369" width="19" customWidth="1"/>
    <col min="15370" max="15370" width="9.28515625" customWidth="1"/>
    <col min="15621" max="15621" width="17.5703125" customWidth="1"/>
    <col min="15622" max="15622" width="28.28515625" customWidth="1"/>
    <col min="15623" max="15623" width="21.28515625" customWidth="1"/>
    <col min="15624" max="15624" width="10.5703125" customWidth="1"/>
    <col min="15625" max="15625" width="19" customWidth="1"/>
    <col min="15626" max="15626" width="9.28515625" customWidth="1"/>
    <col min="15877" max="15877" width="17.5703125" customWidth="1"/>
    <col min="15878" max="15878" width="28.28515625" customWidth="1"/>
    <col min="15879" max="15879" width="21.28515625" customWidth="1"/>
    <col min="15880" max="15880" width="10.5703125" customWidth="1"/>
    <col min="15881" max="15881" width="19" customWidth="1"/>
    <col min="15882" max="15882" width="9.28515625" customWidth="1"/>
    <col min="16133" max="16133" width="17.5703125" customWidth="1"/>
    <col min="16134" max="16134" width="28.28515625" customWidth="1"/>
    <col min="16135" max="16135" width="21.28515625" customWidth="1"/>
    <col min="16136" max="16136" width="10.5703125" customWidth="1"/>
    <col min="16137" max="16137" width="19" customWidth="1"/>
    <col min="16138" max="16138" width="9.28515625" customWidth="1"/>
  </cols>
  <sheetData>
    <row r="1" spans="1:31" ht="25.5" customHeight="1" thickBot="1">
      <c r="A1" s="11"/>
      <c r="B1" s="12"/>
      <c r="C1" s="88" t="e">
        <f>"KİRALIK ARAÇ GÜNLÜK PUANTAJ TAKİP FORMU - "&amp;RIGHT(I4,3)&amp;" - "&amp;_xlfn.XLOOKUP(I4,data!D:D,data!Z:Z,,0)+M4</f>
        <v>#VALUE!</v>
      </c>
      <c r="D1" s="88"/>
      <c r="E1" s="88"/>
      <c r="F1" s="88"/>
      <c r="G1" s="88"/>
      <c r="H1" s="88"/>
      <c r="I1" s="81"/>
      <c r="J1" s="81"/>
    </row>
    <row r="2" spans="1:31" ht="43.5" customHeight="1" thickBot="1">
      <c r="A2" s="13"/>
      <c r="B2" s="13"/>
      <c r="C2" s="89"/>
      <c r="D2" s="89"/>
      <c r="E2" s="89"/>
      <c r="F2" s="89"/>
      <c r="G2" s="89"/>
      <c r="H2" s="89"/>
      <c r="I2" s="13"/>
      <c r="J2" s="13"/>
      <c r="L2" s="44" t="s">
        <v>200</v>
      </c>
      <c r="M2" s="45" t="s">
        <v>171</v>
      </c>
      <c r="N2" s="45" t="s">
        <v>172</v>
      </c>
      <c r="O2" s="45" t="s">
        <v>110</v>
      </c>
      <c r="T2" s="43" t="s">
        <v>110</v>
      </c>
      <c r="U2" s="43" t="s">
        <v>215</v>
      </c>
      <c r="V2" s="43" t="s">
        <v>189</v>
      </c>
      <c r="W2" s="43"/>
      <c r="X2" s="43"/>
      <c r="Y2" s="43"/>
      <c r="Z2" s="43"/>
      <c r="AA2" s="43"/>
      <c r="AB2" s="43"/>
      <c r="AC2" s="43"/>
      <c r="AD2" s="43"/>
      <c r="AE2" s="43"/>
    </row>
    <row r="3" spans="1:31" ht="26.25" customHeight="1" thickBot="1">
      <c r="A3" s="90" t="s">
        <v>175</v>
      </c>
      <c r="B3" s="90"/>
      <c r="C3" s="84" t="str">
        <f>_xlfn.XLOOKUP(L3,data!L:L,data!F:F,,0)</f>
        <v>NAR KRAN MMC</v>
      </c>
      <c r="D3" s="85"/>
      <c r="E3" s="85"/>
      <c r="F3" s="85"/>
      <c r="G3" s="90" t="s">
        <v>178</v>
      </c>
      <c r="H3" s="91"/>
      <c r="I3" s="82" t="str">
        <f>VLOOKUP(M3,Z3:AB14,2,0)&amp;" "&amp;N3</f>
        <v>APREL 2026</v>
      </c>
      <c r="J3" s="83"/>
      <c r="L3" s="46">
        <v>31</v>
      </c>
      <c r="M3" s="46">
        <v>4</v>
      </c>
      <c r="N3" s="46">
        <v>2026</v>
      </c>
      <c r="O3" s="47" t="str">
        <f>_xlfn.XLOOKUP(L3,data!L:L,data!R:R,0)</f>
        <v>Warehouse</v>
      </c>
      <c r="T3" s="43" t="s">
        <v>116</v>
      </c>
      <c r="U3" s="43" t="s">
        <v>223</v>
      </c>
      <c r="V3" s="43" t="s">
        <v>194</v>
      </c>
      <c r="W3" s="43"/>
      <c r="X3" s="43"/>
      <c r="Y3" s="43"/>
      <c r="Z3" s="43">
        <v>1</v>
      </c>
      <c r="AA3" s="43" t="str">
        <f>UPPER(AB3)</f>
        <v>YANVAR</v>
      </c>
      <c r="AB3" s="43" t="s">
        <v>201</v>
      </c>
      <c r="AC3" s="43"/>
      <c r="AD3" s="43"/>
      <c r="AE3" s="43"/>
    </row>
    <row r="4" spans="1:31" ht="26.25" customHeight="1" thickBot="1">
      <c r="A4" s="15" t="s">
        <v>174</v>
      </c>
      <c r="B4" s="14"/>
      <c r="C4" s="84" t="str" cm="1">
        <f t="array" ref="C4">INDEX(_xlfn.TEXTSPLIT(_xlfn.XLOOKUP(L3,data!L:L,data!N:N,,0),"-"),1)</f>
        <v>99DX853</v>
      </c>
      <c r="D4" s="85"/>
      <c r="E4" s="85"/>
      <c r="F4" s="85"/>
      <c r="G4" s="90" t="s">
        <v>225</v>
      </c>
      <c r="H4" s="91"/>
      <c r="I4" s="100" t="str">
        <f>_xlfn.XLOOKUP(L3,data!L:L,data!D:D,,0)</f>
        <v>KLN-SPP2-EQ-119</v>
      </c>
      <c r="J4" s="83"/>
      <c r="L4" s="66">
        <v>179</v>
      </c>
      <c r="M4" s="65">
        <v>2</v>
      </c>
      <c r="N4" s="49"/>
      <c r="O4" s="49"/>
      <c r="T4" s="43" t="s">
        <v>117</v>
      </c>
      <c r="U4" s="43" t="s">
        <v>224</v>
      </c>
      <c r="V4" s="43" t="s">
        <v>198</v>
      </c>
      <c r="W4" s="43"/>
      <c r="X4" s="43"/>
      <c r="Y4" s="43"/>
      <c r="Z4" s="43">
        <v>2</v>
      </c>
      <c r="AA4" s="43" t="str">
        <f t="shared" ref="AA4:AA6" si="0">UPPER(AB4)</f>
        <v>FEVRAL</v>
      </c>
      <c r="AB4" s="43" t="s">
        <v>202</v>
      </c>
      <c r="AC4" s="43"/>
      <c r="AD4" s="43"/>
      <c r="AE4" s="43"/>
    </row>
    <row r="5" spans="1:31" ht="26.25" customHeight="1">
      <c r="A5" s="15" t="s">
        <v>173</v>
      </c>
      <c r="B5" s="14"/>
      <c r="C5" s="84">
        <f>_xlfn.XLOOKUP(L3,data!L:L,data!Q:Q,,0)</f>
        <v>0</v>
      </c>
      <c r="D5" s="85"/>
      <c r="E5" s="85"/>
      <c r="F5" s="85"/>
      <c r="G5" s="90" t="s">
        <v>261</v>
      </c>
      <c r="H5" s="91"/>
      <c r="I5" s="82" t="e">
        <f>_xlfn.XLOOKUP(I4,data!D:D,data!Z:Z,,0)+M4</f>
        <v>#VALUE!</v>
      </c>
      <c r="J5" s="83"/>
      <c r="T5" s="43" t="s">
        <v>118</v>
      </c>
      <c r="U5" s="43" t="s">
        <v>216</v>
      </c>
      <c r="V5" s="43" t="s">
        <v>196</v>
      </c>
      <c r="W5" s="43"/>
      <c r="X5" s="43"/>
      <c r="Y5" s="43"/>
      <c r="Z5" s="43">
        <v>3</v>
      </c>
      <c r="AA5" s="43" t="str">
        <f t="shared" si="0"/>
        <v>MART</v>
      </c>
      <c r="AB5" s="43" t="s">
        <v>203</v>
      </c>
      <c r="AC5" s="43"/>
      <c r="AD5" s="43"/>
      <c r="AE5" s="43"/>
    </row>
    <row r="6" spans="1:31" ht="26.25" customHeight="1" thickBot="1">
      <c r="A6" s="15" t="s">
        <v>226</v>
      </c>
      <c r="B6" s="14"/>
      <c r="C6" s="86" t="str">
        <f>IF(RIGHT(_xlfn.XLOOKUP(L3,data!L:L,data!N:N,,0))="N","GECƏ","")</f>
        <v/>
      </c>
      <c r="D6" s="87"/>
      <c r="E6" s="87"/>
      <c r="F6" s="87"/>
      <c r="G6" s="90" t="s">
        <v>176</v>
      </c>
      <c r="H6" s="91"/>
      <c r="I6" s="92" t="str">
        <f>""&amp;MID(_xlfn.XLOOKUP(L3,data!L:L,data!G:G,,0),2,12)</f>
        <v>994502712731</v>
      </c>
      <c r="J6" s="93"/>
      <c r="O6" cm="1">
        <f t="array" ref="O6">_xlfn._xlws.FILTER(_xlfn._TRO_TRAILING(data!L:L),IFERROR(_xlfn.NUMBERVALUE(RIGHT(_xlfn._TRO_TRAILING(data!D:D),3)),"")=L4)</f>
        <v>23</v>
      </c>
      <c r="T6" s="43" t="s">
        <v>306</v>
      </c>
      <c r="U6" s="43" t="s">
        <v>308</v>
      </c>
      <c r="V6" s="43" t="s">
        <v>307</v>
      </c>
      <c r="W6" s="43"/>
      <c r="X6" s="43"/>
      <c r="Y6" s="43"/>
      <c r="Z6" s="43">
        <v>4</v>
      </c>
      <c r="AA6" s="43" t="str">
        <f t="shared" si="0"/>
        <v>APREL</v>
      </c>
      <c r="AB6" s="43" t="s">
        <v>204</v>
      </c>
      <c r="AC6" s="43"/>
      <c r="AD6" s="43"/>
      <c r="AE6" s="43"/>
    </row>
    <row r="7" spans="1:31" ht="54" customHeight="1" thickBot="1">
      <c r="A7" s="16" t="s">
        <v>179</v>
      </c>
      <c r="B7" s="17" t="s">
        <v>180</v>
      </c>
      <c r="C7" s="17" t="s">
        <v>181</v>
      </c>
      <c r="D7" s="17" t="s">
        <v>182</v>
      </c>
      <c r="E7" s="18" t="s">
        <v>183</v>
      </c>
      <c r="F7" s="18" t="s">
        <v>184</v>
      </c>
      <c r="G7" s="18" t="s">
        <v>185</v>
      </c>
      <c r="H7" s="18" t="s">
        <v>186</v>
      </c>
      <c r="I7" s="18" t="s">
        <v>187</v>
      </c>
      <c r="J7" s="19" t="s">
        <v>188</v>
      </c>
      <c r="N7" s="61"/>
      <c r="T7" s="43" t="s">
        <v>115</v>
      </c>
      <c r="U7" s="43" t="s">
        <v>217</v>
      </c>
      <c r="V7" s="43" t="s">
        <v>197</v>
      </c>
      <c r="W7" s="43"/>
      <c r="X7" s="43"/>
      <c r="Y7" s="43"/>
      <c r="Z7" s="43">
        <v>5</v>
      </c>
      <c r="AA7" s="43" t="str">
        <f t="shared" ref="AA7:AA14" si="1">UPPER(AB7)</f>
        <v>MAY</v>
      </c>
      <c r="AB7" s="43" t="s">
        <v>205</v>
      </c>
      <c r="AC7" s="43"/>
      <c r="AD7" s="43"/>
      <c r="AE7" s="43"/>
    </row>
    <row r="8" spans="1:31" ht="32.25" customHeight="1">
      <c r="A8" s="20">
        <v>1</v>
      </c>
      <c r="B8" s="21"/>
      <c r="C8" s="21"/>
      <c r="D8" s="22"/>
      <c r="E8" s="23"/>
      <c r="F8" s="23"/>
      <c r="G8" s="24"/>
      <c r="H8" s="25"/>
      <c r="I8" s="26"/>
      <c r="J8" s="27"/>
      <c r="L8" cm="1">
        <f t="array" ref="L8:L38">_xlfn.LET(_xlpm.days,A8:A38,IF(_xlpm.days="","",WEEKDAY(DATE(N3,M3,_xlpm.days))))</f>
        <v>4</v>
      </c>
      <c r="M8" t="e">
        <f>_xlfn.XLOOKUP(I4,data!D:D,data!Z:Z,,0)</f>
        <v>#VALUE!</v>
      </c>
      <c r="N8" s="61"/>
      <c r="T8" s="43" t="s">
        <v>192</v>
      </c>
      <c r="U8" s="43" t="s">
        <v>218</v>
      </c>
      <c r="V8" s="43" t="s">
        <v>177</v>
      </c>
      <c r="W8" s="43"/>
      <c r="X8" s="43"/>
      <c r="Y8" s="43"/>
      <c r="Z8" s="43">
        <v>6</v>
      </c>
      <c r="AA8" s="43" t="str">
        <f t="shared" si="1"/>
        <v>IYUN</v>
      </c>
      <c r="AB8" s="43" t="s">
        <v>206</v>
      </c>
      <c r="AC8" s="43"/>
      <c r="AD8" s="43"/>
      <c r="AE8" s="43"/>
    </row>
    <row r="9" spans="1:31" ht="32.25" customHeight="1">
      <c r="A9" s="20">
        <f>+A8+1</f>
        <v>2</v>
      </c>
      <c r="B9" s="21"/>
      <c r="C9" s="21"/>
      <c r="D9" s="22"/>
      <c r="E9" s="23"/>
      <c r="F9" s="23"/>
      <c r="G9" s="24"/>
      <c r="H9" s="25"/>
      <c r="I9" s="28"/>
      <c r="J9" s="29"/>
      <c r="L9">
        <v>5</v>
      </c>
      <c r="N9" s="61"/>
      <c r="T9" s="43" t="s">
        <v>193</v>
      </c>
      <c r="U9" s="43" t="s">
        <v>219</v>
      </c>
      <c r="V9" s="43" t="s">
        <v>195</v>
      </c>
      <c r="W9" s="43"/>
      <c r="X9" s="43"/>
      <c r="Y9" s="43"/>
      <c r="Z9" s="43">
        <v>7</v>
      </c>
      <c r="AA9" s="43" t="str">
        <f t="shared" si="1"/>
        <v>IYUL</v>
      </c>
      <c r="AB9" s="43" t="s">
        <v>207</v>
      </c>
      <c r="AC9" s="43"/>
      <c r="AD9" s="43"/>
      <c r="AE9" s="43"/>
    </row>
    <row r="10" spans="1:31" ht="32.25" customHeight="1">
      <c r="A10" s="20">
        <f t="shared" ref="A10:A35" si="2">A9+1</f>
        <v>3</v>
      </c>
      <c r="B10" s="21"/>
      <c r="C10" s="21"/>
      <c r="D10" s="22"/>
      <c r="E10" s="23"/>
      <c r="F10" s="23"/>
      <c r="G10" s="24"/>
      <c r="H10" s="25"/>
      <c r="I10" s="28"/>
      <c r="J10" s="29"/>
      <c r="L10">
        <v>6</v>
      </c>
      <c r="N10" s="61"/>
      <c r="O10" s="61"/>
      <c r="T10" s="43" t="s">
        <v>119</v>
      </c>
      <c r="U10" s="43" t="s">
        <v>221</v>
      </c>
      <c r="V10" s="43" t="s">
        <v>220</v>
      </c>
      <c r="W10" s="43"/>
      <c r="X10" s="43"/>
      <c r="Y10" s="43"/>
      <c r="Z10" s="43">
        <v>8</v>
      </c>
      <c r="AA10" s="43" t="str">
        <f t="shared" si="1"/>
        <v>AVQUST</v>
      </c>
      <c r="AB10" s="43" t="s">
        <v>208</v>
      </c>
      <c r="AC10" s="43"/>
      <c r="AD10" s="43"/>
      <c r="AE10" s="43"/>
    </row>
    <row r="11" spans="1:31" ht="32.25" customHeight="1">
      <c r="A11" s="20">
        <f t="shared" si="2"/>
        <v>4</v>
      </c>
      <c r="B11" s="21"/>
      <c r="C11" s="21"/>
      <c r="D11" s="22"/>
      <c r="E11" s="23"/>
      <c r="F11" s="23"/>
      <c r="G11" s="24"/>
      <c r="H11" s="25"/>
      <c r="I11" s="28"/>
      <c r="J11" s="29"/>
      <c r="L11">
        <v>7</v>
      </c>
      <c r="N11" s="61"/>
      <c r="O11" s="61"/>
      <c r="T11" s="43" t="s">
        <v>450</v>
      </c>
      <c r="U11" s="43" t="s">
        <v>222</v>
      </c>
      <c r="V11" s="43" t="s">
        <v>199</v>
      </c>
      <c r="W11" s="43"/>
      <c r="X11" s="43"/>
      <c r="Y11" s="43"/>
      <c r="Z11" s="43">
        <v>9</v>
      </c>
      <c r="AA11" s="43" t="str">
        <f t="shared" si="1"/>
        <v>SENTYABR</v>
      </c>
      <c r="AB11" s="43" t="s">
        <v>209</v>
      </c>
      <c r="AC11" s="43"/>
      <c r="AD11" s="43"/>
      <c r="AE11" s="43"/>
    </row>
    <row r="12" spans="1:31" ht="32.25" customHeight="1">
      <c r="A12" s="20">
        <f t="shared" si="2"/>
        <v>5</v>
      </c>
      <c r="B12" s="21"/>
      <c r="C12" s="21"/>
      <c r="D12" s="22"/>
      <c r="E12" s="23"/>
      <c r="F12" s="23"/>
      <c r="G12" s="24"/>
      <c r="H12" s="25"/>
      <c r="I12" s="30"/>
      <c r="J12" s="29"/>
      <c r="L12">
        <v>1</v>
      </c>
      <c r="O12" s="61"/>
      <c r="T12" s="43" t="s">
        <v>446</v>
      </c>
      <c r="U12" s="43" t="s">
        <v>448</v>
      </c>
      <c r="V12" s="43" t="s">
        <v>449</v>
      </c>
      <c r="W12" s="43"/>
      <c r="X12" s="43"/>
      <c r="Y12" s="43"/>
      <c r="Z12" s="43">
        <v>10</v>
      </c>
      <c r="AA12" s="43" t="str">
        <f t="shared" si="1"/>
        <v>OKTYABR</v>
      </c>
      <c r="AB12" s="43" t="s">
        <v>210</v>
      </c>
      <c r="AC12" s="43"/>
      <c r="AD12" s="43"/>
      <c r="AE12" s="43"/>
    </row>
    <row r="13" spans="1:31" ht="32.25" customHeight="1">
      <c r="A13" s="20">
        <f t="shared" si="2"/>
        <v>6</v>
      </c>
      <c r="B13" s="21"/>
      <c r="C13" s="21"/>
      <c r="D13" s="22"/>
      <c r="E13" s="23"/>
      <c r="F13" s="23"/>
      <c r="G13" s="24"/>
      <c r="H13" s="25"/>
      <c r="I13" s="28"/>
      <c r="J13" s="29"/>
      <c r="L13">
        <v>2</v>
      </c>
      <c r="O13" s="61"/>
      <c r="T13" s="43" t="s">
        <v>462</v>
      </c>
      <c r="U13" s="43" t="s">
        <v>463</v>
      </c>
      <c r="V13" s="43" t="s">
        <v>464</v>
      </c>
      <c r="W13" s="43"/>
      <c r="X13" s="43"/>
      <c r="Y13" s="43"/>
      <c r="Z13" s="43">
        <v>11</v>
      </c>
      <c r="AA13" s="43" t="str">
        <f t="shared" si="1"/>
        <v>NOYABR</v>
      </c>
      <c r="AB13" s="43" t="s">
        <v>211</v>
      </c>
      <c r="AC13" s="43"/>
      <c r="AD13" s="43"/>
      <c r="AE13" s="43"/>
    </row>
    <row r="14" spans="1:31" ht="32.25" customHeight="1">
      <c r="A14" s="20">
        <f t="shared" si="2"/>
        <v>7</v>
      </c>
      <c r="B14" s="21"/>
      <c r="C14" s="21"/>
      <c r="D14" s="22"/>
      <c r="E14" s="23"/>
      <c r="F14" s="23"/>
      <c r="G14" s="24"/>
      <c r="H14" s="25"/>
      <c r="I14" s="28"/>
      <c r="J14" s="29"/>
      <c r="L14">
        <v>3</v>
      </c>
      <c r="O14" s="61"/>
      <c r="T14" s="43"/>
      <c r="U14" s="43"/>
      <c r="V14" s="43"/>
      <c r="W14" s="43"/>
      <c r="X14" s="43"/>
      <c r="Y14" s="43"/>
      <c r="Z14" s="43">
        <v>12</v>
      </c>
      <c r="AA14" s="43" t="str">
        <f t="shared" si="1"/>
        <v>DEKABR</v>
      </c>
      <c r="AB14" s="43" t="s">
        <v>212</v>
      </c>
      <c r="AC14" s="43"/>
      <c r="AD14" s="43"/>
      <c r="AE14" s="43"/>
    </row>
    <row r="15" spans="1:31" ht="32.25" customHeight="1">
      <c r="A15" s="20">
        <f t="shared" si="2"/>
        <v>8</v>
      </c>
      <c r="B15" s="21"/>
      <c r="C15" s="21"/>
      <c r="D15" s="22"/>
      <c r="E15" s="23"/>
      <c r="F15" s="23"/>
      <c r="G15" s="24"/>
      <c r="H15" s="25"/>
      <c r="I15" s="28"/>
      <c r="J15" s="29"/>
      <c r="L15">
        <v>4</v>
      </c>
      <c r="O15" s="61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 ht="32.25" customHeight="1">
      <c r="A16" s="20">
        <f t="shared" si="2"/>
        <v>9</v>
      </c>
      <c r="B16" s="21"/>
      <c r="C16" s="21"/>
      <c r="D16" s="22"/>
      <c r="E16" s="23"/>
      <c r="F16" s="23"/>
      <c r="G16" s="24"/>
      <c r="H16" s="25"/>
      <c r="I16" s="28"/>
      <c r="J16" s="29"/>
      <c r="L16">
        <v>5</v>
      </c>
      <c r="O16" s="61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 ht="32.25" customHeight="1">
      <c r="A17" s="20">
        <f t="shared" si="2"/>
        <v>10</v>
      </c>
      <c r="B17" s="21"/>
      <c r="C17" s="21"/>
      <c r="D17" s="22"/>
      <c r="E17" s="23"/>
      <c r="F17" s="23"/>
      <c r="G17" s="24"/>
      <c r="H17" s="25"/>
      <c r="I17" s="28"/>
      <c r="J17" s="29"/>
      <c r="L17">
        <v>6</v>
      </c>
      <c r="O17" s="61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 ht="32.25" customHeight="1">
      <c r="A18" s="20">
        <f t="shared" si="2"/>
        <v>11</v>
      </c>
      <c r="B18" s="21"/>
      <c r="C18" s="21"/>
      <c r="D18" s="22"/>
      <c r="E18" s="23"/>
      <c r="F18" s="23"/>
      <c r="G18" s="24"/>
      <c r="H18" s="25"/>
      <c r="I18" s="28"/>
      <c r="J18" s="31"/>
      <c r="L18">
        <v>7</v>
      </c>
      <c r="O18" s="61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 ht="32.25" customHeight="1">
      <c r="A19" s="20">
        <f t="shared" si="2"/>
        <v>12</v>
      </c>
      <c r="B19" s="21"/>
      <c r="C19" s="21"/>
      <c r="D19" s="22"/>
      <c r="E19" s="23"/>
      <c r="F19" s="23"/>
      <c r="G19" s="24"/>
      <c r="H19" s="25"/>
      <c r="I19" s="28"/>
      <c r="J19" s="29"/>
      <c r="L19">
        <v>1</v>
      </c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 ht="32.25" customHeight="1">
      <c r="A20" s="20">
        <f t="shared" si="2"/>
        <v>13</v>
      </c>
      <c r="B20" s="21"/>
      <c r="C20" s="21"/>
      <c r="D20" s="22"/>
      <c r="E20" s="23"/>
      <c r="F20" s="23"/>
      <c r="G20" s="24"/>
      <c r="H20" s="25"/>
      <c r="I20" s="30"/>
      <c r="J20" s="29"/>
      <c r="L20">
        <v>2</v>
      </c>
    </row>
    <row r="21" spans="1:31" ht="32.25" customHeight="1">
      <c r="A21" s="20">
        <f t="shared" si="2"/>
        <v>14</v>
      </c>
      <c r="B21" s="21"/>
      <c r="C21" s="21"/>
      <c r="D21" s="22"/>
      <c r="E21" s="23"/>
      <c r="F21" s="23"/>
      <c r="G21" s="24"/>
      <c r="H21" s="25"/>
      <c r="I21" s="30"/>
      <c r="J21" s="29"/>
      <c r="L21">
        <v>3</v>
      </c>
    </row>
    <row r="22" spans="1:31" ht="32.25" customHeight="1">
      <c r="A22" s="20">
        <f t="shared" si="2"/>
        <v>15</v>
      </c>
      <c r="B22" s="21"/>
      <c r="C22" s="21"/>
      <c r="D22" s="22"/>
      <c r="E22" s="23"/>
      <c r="F22" s="23"/>
      <c r="G22" s="24"/>
      <c r="H22" s="25"/>
      <c r="I22" s="30"/>
      <c r="J22" s="32"/>
      <c r="L22">
        <v>4</v>
      </c>
    </row>
    <row r="23" spans="1:31" ht="32.25" customHeight="1">
      <c r="A23" s="20">
        <f t="shared" si="2"/>
        <v>16</v>
      </c>
      <c r="B23" s="21"/>
      <c r="C23" s="21"/>
      <c r="D23" s="22"/>
      <c r="E23" s="23"/>
      <c r="F23" s="23"/>
      <c r="G23" s="24"/>
      <c r="H23" s="25"/>
      <c r="I23" s="30"/>
      <c r="J23" s="32"/>
      <c r="L23">
        <v>5</v>
      </c>
    </row>
    <row r="24" spans="1:31" ht="32.25" customHeight="1">
      <c r="A24" s="20">
        <f t="shared" si="2"/>
        <v>17</v>
      </c>
      <c r="B24" s="21"/>
      <c r="C24" s="21"/>
      <c r="D24" s="22"/>
      <c r="E24" s="23"/>
      <c r="F24" s="23"/>
      <c r="G24" s="24"/>
      <c r="H24" s="25"/>
      <c r="I24" s="30"/>
      <c r="J24" s="33"/>
      <c r="L24">
        <v>6</v>
      </c>
    </row>
    <row r="25" spans="1:31" ht="32.25" customHeight="1">
      <c r="A25" s="20">
        <f t="shared" si="2"/>
        <v>18</v>
      </c>
      <c r="B25" s="21"/>
      <c r="C25" s="21"/>
      <c r="D25" s="22"/>
      <c r="E25" s="23"/>
      <c r="F25" s="23"/>
      <c r="G25" s="24"/>
      <c r="H25" s="25"/>
      <c r="I25" s="30"/>
      <c r="J25" s="33"/>
      <c r="L25">
        <v>7</v>
      </c>
    </row>
    <row r="26" spans="1:31" ht="32.25" customHeight="1">
      <c r="A26" s="20">
        <f t="shared" si="2"/>
        <v>19</v>
      </c>
      <c r="B26" s="21"/>
      <c r="C26" s="21"/>
      <c r="D26" s="22"/>
      <c r="E26" s="23"/>
      <c r="F26" s="23"/>
      <c r="G26" s="24"/>
      <c r="H26" s="25"/>
      <c r="I26" s="30"/>
      <c r="J26" s="33"/>
      <c r="L26">
        <v>1</v>
      </c>
    </row>
    <row r="27" spans="1:31" ht="32.25" customHeight="1">
      <c r="A27" s="20">
        <f t="shared" si="2"/>
        <v>20</v>
      </c>
      <c r="B27" s="21"/>
      <c r="C27" s="21"/>
      <c r="D27" s="22"/>
      <c r="E27" s="23"/>
      <c r="F27" s="23"/>
      <c r="G27" s="24"/>
      <c r="H27" s="25"/>
      <c r="I27" s="30"/>
      <c r="J27" s="33"/>
      <c r="L27">
        <v>2</v>
      </c>
    </row>
    <row r="28" spans="1:31" ht="32.25" customHeight="1">
      <c r="A28" s="20">
        <f t="shared" si="2"/>
        <v>21</v>
      </c>
      <c r="B28" s="21"/>
      <c r="C28" s="21"/>
      <c r="D28" s="22"/>
      <c r="E28" s="23"/>
      <c r="F28" s="23"/>
      <c r="G28" s="24"/>
      <c r="H28" s="25"/>
      <c r="I28" s="30"/>
      <c r="J28" s="33"/>
      <c r="L28">
        <v>3</v>
      </c>
    </row>
    <row r="29" spans="1:31" ht="32.25" customHeight="1">
      <c r="A29" s="20">
        <f t="shared" si="2"/>
        <v>22</v>
      </c>
      <c r="B29" s="21"/>
      <c r="C29" s="21"/>
      <c r="D29" s="22"/>
      <c r="E29" s="23"/>
      <c r="F29" s="23"/>
      <c r="G29" s="24"/>
      <c r="H29" s="25"/>
      <c r="I29" s="30"/>
      <c r="J29" s="33"/>
      <c r="L29">
        <v>4</v>
      </c>
    </row>
    <row r="30" spans="1:31" ht="32.25" customHeight="1">
      <c r="A30" s="20">
        <f t="shared" si="2"/>
        <v>23</v>
      </c>
      <c r="B30" s="21"/>
      <c r="C30" s="21"/>
      <c r="D30" s="22"/>
      <c r="E30" s="23"/>
      <c r="F30" s="23"/>
      <c r="G30" s="24"/>
      <c r="H30" s="25"/>
      <c r="I30" s="30"/>
      <c r="J30" s="33"/>
      <c r="L30">
        <v>5</v>
      </c>
    </row>
    <row r="31" spans="1:31" ht="32.25" customHeight="1">
      <c r="A31" s="20">
        <f t="shared" si="2"/>
        <v>24</v>
      </c>
      <c r="B31" s="21"/>
      <c r="C31" s="21"/>
      <c r="D31" s="22"/>
      <c r="E31" s="23"/>
      <c r="F31" s="23"/>
      <c r="G31" s="24"/>
      <c r="H31" s="25"/>
      <c r="I31" s="30"/>
      <c r="J31" s="33"/>
      <c r="L31">
        <v>6</v>
      </c>
    </row>
    <row r="32" spans="1:31" ht="32.25" customHeight="1">
      <c r="A32" s="20">
        <f t="shared" si="2"/>
        <v>25</v>
      </c>
      <c r="B32" s="21"/>
      <c r="C32" s="21"/>
      <c r="D32" s="22"/>
      <c r="E32" s="23"/>
      <c r="F32" s="23"/>
      <c r="G32" s="24"/>
      <c r="H32" s="25"/>
      <c r="I32" s="30"/>
      <c r="J32" s="33"/>
      <c r="L32">
        <v>7</v>
      </c>
    </row>
    <row r="33" spans="1:12" ht="32.25" customHeight="1">
      <c r="A33" s="20">
        <f t="shared" si="2"/>
        <v>26</v>
      </c>
      <c r="B33" s="21"/>
      <c r="C33" s="21"/>
      <c r="D33" s="22"/>
      <c r="E33" s="23"/>
      <c r="F33" s="23"/>
      <c r="G33" s="24"/>
      <c r="H33" s="25"/>
      <c r="I33" s="30"/>
      <c r="J33" s="33"/>
      <c r="L33">
        <v>1</v>
      </c>
    </row>
    <row r="34" spans="1:12" ht="32.25" customHeight="1">
      <c r="A34" s="20">
        <f t="shared" si="2"/>
        <v>27</v>
      </c>
      <c r="B34" s="21"/>
      <c r="C34" s="21"/>
      <c r="D34" s="22"/>
      <c r="E34" s="23"/>
      <c r="F34" s="23"/>
      <c r="G34" s="24"/>
      <c r="H34" s="25"/>
      <c r="I34" s="30"/>
      <c r="J34" s="33"/>
      <c r="L34">
        <v>2</v>
      </c>
    </row>
    <row r="35" spans="1:12" ht="32.25" customHeight="1">
      <c r="A35" s="20">
        <f t="shared" si="2"/>
        <v>28</v>
      </c>
      <c r="B35" s="21"/>
      <c r="C35" s="21"/>
      <c r="D35" s="22"/>
      <c r="E35" s="23"/>
      <c r="F35" s="23"/>
      <c r="G35" s="24"/>
      <c r="H35" s="25"/>
      <c r="I35" s="30"/>
      <c r="J35" s="33"/>
      <c r="L35">
        <v>3</v>
      </c>
    </row>
    <row r="36" spans="1:12" ht="32.25" customHeight="1">
      <c r="A36" s="20">
        <f>IF(DAY(EOMONTH(DATE($N$3,$M$3,1),0))&lt;ROW()-7,"",A35+1)</f>
        <v>29</v>
      </c>
      <c r="B36" s="21"/>
      <c r="C36" s="21"/>
      <c r="D36" s="22"/>
      <c r="E36" s="23"/>
      <c r="F36" s="23"/>
      <c r="G36" s="24"/>
      <c r="H36" s="25"/>
      <c r="I36" s="30"/>
      <c r="J36" s="33"/>
      <c r="L36">
        <v>4</v>
      </c>
    </row>
    <row r="37" spans="1:12" ht="32.25" customHeight="1">
      <c r="A37" s="20">
        <f>IF(DAY(EOMONTH(DATE($N$3,$M$3,1),0))&lt;ROW()-7,"",A36+1)</f>
        <v>30</v>
      </c>
      <c r="B37" s="21"/>
      <c r="C37" s="21"/>
      <c r="D37" s="22"/>
      <c r="E37" s="23"/>
      <c r="F37" s="23"/>
      <c r="G37" s="24"/>
      <c r="H37" s="25"/>
      <c r="I37" s="30"/>
      <c r="J37" s="33"/>
      <c r="L37">
        <v>5</v>
      </c>
    </row>
    <row r="38" spans="1:12" ht="32.25" customHeight="1" thickBot="1">
      <c r="A38" s="20" t="str">
        <f>IF(DAY(EOMONTH(DATE($N$3,$M$3,1),0))&lt;ROW()-7,"",A37+1)</f>
        <v/>
      </c>
      <c r="B38" s="50"/>
      <c r="C38" s="50"/>
      <c r="D38" s="22"/>
      <c r="E38" s="23"/>
      <c r="F38" s="53"/>
      <c r="G38" s="55"/>
      <c r="H38" s="25"/>
      <c r="I38" s="30"/>
      <c r="J38" s="33"/>
      <c r="L38" t="str">
        <v/>
      </c>
    </row>
    <row r="39" spans="1:12" ht="33.75" customHeight="1" thickBot="1">
      <c r="A39" s="34"/>
      <c r="B39" s="51" t="s">
        <v>293</v>
      </c>
      <c r="C39" s="52">
        <f>+COUNTA(C8:C38)</f>
        <v>0</v>
      </c>
      <c r="D39" s="51" t="s">
        <v>294</v>
      </c>
      <c r="E39" s="52">
        <f>+COUNTA(E8:E38)</f>
        <v>0</v>
      </c>
      <c r="F39" s="54" t="s">
        <v>295</v>
      </c>
      <c r="G39" s="56">
        <f>SUM(G8:G38)</f>
        <v>0</v>
      </c>
      <c r="H39" s="36">
        <f>SUM(H8:H38)</f>
        <v>0</v>
      </c>
      <c r="I39" s="35"/>
      <c r="J39" s="37"/>
    </row>
    <row r="40" spans="1:12" ht="31.5" customHeight="1" thickBot="1">
      <c r="A40" s="41" t="s">
        <v>213</v>
      </c>
      <c r="B40" s="42"/>
      <c r="C40" s="42"/>
      <c r="D40" s="103" t="s">
        <v>214</v>
      </c>
      <c r="E40" s="104"/>
      <c r="F40" s="105"/>
      <c r="G40" s="97" t="s">
        <v>189</v>
      </c>
      <c r="H40" s="98"/>
      <c r="I40" s="99"/>
      <c r="J40" s="38" t="s">
        <v>190</v>
      </c>
    </row>
    <row r="41" spans="1:12" ht="31.5" customHeight="1" thickBot="1">
      <c r="A41" s="101" t="str">
        <f>_xlfn.XLOOKUP(L3,data!L:L,data!F:F)</f>
        <v>NAR KRAN MMC</v>
      </c>
      <c r="B41" s="102"/>
      <c r="C41" s="102"/>
      <c r="D41" s="94" t="s">
        <v>465</v>
      </c>
      <c r="E41" s="95"/>
      <c r="F41" s="96"/>
      <c r="G41" s="97" t="str">
        <f>A41</f>
        <v>NAR KRAN MMC</v>
      </c>
      <c r="H41" s="98"/>
      <c r="I41" s="99"/>
      <c r="J41" s="39"/>
    </row>
    <row r="42" spans="1:12" ht="33.6" customHeight="1" thickBot="1">
      <c r="A42" s="41" t="s">
        <v>191</v>
      </c>
      <c r="B42" s="42"/>
      <c r="C42" s="42"/>
      <c r="D42" s="94" t="s">
        <v>466</v>
      </c>
      <c r="E42" s="95"/>
      <c r="F42" s="96"/>
      <c r="G42" s="97" t="str">
        <f>_xlfn.XLOOKUP(L3,data!L:L,data!M:M)</f>
        <v>Mustafa Yazıcı</v>
      </c>
      <c r="H42" s="98"/>
      <c r="I42" s="99"/>
      <c r="J42" s="40"/>
    </row>
    <row r="43" spans="1:12" ht="33.6" customHeight="1" thickBot="1">
      <c r="A43" s="41" t="s">
        <v>191</v>
      </c>
      <c r="B43" s="42"/>
      <c r="C43" s="42"/>
      <c r="D43" s="94" t="str">
        <f>VLOOKUP(O3,_xlfn._TRO_TRAILING(T:V),2,0)</f>
        <v>Ambar şefi</v>
      </c>
      <c r="E43" s="95"/>
      <c r="F43" s="96"/>
      <c r="G43" s="97" t="str">
        <f>VLOOKUP(O3,_xlfn._TRO_TRAILING(T:V),3,0)</f>
        <v>Ibrahim Akgün</v>
      </c>
      <c r="H43" s="98"/>
      <c r="I43" s="99"/>
      <c r="J43" s="40"/>
    </row>
    <row r="44" spans="1:12" ht="39" customHeight="1">
      <c r="A44" s="48" t="s">
        <v>235</v>
      </c>
      <c r="B44" s="48"/>
    </row>
    <row r="45" spans="1:12" ht="39.75" customHeight="1">
      <c r="A45" s="48"/>
    </row>
  </sheetData>
  <mergeCells count="24">
    <mergeCell ref="A3:B3"/>
    <mergeCell ref="I4:J4"/>
    <mergeCell ref="C3:F3"/>
    <mergeCell ref="C4:F4"/>
    <mergeCell ref="A41:C41"/>
    <mergeCell ref="D40:F40"/>
    <mergeCell ref="D41:F41"/>
    <mergeCell ref="D43:F43"/>
    <mergeCell ref="D42:F42"/>
    <mergeCell ref="G40:I40"/>
    <mergeCell ref="G41:I41"/>
    <mergeCell ref="G43:I43"/>
    <mergeCell ref="G42:I42"/>
    <mergeCell ref="I1:J1"/>
    <mergeCell ref="I3:J3"/>
    <mergeCell ref="C5:F5"/>
    <mergeCell ref="C6:F6"/>
    <mergeCell ref="C1:H2"/>
    <mergeCell ref="I5:J5"/>
    <mergeCell ref="G3:H3"/>
    <mergeCell ref="G4:H4"/>
    <mergeCell ref="G5:H5"/>
    <mergeCell ref="G6:H6"/>
    <mergeCell ref="I6:J6"/>
  </mergeCells>
  <conditionalFormatting sqref="A8:J38">
    <cfRule type="expression" dxfId="0" priority="1">
      <formula>$L8=1</formula>
    </cfRule>
  </conditionalFormatting>
  <printOptions horizontalCentered="1" verticalCentered="1"/>
  <pageMargins left="0.25" right="0.25" top="0.75" bottom="0.75" header="0.3" footer="0.3"/>
  <pageSetup scale="49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13</xdr:col>
                    <xdr:colOff>104775</xdr:colOff>
                    <xdr:row>3</xdr:row>
                    <xdr:rowOff>76200</xdr:rowOff>
                  </from>
                  <to>
                    <xdr:col>13</xdr:col>
                    <xdr:colOff>762000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8A9C-FB50-41D4-9366-27E8B8B82076}">
  <sheetPr codeName="Sheet4"/>
  <dimension ref="A1:B2"/>
  <sheetViews>
    <sheetView workbookViewId="0">
      <selection activeCell="A2" sqref="A2"/>
    </sheetView>
  </sheetViews>
  <sheetFormatPr defaultRowHeight="15"/>
  <sheetData>
    <row r="1" spans="1:2">
      <c r="A1" s="6" t="s">
        <v>160</v>
      </c>
    </row>
    <row r="2" spans="1:2">
      <c r="B2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2909-F251-464F-B41D-A3C26CA8FF65}">
  <sheetPr codeName="Sheet2"/>
  <dimension ref="A1:C5"/>
  <sheetViews>
    <sheetView zoomScaleNormal="100" workbookViewId="0">
      <selection activeCell="B11" sqref="B11"/>
    </sheetView>
  </sheetViews>
  <sheetFormatPr defaultRowHeight="15"/>
  <cols>
    <col min="1" max="1" width="32.7109375" bestFit="1" customWidth="1"/>
  </cols>
  <sheetData>
    <row r="1" spans="1:3">
      <c r="A1" s="6" t="s">
        <v>138</v>
      </c>
      <c r="B1" s="3" t="s">
        <v>65</v>
      </c>
    </row>
    <row r="3" spans="1:3">
      <c r="A3" s="6" t="s">
        <v>157</v>
      </c>
      <c r="B3" s="6" t="s">
        <v>153</v>
      </c>
      <c r="C3" s="6" t="s">
        <v>155</v>
      </c>
    </row>
    <row r="4" spans="1:3">
      <c r="A4" t="s">
        <v>152</v>
      </c>
      <c r="B4" t="s">
        <v>154</v>
      </c>
      <c r="C4" t="s">
        <v>156</v>
      </c>
    </row>
    <row r="5" spans="1:3">
      <c r="A5" t="s">
        <v>140</v>
      </c>
      <c r="B5" t="s">
        <v>162</v>
      </c>
      <c r="C5" t="s">
        <v>163</v>
      </c>
    </row>
  </sheetData>
  <hyperlinks>
    <hyperlink ref="B1" r:id="rId1" xr:uid="{486200D1-AF72-47C7-A661-17D26ECE2863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D8332D-BD86-4384-A849-7B65875762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data</vt:lpstr>
      <vt:lpstr>vehicle-record</vt:lpstr>
      <vt:lpstr>notes</vt:lpstr>
      <vt:lpstr>config</vt:lpstr>
      <vt:lpstr>config!Print_Area</vt:lpstr>
      <vt:lpstr>'vehicle-record'!Print_Area</vt:lpstr>
      <vt:lpstr>subc_contr_folder_path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Elvin Bashirli</cp:lastModifiedBy>
  <cp:lastPrinted>2026-04-09T09:17:42Z</cp:lastPrinted>
  <dcterms:created xsi:type="dcterms:W3CDTF">2015-06-05T18:19:34Z</dcterms:created>
  <dcterms:modified xsi:type="dcterms:W3CDTF">2026-04-14T13:10:05Z</dcterms:modified>
</cp:coreProperties>
</file>