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0f35a67bc0854e0/Desktop/ipc/"/>
    </mc:Choice>
  </mc:AlternateContent>
  <xr:revisionPtr revIDLastSave="2857" documentId="8_{F8327071-CDC6-41D9-A7AF-9A86EB41C936}" xr6:coauthVersionLast="47" xr6:coauthVersionMax="47" xr10:uidLastSave="{A4DCE101-5A28-40D5-9A09-52C66B610606}"/>
  <bookViews>
    <workbookView xWindow="-120" yWindow="-120" windowWidth="29040" windowHeight="15720" xr2:uid="{00000000-000D-0000-FFFF-FFFF00000000}"/>
  </bookViews>
  <sheets>
    <sheet name="view__cover" sheetId="3" r:id="rId1"/>
    <sheet name="view_calc" sheetId="25" r:id="rId2"/>
    <sheet name="view_daily_records" sheetId="26" r:id="rId3"/>
    <sheet name="view_monthly_records" sheetId="33" r:id="rId4"/>
    <sheet name="view_fuel" sheetId="32" r:id="rId5"/>
    <sheet name="log_monthly_records" sheetId="27" r:id="rId6"/>
    <sheet name="log_daily_records" sheetId="20" r:id="rId7"/>
    <sheet name="log_ipcs" sheetId="15" r:id="rId8"/>
    <sheet name="log_contracts" sheetId="14" r:id="rId9"/>
    <sheet name="log_addendums" sheetId="18" r:id="rId10"/>
    <sheet name="log_prices" sheetId="16" r:id="rId11"/>
    <sheet name="log_fuel_provision" sheetId="22" r:id="rId12"/>
    <sheet name="quantities" sheetId="30" r:id="rId13"/>
    <sheet name="daily_quantities" sheetId="31" r:id="rId14"/>
    <sheet name="1" sheetId="7" state="hidden" r:id="rId15"/>
    <sheet name="2" sheetId="10" state="hidden" r:id="rId16"/>
    <sheet name="METRAJ" sheetId="9" state="hidden" r:id="rId17"/>
    <sheet name="2 (4)" sheetId="13" state="hidden" r:id="rId18"/>
    <sheet name="doosan PALETLİ 90 H 273" sheetId="6" state="hidden" r:id="rId19"/>
    <sheet name="loader 30 K 151" sheetId="5" state="hidden" r:id="rId20"/>
  </sheets>
  <externalReferences>
    <externalReference r:id="rId21"/>
    <externalReference r:id="rId22"/>
    <externalReference r:id="rId23"/>
    <externalReference r:id="rId24"/>
  </externalReferences>
  <definedNames>
    <definedName name="_xlnm._FilterDatabase" localSheetId="13" hidden="1">daily_quantities!$A$1:$K$521</definedName>
    <definedName name="_xlnm._FilterDatabase" localSheetId="9" hidden="1">log_addendums!$A$1:$M$233</definedName>
    <definedName name="_xlnm._FilterDatabase" localSheetId="6" hidden="1">log_daily_records!$A$1:$AT$1095</definedName>
    <definedName name="_xlnm._FilterDatabase" localSheetId="7" hidden="1">log_ipcs!$A$1:$K$165</definedName>
    <definedName name="_xlnm._FilterDatabase" localSheetId="5" hidden="1">log_monthly_records!$A$1:$L$223</definedName>
    <definedName name="_xlnm._FilterDatabase" localSheetId="10" hidden="1">log_prices!$A$1:$N$293</definedName>
    <definedName name="_xlnm._FilterDatabase" localSheetId="12" hidden="1">quantities!$A$1:$L$750</definedName>
    <definedName name="_xlnm._FilterDatabase" localSheetId="0" hidden="1">view__cover!$N$1:$P$4</definedName>
    <definedName name="_xlnm._FilterDatabase" localSheetId="1" hidden="1">view_calc!$A$4:$I$4</definedName>
    <definedName name="_Order1" hidden="1">255</definedName>
    <definedName name="contract_no">view__cover!$R$1</definedName>
    <definedName name="contract_nos">_xlfn.DROP(log_contracts!$B:$B,1)</definedName>
    <definedName name="ipc_no">view__cover!$R$2</definedName>
    <definedName name="_xlnm.Print_Area" localSheetId="14">'1'!$B$2:$M$37</definedName>
    <definedName name="_xlnm.Print_Area" localSheetId="15">'2'!$B$2:$M$33</definedName>
    <definedName name="_xlnm.Print_Area" localSheetId="17">'2 (4)'!$B$2:$M$20</definedName>
    <definedName name="_xlnm.Print_Area" localSheetId="18">'doosan PALETLİ 90 H 273'!$A$1:$I$43</definedName>
    <definedName name="_xlnm.Print_Area" localSheetId="19">'loader 30 K 151'!$A$1:$I$43</definedName>
    <definedName name="_xlnm.Print_Area" localSheetId="16">METRAJ!$B$2:$M$124</definedName>
    <definedName name="_xlnm.Print_Area" localSheetId="0">view__cover!$A$1:$L$29</definedName>
    <definedName name="_xlnm.Print_Area" localSheetId="1">OFFSET(view_calc!$A$1,0,0,IF(view_calc!$Q$1&gt;66,147,77),9)</definedName>
    <definedName name="_xlnm.Print_Area" localSheetId="2">OFFSET(view_daily_records!$A$1,0,0,view_daily_records!$I$1*42,7)</definedName>
    <definedName name="vv" localSheetId="0" hidden="1">{#N/A,#N/A,FALSE,"kap1";#N/A,#N/A,FALSE,"kap2";#N/A,#N/A,FALSE,"tem_mektubu";#N/A,#N/A,FALSE,"avans";#N/A,#N/A,FALSE,"söz_fiy_fark";#N/A,#N/A,FALSE,"fat_ihz"}</definedName>
    <definedName name="vv" localSheetId="1" hidden="1">{#N/A,#N/A,FALSE,"kap1";#N/A,#N/A,FALSE,"kap2";#N/A,#N/A,FALSE,"tem_mektubu";#N/A,#N/A,FALSE,"avans";#N/A,#N/A,FALSE,"söz_fiy_fark";#N/A,#N/A,FALSE,"fat_ihz"}</definedName>
    <definedName name="vv" hidden="1">{#N/A,#N/A,FALSE,"kap1";#N/A,#N/A,FALSE,"kap2";#N/A,#N/A,FALSE,"tem_mektubu";#N/A,#N/A,FALSE,"avans";#N/A,#N/A,FALSE,"söz_fiy_fark";#N/A,#N/A,FALSE,"fat_ihz"}</definedName>
    <definedName name="w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0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localSheetId="1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IMAL." localSheetId="0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localSheetId="1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BIMAL.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wrn.DEMIR.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ekinci._.ihzarat." localSheetId="0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localSheetId="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GENEL." localSheetId="0" hidden="1">{#N/A,#N/A,FALSE,"kap1";#N/A,#N/A,FALSE,"kap2";#N/A,#N/A,FALSE,"tem_mektubu";#N/A,#N/A,FALSE,"avans";#N/A,#N/A,FALSE,"söz_fiy_fark";#N/A,#N/A,FALSE,"fat_ihz"}</definedName>
    <definedName name="wrn.GENEL." localSheetId="1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ILAVE._.BETON." localSheetId="0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localSheetId="1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0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localSheetId="1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0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localSheetId="1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stinat." localSheetId="0" hidden="1">{#N/A,#N/A,FALSE,"NF_S1";#N/A,#N/A,FALSE,"İ_100M";#N/A,#N/A,FALSE,"İ_150M";#N/A,#N/A,FALSE,"İ_200M"}</definedName>
    <definedName name="wrn.istinat." localSheetId="1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KAL._.BÜR." localSheetId="0" hidden="1">{#N/A,#N/A,FALSE,"3";#N/A,#N/A,FALSE,"kal_iç_ihz";#N/A,#N/A,FALSE,"kal_iç_er";#N/A,#N/A,FALSE,"kal_iç_tut";#N/A,#N/A,FALSE,"5";#N/A,#N/A,FALSE,"brü_ihz";#N/A,#N/A,FALSE,"brü_er";#N/A,#N/A,FALSE,"brü_tut"}</definedName>
    <definedName name="wrn.KAL._.BÜR." localSheetId="1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MKESIF." localSheetId="0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localSheetId="1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ukayese." localSheetId="0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localSheetId="1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nakliye." localSheetId="0" hidden="1">{#N/A,#N/A,FALSE,"NAKLİYE_MESAFE";#N/A,#N/A,FALSE,"NF_01";#N/A,#N/A,FALSE,"NF_02";#N/A,#N/A,FALSE,"NF_03";#N/A,#N/A,FALSE,"NF_04";#N/A,#N/A,FALSE,"NF_05";#N/A,#N/A,FALSE,"NF_06"}</definedName>
    <definedName name="wrn.nakliye." localSheetId="1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SIHHI." localSheetId="0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localSheetId="1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xxxx" localSheetId="0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localSheetId="1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xxxx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097" i="20" l="1" a="1"/>
  <c r="AO1097" i="20" s="1"/>
  <c r="AM1097" i="20" a="1"/>
  <c r="AM1097" i="20" s="1"/>
  <c r="A2" i="18" a="1"/>
  <c r="A2" i="18" s="1"/>
  <c r="T1" i="27" l="1"/>
  <c r="S1" i="27"/>
  <c r="R1" i="27"/>
  <c r="L4" i="25" l="1" a="1"/>
  <c r="L4" i="25" s="1"/>
  <c r="AO879" i="20" l="1" a="1"/>
  <c r="AO879" i="20" s="1"/>
  <c r="AM879" i="20" a="1"/>
  <c r="AM879" i="20" s="1"/>
  <c r="AO647" i="20" l="1" a="1"/>
  <c r="AO647" i="20" s="1"/>
  <c r="AO749" i="20" a="1"/>
  <c r="AO749" i="20" s="1"/>
  <c r="AO873" i="20" a="1"/>
  <c r="AO873" i="20" s="1"/>
  <c r="AM279" i="20" a="1"/>
  <c r="AM279" i="20" s="1"/>
  <c r="AM477" i="20" l="1" a="1"/>
  <c r="AM477" i="20" s="1"/>
  <c r="AM663" i="20" a="1"/>
  <c r="AM663" i="20" s="1"/>
  <c r="AM921" i="20" a="1"/>
  <c r="AM921" i="20" s="1"/>
  <c r="A2" i="20" l="1" a="1"/>
  <c r="A2" i="20" s="1"/>
  <c r="G201" i="27"/>
  <c r="A2" i="27" a="1"/>
  <c r="A2" i="27" s="1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41" i="16"/>
  <c r="AM3" i="20" l="1" a="1"/>
  <c r="AM3" i="20" s="1"/>
  <c r="AO1095" i="20" a="1"/>
  <c r="AO1095" i="20" s="1"/>
  <c r="AM1095" i="20" a="1"/>
  <c r="AM1095" i="20" s="1"/>
  <c r="I203" i="16"/>
  <c r="M1093" i="20"/>
  <c r="L1093" i="20"/>
  <c r="J1093" i="20"/>
  <c r="H1093" i="20"/>
  <c r="AM1093" i="20" l="1" a="1"/>
  <c r="AM1093" i="20" s="1"/>
  <c r="M1091" i="20" l="1"/>
  <c r="L1091" i="20"/>
  <c r="J1091" i="20"/>
  <c r="AM1091" i="20" s="1" a="1"/>
  <c r="AM1091" i="20" s="1"/>
  <c r="H1091" i="20"/>
  <c r="AO1091" i="20" a="1"/>
  <c r="AO1091" i="20" s="1"/>
  <c r="AT849" i="20" a="1"/>
  <c r="AT849" i="20" s="1"/>
  <c r="AT831" i="20" a="1"/>
  <c r="AT831" i="20" s="1"/>
  <c r="AT821" i="20" a="1"/>
  <c r="AT821" i="20" s="1"/>
  <c r="AT733" i="20" a="1"/>
  <c r="AT733" i="20" s="1"/>
  <c r="AT565" i="20" a="1"/>
  <c r="AT565" i="20" s="1"/>
  <c r="AT563" i="20" a="1"/>
  <c r="AT563" i="20" s="1"/>
  <c r="AT431" i="20" a="1"/>
  <c r="AT431" i="20" s="1"/>
  <c r="AT423" i="20" a="1"/>
  <c r="AT423" i="20" s="1"/>
  <c r="AT387" i="20" a="1"/>
  <c r="AT387" i="20" s="1"/>
  <c r="AT331" i="20" a="1"/>
  <c r="AT331" i="20" s="1"/>
  <c r="AT319" i="20" a="1"/>
  <c r="AT319" i="20" s="1"/>
  <c r="AT265" i="20" a="1"/>
  <c r="AT265" i="20" s="1"/>
  <c r="AT259" i="20" a="1"/>
  <c r="AT259" i="20" s="1"/>
  <c r="AT199" i="20" a="1"/>
  <c r="AT199" i="20" s="1"/>
  <c r="AT137" i="20" a="1"/>
  <c r="AT137" i="20" s="1"/>
  <c r="AT63" i="20" a="1"/>
  <c r="AT63" i="20" s="1"/>
  <c r="AT59" i="20" a="1"/>
  <c r="AT59" i="20" s="1"/>
  <c r="AO1079" i="20" l="1" a="1"/>
  <c r="AO1079" i="20" s="1"/>
  <c r="AO1081" i="20" a="1"/>
  <c r="AO1081" i="20" s="1"/>
  <c r="AO1083" i="20" a="1"/>
  <c r="AO1083" i="20" s="1"/>
  <c r="AO1089" i="20" a="1"/>
  <c r="AO1089" i="20" s="1"/>
  <c r="AM1089" i="20" a="1"/>
  <c r="AM1089" i="20" s="1"/>
  <c r="AO1087" i="20" a="1"/>
  <c r="AO1087" i="20" s="1"/>
  <c r="AO1077" i="20" a="1"/>
  <c r="AO1077" i="20" s="1"/>
  <c r="AM1087" i="20" a="1"/>
  <c r="AM1087" i="20" s="1"/>
  <c r="AM1085" i="20" a="1"/>
  <c r="AM1085" i="20" s="1"/>
  <c r="AO1085" i="20" a="1"/>
  <c r="AO1085" i="20" s="1"/>
  <c r="AM1083" i="20" l="1" a="1"/>
  <c r="AM1083" i="20" s="1"/>
  <c r="AM1081" i="20" l="1" a="1"/>
  <c r="AM1081" i="20" s="1"/>
  <c r="AM1079" i="20" a="1"/>
  <c r="AM1079" i="20" s="1"/>
  <c r="AO1071" i="20" l="1" a="1"/>
  <c r="AO1071" i="20" s="1"/>
  <c r="AM1071" i="20" l="1" a="1"/>
  <c r="AM1071" i="20" s="1"/>
  <c r="AM1077" i="20" l="1" a="1"/>
  <c r="AM1077" i="20" s="1"/>
  <c r="AO1075" i="20" a="1"/>
  <c r="AO1075" i="20" s="1"/>
  <c r="AM1075" i="20" a="1"/>
  <c r="AM1075" i="20" s="1"/>
  <c r="AO1073" i="20" a="1"/>
  <c r="AO1073" i="20" s="1"/>
  <c r="AM1073" i="20" a="1"/>
  <c r="AM1073" i="20" s="1"/>
  <c r="AO1067" i="20" l="1" a="1"/>
  <c r="AO1067" i="20" s="1"/>
  <c r="AO1065" i="20" a="1"/>
  <c r="AO1065" i="20" s="1"/>
  <c r="AO1061" i="20" a="1"/>
  <c r="AO1061" i="20" s="1"/>
  <c r="AM1061" i="20" a="1"/>
  <c r="AM1061" i="20" s="1"/>
  <c r="AM1057" i="20" a="1"/>
  <c r="AM1057" i="20" s="1"/>
  <c r="AO1055" i="20" a="1"/>
  <c r="AO1055" i="20" s="1"/>
  <c r="AO1053" i="20" a="1"/>
  <c r="AO1053" i="20" s="1"/>
  <c r="AM1067" i="20" l="1" a="1"/>
  <c r="AM1067" i="20" s="1"/>
  <c r="AM1059" i="20" a="1"/>
  <c r="AM1059" i="20" s="1"/>
  <c r="AO1059" i="20" a="1"/>
  <c r="AO1059" i="20" s="1"/>
  <c r="AM1055" i="20" a="1"/>
  <c r="AM1055" i="20" s="1"/>
  <c r="AM1053" i="20" a="1"/>
  <c r="AM1053" i="20" s="1"/>
  <c r="AM1051" i="20" a="1"/>
  <c r="AM1051" i="20" s="1"/>
  <c r="AM1069" i="20" l="1" a="1"/>
  <c r="AM1069" i="20" s="1"/>
  <c r="AO1069" i="20" a="1"/>
  <c r="AO1069" i="20" s="1"/>
  <c r="AM1065" i="20" a="1"/>
  <c r="AM1065" i="20" s="1"/>
  <c r="AM1063" i="20" a="1"/>
  <c r="AM1063" i="20" s="1"/>
  <c r="AM1045" i="20" l="1" a="1"/>
  <c r="AM1045" i="20" s="1"/>
  <c r="AM1049" i="20" a="1"/>
  <c r="AM1049" i="20" s="1"/>
  <c r="AM1047" i="20" a="1"/>
  <c r="AM1047" i="20" s="1"/>
  <c r="AM1043" i="20" a="1"/>
  <c r="AM1043" i="20" s="1"/>
  <c r="AM1041" i="20" a="1"/>
  <c r="AM1041" i="20" s="1"/>
  <c r="AO1037" i="20" l="1" a="1"/>
  <c r="AO1037" i="20" s="1"/>
  <c r="AO1033" i="20" a="1"/>
  <c r="AO1033" i="20" s="1"/>
  <c r="AO1035" i="20" a="1"/>
  <c r="AO1035" i="20" s="1"/>
  <c r="AM1037" i="20" a="1"/>
  <c r="AM1037" i="20" s="1"/>
  <c r="AO1031" i="20" a="1"/>
  <c r="AO1031" i="20" s="1"/>
  <c r="AO1027" i="20" a="1"/>
  <c r="AO1027" i="20" s="1"/>
  <c r="AM1027" i="20" a="1"/>
  <c r="AM1027" i="20" s="1"/>
  <c r="AO1025" i="20" a="1"/>
  <c r="AO1025" i="20" s="1"/>
  <c r="AM1025" i="20" a="1"/>
  <c r="AM1025" i="20" s="1"/>
  <c r="AO1023" i="20" a="1"/>
  <c r="AO1023" i="20" s="1"/>
  <c r="AM1023" i="20" a="1"/>
  <c r="AM1023" i="20" s="1"/>
  <c r="AM1029" i="20" l="1" a="1"/>
  <c r="AM1029" i="20" s="1"/>
  <c r="AO1029" i="20" a="1"/>
  <c r="AO1029" i="20" s="1"/>
  <c r="AM1031" i="20" a="1"/>
  <c r="AM1031" i="20" s="1"/>
  <c r="AM1033" i="20" l="1" a="1"/>
  <c r="AM1033" i="20" s="1"/>
  <c r="AM1039" i="20" a="1"/>
  <c r="AM1039" i="20" s="1"/>
  <c r="AM1035" i="20" a="1"/>
  <c r="AM1035" i="20" s="1"/>
  <c r="AM1017" i="20" l="1" a="1"/>
  <c r="AM1017" i="20" s="1"/>
  <c r="AM1021" i="20" a="1"/>
  <c r="AM1021" i="20" s="1"/>
  <c r="AM1015" i="20" a="1"/>
  <c r="AM1015" i="20" s="1"/>
  <c r="AM1013" i="20" a="1"/>
  <c r="AM1013" i="20" s="1"/>
  <c r="AM1019" i="20" l="1" a="1"/>
  <c r="AM1019" i="20" s="1"/>
  <c r="AJ997" i="20" l="1"/>
  <c r="AL998" i="20"/>
  <c r="AK998" i="20"/>
  <c r="AF998" i="20"/>
  <c r="AE998" i="20"/>
  <c r="AD998" i="20"/>
  <c r="AC998" i="20"/>
  <c r="AB998" i="20"/>
  <c r="AA998" i="20"/>
  <c r="Z998" i="20"/>
  <c r="Y998" i="20"/>
  <c r="X998" i="20"/>
  <c r="W998" i="20"/>
  <c r="V998" i="20"/>
  <c r="U998" i="20"/>
  <c r="AO997" i="20" a="1"/>
  <c r="AO997" i="20" s="1"/>
  <c r="AM997" i="20" a="1"/>
  <c r="AM997" i="20" s="1"/>
  <c r="H994" i="20" a="1"/>
  <c r="H994" i="20" s="1"/>
  <c r="AO999" i="20" l="1" a="1"/>
  <c r="AO999" i="20" s="1"/>
  <c r="AO1001" i="20" a="1"/>
  <c r="AO1001" i="20" s="1"/>
  <c r="AO1007" i="20" a="1"/>
  <c r="AO1007" i="20" s="1"/>
  <c r="AO1011" i="20" a="1"/>
  <c r="AO1011" i="20" s="1"/>
  <c r="AM1011" i="20" a="1"/>
  <c r="AM1011" i="20" s="1"/>
  <c r="AO1009" i="20" a="1"/>
  <c r="AO1009" i="20" s="1"/>
  <c r="AM999" i="20" a="1"/>
  <c r="AM999" i="20" s="1"/>
  <c r="AM1009" i="20" a="1"/>
  <c r="AM1009" i="20" s="1"/>
  <c r="AM1007" i="20" a="1"/>
  <c r="AM1007" i="20" s="1"/>
  <c r="AM1003" i="20" a="1"/>
  <c r="AM1003" i="20" s="1"/>
  <c r="AO1003" i="20" a="1"/>
  <c r="AO1003" i="20" s="1"/>
  <c r="AO1005" i="20" a="1"/>
  <c r="AO1005" i="20" s="1"/>
  <c r="AM1005" i="20" a="1"/>
  <c r="AM1005" i="20" s="1"/>
  <c r="AM1001" i="20" a="1"/>
  <c r="AM1001" i="20" s="1"/>
  <c r="AO995" i="20" a="1"/>
  <c r="AO995" i="20" s="1"/>
  <c r="AM995" i="20" a="1"/>
  <c r="AM995" i="20" s="1"/>
  <c r="AO985" i="20" l="1" a="1"/>
  <c r="AO985" i="20" s="1"/>
  <c r="AO983" i="20" a="1"/>
  <c r="AO983" i="20" s="1"/>
  <c r="H992" i="20" a="1"/>
  <c r="H992" i="20" s="1"/>
  <c r="AM985" i="20" l="1" a="1"/>
  <c r="AM985" i="20" s="1"/>
  <c r="F992" i="20" l="1"/>
  <c r="F993" i="20" l="1"/>
  <c r="C993" i="20"/>
  <c r="AO993" i="20" a="1"/>
  <c r="AO993" i="20" s="1"/>
  <c r="AM993" i="20" a="1"/>
  <c r="AM993" i="20" s="1"/>
  <c r="AM991" i="20" a="1"/>
  <c r="AM991" i="20" s="1"/>
  <c r="AO991" i="20" a="1"/>
  <c r="AO991" i="20" s="1"/>
  <c r="AM989" i="20" a="1"/>
  <c r="AM989" i="20" s="1"/>
  <c r="AO989" i="20" a="1"/>
  <c r="AO989" i="20" s="1"/>
  <c r="AO987" i="20" a="1"/>
  <c r="AO987" i="20" s="1"/>
  <c r="AM987" i="20" a="1"/>
  <c r="AM987" i="20" s="1"/>
  <c r="AM983" i="20" a="1"/>
  <c r="AM983" i="20" s="1"/>
  <c r="F956" i="20" l="1"/>
  <c r="AM979" i="20" l="1" a="1"/>
  <c r="AM979" i="20" s="1"/>
  <c r="AO979" i="20" a="1"/>
  <c r="AO979" i="20" s="1"/>
  <c r="AM981" i="20" a="1"/>
  <c r="AM981" i="20" s="1"/>
  <c r="AM975" i="20" a="1"/>
  <c r="AM975" i="20" s="1"/>
  <c r="AM977" i="20" a="1"/>
  <c r="AM977" i="20" s="1"/>
  <c r="AO975" i="20" a="1"/>
  <c r="AO975" i="20" s="1"/>
  <c r="AO971" i="20" a="1"/>
  <c r="AO971" i="20" s="1"/>
  <c r="AM971" i="20" a="1"/>
  <c r="AM971" i="20" s="1"/>
  <c r="AM973" i="20" a="1"/>
  <c r="AM973" i="20" s="1"/>
  <c r="AM967" i="20" a="1"/>
  <c r="AM967" i="20" s="1"/>
  <c r="AM969" i="20" a="1"/>
  <c r="AM969" i="20" s="1"/>
  <c r="AO967" i="20" a="1"/>
  <c r="AO967" i="20" s="1"/>
  <c r="AO963" i="20" a="1"/>
  <c r="AO963" i="20" s="1"/>
  <c r="AM963" i="20" a="1"/>
  <c r="AM963" i="20" s="1"/>
  <c r="AM961" i="20" a="1"/>
  <c r="AM961" i="20" s="1"/>
  <c r="AM959" i="20" a="1"/>
  <c r="AM959" i="20" s="1"/>
  <c r="F957" i="20"/>
  <c r="AM965" i="20" l="1" a="1"/>
  <c r="AM965" i="20" s="1"/>
  <c r="AM957" i="20" a="1"/>
  <c r="AM957" i="20" s="1"/>
  <c r="AO955" i="20" l="1" a="1"/>
  <c r="AO955" i="20" s="1"/>
  <c r="AM955" i="20" a="1"/>
  <c r="AM955" i="20" s="1"/>
  <c r="A2" i="14" l="1" a="1"/>
  <c r="A2" i="14" s="1"/>
  <c r="AO951" i="20" l="1" a="1"/>
  <c r="AO951" i="20" s="1"/>
  <c r="AM951" i="20" a="1"/>
  <c r="AM951" i="20" s="1"/>
  <c r="AM945" i="20" a="1"/>
  <c r="AM945" i="20" s="1"/>
  <c r="AM953" i="20" a="1"/>
  <c r="AM953" i="20" s="1"/>
  <c r="AM949" i="20" a="1"/>
  <c r="AM949" i="20" s="1"/>
  <c r="AO947" i="20" a="1"/>
  <c r="AO947" i="20" s="1"/>
  <c r="AM947" i="20" a="1"/>
  <c r="AM947" i="20" s="1"/>
  <c r="AO943" i="20" a="1"/>
  <c r="AO943" i="20" s="1"/>
  <c r="AM943" i="20" a="1"/>
  <c r="AM943" i="20" s="1"/>
  <c r="AO935" i="20" l="1" a="1"/>
  <c r="AO935" i="20" s="1"/>
  <c r="AM935" i="20" a="1"/>
  <c r="AM935" i="20" s="1"/>
  <c r="AO941" i="20" l="1" a="1"/>
  <c r="AO941" i="20" s="1"/>
  <c r="AM941" i="20" a="1"/>
  <c r="AM941" i="20" s="1"/>
  <c r="AO939" i="20" a="1"/>
  <c r="AO939" i="20" s="1"/>
  <c r="AM939" i="20" a="1"/>
  <c r="AM939" i="20" s="1"/>
  <c r="AO937" i="20" a="1"/>
  <c r="AO937" i="20" s="1"/>
  <c r="AM937" i="20" a="1"/>
  <c r="AM937" i="20" s="1"/>
  <c r="AO933" i="20" a="1"/>
  <c r="AO933" i="20" s="1"/>
  <c r="AM933" i="20" a="1"/>
  <c r="AM933" i="20" s="1"/>
  <c r="AO931" i="20" l="1" a="1"/>
  <c r="AO931" i="20" s="1"/>
  <c r="AM931" i="20" a="1"/>
  <c r="AM931" i="20" s="1"/>
  <c r="AO929" i="20" a="1"/>
  <c r="AO929" i="20" s="1"/>
  <c r="AM929" i="20" a="1"/>
  <c r="AM929" i="20" s="1"/>
  <c r="AO927" i="20" l="1" a="1"/>
  <c r="AO927" i="20" s="1"/>
  <c r="AM927" i="20" a="1"/>
  <c r="AM927" i="20" s="1"/>
  <c r="AO925" i="20" l="1" a="1"/>
  <c r="AO925" i="20" s="1"/>
  <c r="AM925" i="20" a="1"/>
  <c r="AM925" i="20" s="1"/>
  <c r="AO923" i="20" l="1" a="1"/>
  <c r="AO923" i="20" s="1"/>
  <c r="AM923" i="20" a="1"/>
  <c r="AM923" i="20" s="1"/>
  <c r="J4" i="25" l="1"/>
  <c r="J3" i="25"/>
  <c r="E147" i="25"/>
  <c r="E146" i="25"/>
  <c r="C147" i="25"/>
  <c r="A147" i="25"/>
  <c r="H77" i="25" l="1"/>
  <c r="H147" i="25" s="1"/>
  <c r="H76" i="25"/>
  <c r="H146" i="25" s="1"/>
  <c r="AO919" i="20" l="1" a="1"/>
  <c r="AO919" i="20" s="1"/>
  <c r="AM919" i="20" a="1"/>
  <c r="AM919" i="20" s="1"/>
  <c r="AO917" i="20" a="1"/>
  <c r="AO917" i="20" s="1"/>
  <c r="AM917" i="20" a="1"/>
  <c r="AM917" i="20" s="1"/>
  <c r="AN911" i="20" l="1" a="1"/>
  <c r="AN911" i="20" s="1"/>
  <c r="AN913" i="20" a="1"/>
  <c r="AN913" i="20" s="1"/>
  <c r="AN915" i="20" a="1"/>
  <c r="AN915" i="20" s="1"/>
  <c r="AM915" i="20" l="1" a="1"/>
  <c r="AM915" i="20" s="1"/>
  <c r="AM913" i="20" a="1"/>
  <c r="AM913" i="20" s="1"/>
  <c r="AM911" i="20" a="1"/>
  <c r="AM911" i="20" s="1"/>
  <c r="AN905" i="20" l="1" a="1"/>
  <c r="AN905" i="20" s="1"/>
  <c r="AM905" i="20" s="1" a="1"/>
  <c r="AM905" i="20" s="1"/>
  <c r="AM903" i="20" a="1"/>
  <c r="AM903" i="20" s="1"/>
  <c r="AO903" i="20" a="1"/>
  <c r="AO903" i="20" s="1"/>
  <c r="AM909" i="20" a="1"/>
  <c r="AM909" i="20" s="1"/>
  <c r="AO909" i="20" a="1"/>
  <c r="AO909" i="20" s="1"/>
  <c r="AN907" i="20" a="1"/>
  <c r="AN907" i="20" s="1"/>
  <c r="AM907" i="20" s="1" a="1"/>
  <c r="AM907" i="20" s="1"/>
  <c r="AN897" i="20" l="1" a="1"/>
  <c r="AN897" i="20" s="1"/>
  <c r="AM897" i="20" s="1" a="1"/>
  <c r="AM897" i="20" s="1"/>
  <c r="AM901" i="20" a="1"/>
  <c r="AM901" i="20" s="1"/>
  <c r="AO895" i="20" l="1" a="1"/>
  <c r="AO895" i="20" s="1"/>
  <c r="AN899" i="20" a="1"/>
  <c r="AN899" i="20" s="1"/>
  <c r="AM895" i="20" a="1"/>
  <c r="AM895" i="20" s="1"/>
  <c r="AM899" i="20" l="1" a="1"/>
  <c r="AM899" i="20" s="1"/>
  <c r="AN893" i="20" l="1" a="1"/>
  <c r="AN893" i="20" s="1"/>
  <c r="AM893" i="20" l="1" a="1"/>
  <c r="AM893" i="20" s="1"/>
  <c r="AO887" i="20" l="1" a="1"/>
  <c r="AO887" i="20" s="1"/>
  <c r="AM887" i="20" a="1"/>
  <c r="AM887" i="20" s="1"/>
  <c r="AO885" i="20" a="1"/>
  <c r="AO885" i="20" s="1"/>
  <c r="AM885" i="20" a="1"/>
  <c r="AM885" i="20" s="1"/>
  <c r="AO883" i="20" a="1"/>
  <c r="AO883" i="20" s="1"/>
  <c r="AM883" i="20" a="1"/>
  <c r="AM883" i="20" s="1"/>
  <c r="AO891" i="20" l="1" a="1"/>
  <c r="AO891" i="20" s="1"/>
  <c r="AM891" i="20" a="1"/>
  <c r="AM891" i="20" s="1"/>
  <c r="AM889" i="20" a="1"/>
  <c r="AM889" i="20" s="1"/>
  <c r="AO339" i="20" l="1" a="1"/>
  <c r="AO339" i="20" s="1"/>
  <c r="AM339" i="20" a="1"/>
  <c r="AM339" i="20" s="1"/>
  <c r="AQ53" i="20"/>
  <c r="AM53" i="20" s="1" a="1"/>
  <c r="AM53" i="20" s="1"/>
  <c r="AO309" i="20" l="1" a="1"/>
  <c r="AO309" i="20" s="1"/>
  <c r="AM309" i="20" a="1"/>
  <c r="AM309" i="20" s="1"/>
  <c r="AN263" i="20" a="1"/>
  <c r="AN263" i="20" s="1"/>
  <c r="AN289" i="20" a="1"/>
  <c r="AN289" i="20" s="1"/>
  <c r="AN363" i="20" a="1"/>
  <c r="AN363" i="20" s="1"/>
  <c r="AN385" i="20" a="1"/>
  <c r="AN385" i="20" s="1"/>
  <c r="AN429" i="20" a="1"/>
  <c r="AN429" i="20" s="1"/>
  <c r="AN509" i="20" a="1"/>
  <c r="AN509" i="20" s="1"/>
  <c r="AN535" i="20" a="1"/>
  <c r="AN535" i="20" s="1"/>
  <c r="AN631" i="20" a="1"/>
  <c r="AN631" i="20" s="1"/>
  <c r="AN657" i="20" a="1"/>
  <c r="AN657" i="20" s="1"/>
  <c r="AN747" i="20" a="1"/>
  <c r="AN747" i="20" s="1"/>
  <c r="AN769" i="20" a="1"/>
  <c r="AN769" i="20" s="1"/>
  <c r="AP59" i="20" a="1"/>
  <c r="AP59" i="20" s="1"/>
  <c r="AP63" i="20" a="1"/>
  <c r="AP63" i="20" s="1"/>
  <c r="AP137" i="20" a="1"/>
  <c r="AP137" i="20" s="1"/>
  <c r="AP199" i="20" a="1"/>
  <c r="AP199" i="20" s="1"/>
  <c r="AP259" i="20" a="1"/>
  <c r="AP259" i="20" s="1"/>
  <c r="AP265" i="20" a="1"/>
  <c r="AP265" i="20" s="1"/>
  <c r="AP319" i="20" a="1"/>
  <c r="AP319" i="20" s="1"/>
  <c r="AP331" i="20" a="1"/>
  <c r="AP331" i="20" s="1"/>
  <c r="AP423" i="20" a="1"/>
  <c r="AP423" i="20" s="1"/>
  <c r="AP563" i="20" a="1"/>
  <c r="AP563" i="20" s="1"/>
  <c r="AP565" i="20" a="1"/>
  <c r="AP565" i="20" s="1"/>
  <c r="AP733" i="20" a="1"/>
  <c r="AP733" i="20" s="1"/>
  <c r="AP821" i="20" a="1"/>
  <c r="AP821" i="20" s="1"/>
  <c r="AP831" i="20" a="1"/>
  <c r="AP831" i="20" s="1"/>
  <c r="AP849" i="20" a="1"/>
  <c r="AP849" i="20" s="1"/>
  <c r="AO9" i="20" a="1"/>
  <c r="AO9" i="20" s="1"/>
  <c r="AO11" i="20" a="1"/>
  <c r="AO11" i="20" s="1"/>
  <c r="AO17" i="20" a="1"/>
  <c r="AO17" i="20" s="1"/>
  <c r="AO19" i="20" a="1"/>
  <c r="AO19" i="20" s="1"/>
  <c r="AO21" i="20" a="1"/>
  <c r="AO21" i="20" s="1"/>
  <c r="AO23" i="20" a="1"/>
  <c r="AO23" i="20" s="1"/>
  <c r="AO25" i="20" a="1"/>
  <c r="AO25" i="20" s="1"/>
  <c r="AO27" i="20" a="1"/>
  <c r="AO27" i="20" s="1"/>
  <c r="AO29" i="20" a="1"/>
  <c r="AO29" i="20" s="1"/>
  <c r="AO31" i="20" a="1"/>
  <c r="AO31" i="20" s="1"/>
  <c r="AO35" i="20" a="1"/>
  <c r="AO35" i="20" s="1"/>
  <c r="AO43" i="20" a="1"/>
  <c r="AO43" i="20" s="1"/>
  <c r="AO47" i="20" a="1"/>
  <c r="AO47" i="20" s="1"/>
  <c r="AO51" i="20" a="1"/>
  <c r="AO51" i="20" s="1"/>
  <c r="AO55" i="20" a="1"/>
  <c r="AO55" i="20" s="1"/>
  <c r="AO57" i="20" a="1"/>
  <c r="AO57" i="20" s="1"/>
  <c r="AO61" i="20" a="1"/>
  <c r="AO61" i="20" s="1"/>
  <c r="AO65" i="20" a="1"/>
  <c r="AO65" i="20" s="1"/>
  <c r="AO69" i="20" a="1"/>
  <c r="AO69" i="20" s="1"/>
  <c r="AO73" i="20" a="1"/>
  <c r="AO73" i="20" s="1"/>
  <c r="AO77" i="20" a="1"/>
  <c r="AO77" i="20" s="1"/>
  <c r="AO81" i="20" a="1"/>
  <c r="AO81" i="20" s="1"/>
  <c r="AO85" i="20" a="1"/>
  <c r="AO85" i="20" s="1"/>
  <c r="AO89" i="20" a="1"/>
  <c r="AO89" i="20" s="1"/>
  <c r="AO93" i="20" a="1"/>
  <c r="AO93" i="20" s="1"/>
  <c r="AO97" i="20" a="1"/>
  <c r="AO97" i="20" s="1"/>
  <c r="AO101" i="20" a="1"/>
  <c r="AO101" i="20" s="1"/>
  <c r="AO105" i="20" a="1"/>
  <c r="AO105" i="20" s="1"/>
  <c r="AO109" i="20" a="1"/>
  <c r="AO109" i="20" s="1"/>
  <c r="AO117" i="20" a="1"/>
  <c r="AO117" i="20" s="1"/>
  <c r="AO121" i="20" a="1"/>
  <c r="AO121" i="20" s="1"/>
  <c r="AO125" i="20" a="1"/>
  <c r="AO125" i="20" s="1"/>
  <c r="AO129" i="20" a="1"/>
  <c r="AO129" i="20" s="1"/>
  <c r="AO131" i="20" a="1"/>
  <c r="AO131" i="20" s="1"/>
  <c r="AO135" i="20" a="1"/>
  <c r="AO135" i="20" s="1"/>
  <c r="AO139" i="20" a="1"/>
  <c r="AO139" i="20" s="1"/>
  <c r="AO143" i="20" a="1"/>
  <c r="AO143" i="20" s="1"/>
  <c r="AO147" i="20" a="1"/>
  <c r="AO147" i="20" s="1"/>
  <c r="AO151" i="20" a="1"/>
  <c r="AO151" i="20" s="1"/>
  <c r="AO155" i="20" a="1"/>
  <c r="AO155" i="20" s="1"/>
  <c r="AO159" i="20" a="1"/>
  <c r="AO159" i="20" s="1"/>
  <c r="AO163" i="20" a="1"/>
  <c r="AO163" i="20" s="1"/>
  <c r="AO167" i="20" a="1"/>
  <c r="AO167" i="20" s="1"/>
  <c r="AO171" i="20" a="1"/>
  <c r="AO171" i="20" s="1"/>
  <c r="AO179" i="20" a="1"/>
  <c r="AO179" i="20" s="1"/>
  <c r="AO183" i="20" a="1"/>
  <c r="AO183" i="20" s="1"/>
  <c r="AO187" i="20" a="1"/>
  <c r="AO187" i="20" s="1"/>
  <c r="AO191" i="20" a="1"/>
  <c r="AO191" i="20" s="1"/>
  <c r="AO193" i="20" a="1"/>
  <c r="AO193" i="20" s="1"/>
  <c r="AO197" i="20" a="1"/>
  <c r="AO197" i="20" s="1"/>
  <c r="AO201" i="20" a="1"/>
  <c r="AO201" i="20" s="1"/>
  <c r="AO205" i="20" a="1"/>
  <c r="AO205" i="20" s="1"/>
  <c r="AO209" i="20" a="1"/>
  <c r="AO209" i="20" s="1"/>
  <c r="AO213" i="20" a="1"/>
  <c r="AO213" i="20" s="1"/>
  <c r="AO217" i="20" a="1"/>
  <c r="AO217" i="20" s="1"/>
  <c r="AO221" i="20" a="1"/>
  <c r="AO221" i="20" s="1"/>
  <c r="AO225" i="20" a="1"/>
  <c r="AO225" i="20" s="1"/>
  <c r="AO229" i="20" a="1"/>
  <c r="AO229" i="20" s="1"/>
  <c r="AO233" i="20" a="1"/>
  <c r="AO233" i="20" s="1"/>
  <c r="AO237" i="20" a="1"/>
  <c r="AO237" i="20" s="1"/>
  <c r="AO241" i="20" a="1"/>
  <c r="AO241" i="20" s="1"/>
  <c r="AO245" i="20" a="1"/>
  <c r="AO245" i="20" s="1"/>
  <c r="AO249" i="20" a="1"/>
  <c r="AO249" i="20" s="1"/>
  <c r="AO253" i="20" a="1"/>
  <c r="AO253" i="20" s="1"/>
  <c r="AO257" i="20" a="1"/>
  <c r="AO257" i="20" s="1"/>
  <c r="AO261" i="20" a="1"/>
  <c r="AO261" i="20" s="1"/>
  <c r="AO267" i="20" a="1"/>
  <c r="AO267" i="20" s="1"/>
  <c r="AO271" i="20" a="1"/>
  <c r="AO271" i="20" s="1"/>
  <c r="AO275" i="20" a="1"/>
  <c r="AO275" i="20" s="1"/>
  <c r="AO281" i="20" a="1"/>
  <c r="AO281" i="20" s="1"/>
  <c r="AO285" i="20" a="1"/>
  <c r="AO285" i="20" s="1"/>
  <c r="AO293" i="20" a="1"/>
  <c r="AO293" i="20" s="1"/>
  <c r="AO301" i="20" a="1"/>
  <c r="AO301" i="20" s="1"/>
  <c r="AO305" i="20" a="1"/>
  <c r="AO305" i="20" s="1"/>
  <c r="AO313" i="20" a="1"/>
  <c r="AO313" i="20" s="1"/>
  <c r="AO317" i="20" a="1"/>
  <c r="AO317" i="20" s="1"/>
  <c r="AO321" i="20" a="1"/>
  <c r="AO321" i="20" s="1"/>
  <c r="AO325" i="20" a="1"/>
  <c r="AO325" i="20" s="1"/>
  <c r="AO329" i="20" a="1"/>
  <c r="AO329" i="20" s="1"/>
  <c r="AO333" i="20" a="1"/>
  <c r="AO333" i="20" s="1"/>
  <c r="AO335" i="20" a="1"/>
  <c r="AO335" i="20" s="1"/>
  <c r="AO343" i="20" a="1"/>
  <c r="AO343" i="20" s="1"/>
  <c r="AO347" i="20" a="1"/>
  <c r="AO347" i="20" s="1"/>
  <c r="AO355" i="20" a="1"/>
  <c r="AO355" i="20" s="1"/>
  <c r="AO359" i="20" a="1"/>
  <c r="AO359" i="20" s="1"/>
  <c r="AO367" i="20" a="1"/>
  <c r="AO367" i="20" s="1"/>
  <c r="AO375" i="20" a="1"/>
  <c r="AO375" i="20" s="1"/>
  <c r="AO379" i="20" a="1"/>
  <c r="AO379" i="20" s="1"/>
  <c r="AO383" i="20" a="1"/>
  <c r="AO383" i="20" s="1"/>
  <c r="AO389" i="20" a="1"/>
  <c r="AO389" i="20" s="1"/>
  <c r="AO393" i="20" a="1"/>
  <c r="AO393" i="20" s="1"/>
  <c r="AO397" i="20" a="1"/>
  <c r="AO397" i="20" s="1"/>
  <c r="AO401" i="20" a="1"/>
  <c r="AO401" i="20" s="1"/>
  <c r="AO405" i="20" a="1"/>
  <c r="AO405" i="20" s="1"/>
  <c r="AO409" i="20" a="1"/>
  <c r="AO409" i="20" s="1"/>
  <c r="AO413" i="20" a="1"/>
  <c r="AO413" i="20" s="1"/>
  <c r="AO417" i="20" a="1"/>
  <c r="AO417" i="20" s="1"/>
  <c r="AO421" i="20" a="1"/>
  <c r="AO421" i="20" s="1"/>
  <c r="AO425" i="20" a="1"/>
  <c r="AO425" i="20" s="1"/>
  <c r="AO433" i="20" a="1"/>
  <c r="AO433" i="20" s="1"/>
  <c r="AO437" i="20" a="1"/>
  <c r="AO437" i="20" s="1"/>
  <c r="AO441" i="20" a="1"/>
  <c r="AO441" i="20" s="1"/>
  <c r="AO445" i="20" a="1"/>
  <c r="AO445" i="20" s="1"/>
  <c r="AO449" i="20" a="1"/>
  <c r="AO449" i="20" s="1"/>
  <c r="AO461" i="20" a="1"/>
  <c r="AO461" i="20" s="1"/>
  <c r="AO465" i="20" a="1"/>
  <c r="AO465" i="20" s="1"/>
  <c r="AO469" i="20" a="1"/>
  <c r="AO469" i="20" s="1"/>
  <c r="AO473" i="20" a="1"/>
  <c r="AO473" i="20" s="1"/>
  <c r="AO481" i="20" a="1"/>
  <c r="AO481" i="20" s="1"/>
  <c r="AO485" i="20" a="1"/>
  <c r="AO485" i="20" s="1"/>
  <c r="AO489" i="20" a="1"/>
  <c r="AO489" i="20" s="1"/>
  <c r="AO493" i="20" a="1"/>
  <c r="AO493" i="20" s="1"/>
  <c r="AO495" i="20" a="1"/>
  <c r="AO495" i="20" s="1"/>
  <c r="AO497" i="20" a="1"/>
  <c r="AO497" i="20" s="1"/>
  <c r="AO499" i="20" a="1"/>
  <c r="AO499" i="20" s="1"/>
  <c r="AO501" i="20" a="1"/>
  <c r="AO501" i="20" s="1"/>
  <c r="AO503" i="20" a="1"/>
  <c r="AO503" i="20" s="1"/>
  <c r="AO505" i="20" a="1"/>
  <c r="AO505" i="20" s="1"/>
  <c r="AO507" i="20" a="1"/>
  <c r="AO507" i="20" s="1"/>
  <c r="AO511" i="20" a="1"/>
  <c r="AO511" i="20" s="1"/>
  <c r="AO515" i="20" a="1"/>
  <c r="AO515" i="20" s="1"/>
  <c r="AO517" i="20" a="1"/>
  <c r="AO517" i="20" s="1"/>
  <c r="AO519" i="20" a="1"/>
  <c r="AO519" i="20" s="1"/>
  <c r="AO521" i="20" a="1"/>
  <c r="AO521" i="20" s="1"/>
  <c r="AO523" i="20" a="1"/>
  <c r="AO523" i="20" s="1"/>
  <c r="AO527" i="20" a="1"/>
  <c r="AO527" i="20" s="1"/>
  <c r="AO529" i="20" a="1"/>
  <c r="AO529" i="20" s="1"/>
  <c r="AO531" i="20" a="1"/>
  <c r="AO531" i="20" s="1"/>
  <c r="AO533" i="20" a="1"/>
  <c r="AO533" i="20" s="1"/>
  <c r="AO537" i="20" a="1"/>
  <c r="AO537" i="20" s="1"/>
  <c r="AO541" i="20" a="1"/>
  <c r="AO541" i="20" s="1"/>
  <c r="AO543" i="20" a="1"/>
  <c r="AO543" i="20" s="1"/>
  <c r="AO545" i="20" a="1"/>
  <c r="AO545" i="20" s="1"/>
  <c r="AO547" i="20" a="1"/>
  <c r="AO547" i="20" s="1"/>
  <c r="AO549" i="20" a="1"/>
  <c r="AO549" i="20" s="1"/>
  <c r="AO603" i="20" a="1"/>
  <c r="AO603" i="20" s="1"/>
  <c r="AO605" i="20" a="1"/>
  <c r="AO605" i="20" s="1"/>
  <c r="AO607" i="20" a="1"/>
  <c r="AO607" i="20" s="1"/>
  <c r="AO609" i="20" a="1"/>
  <c r="AO609" i="20" s="1"/>
  <c r="AO611" i="20" a="1"/>
  <c r="AO611" i="20" s="1"/>
  <c r="AO613" i="20" a="1"/>
  <c r="AO613" i="20" s="1"/>
  <c r="AO615" i="20" a="1"/>
  <c r="AO615" i="20" s="1"/>
  <c r="AO617" i="20" a="1"/>
  <c r="AO617" i="20" s="1"/>
  <c r="AO619" i="20" a="1"/>
  <c r="AO619" i="20" s="1"/>
  <c r="AO621" i="20" a="1"/>
  <c r="AO621" i="20" s="1"/>
  <c r="AO623" i="20" a="1"/>
  <c r="AO623" i="20" s="1"/>
  <c r="AO625" i="20" a="1"/>
  <c r="AO625" i="20" s="1"/>
  <c r="AO627" i="20" a="1"/>
  <c r="AO627" i="20" s="1"/>
  <c r="AO629" i="20" a="1"/>
  <c r="AO629" i="20" s="1"/>
  <c r="AO635" i="20" a="1"/>
  <c r="AO635" i="20" s="1"/>
  <c r="AO637" i="20" a="1"/>
  <c r="AO637" i="20" s="1"/>
  <c r="AO639" i="20" a="1"/>
  <c r="AO639" i="20" s="1"/>
  <c r="AO641" i="20" a="1"/>
  <c r="AO641" i="20" s="1"/>
  <c r="AO643" i="20" a="1"/>
  <c r="AO643" i="20" s="1"/>
  <c r="AO645" i="20" a="1"/>
  <c r="AO645" i="20" s="1"/>
  <c r="AO649" i="20" a="1"/>
  <c r="AO649" i="20" s="1"/>
  <c r="AO651" i="20" a="1"/>
  <c r="AO651" i="20" s="1"/>
  <c r="AO653" i="20" a="1"/>
  <c r="AO653" i="20" s="1"/>
  <c r="AO655" i="20" a="1"/>
  <c r="AO655" i="20" s="1"/>
  <c r="AO659" i="20" a="1"/>
  <c r="AO659" i="20" s="1"/>
  <c r="AO661" i="20" a="1"/>
  <c r="AO661" i="20" s="1"/>
  <c r="AO665" i="20" a="1"/>
  <c r="AO665" i="20" s="1"/>
  <c r="AO667" i="20" a="1"/>
  <c r="AO667" i="20" s="1"/>
  <c r="AO669" i="20" a="1"/>
  <c r="AO669" i="20" s="1"/>
  <c r="AO671" i="20" a="1"/>
  <c r="AO671" i="20" s="1"/>
  <c r="AO673" i="20" a="1"/>
  <c r="AO673" i="20" s="1"/>
  <c r="AO735" i="20" a="1"/>
  <c r="AO735" i="20" s="1"/>
  <c r="AO737" i="20" a="1"/>
  <c r="AO737" i="20" s="1"/>
  <c r="AO739" i="20" a="1"/>
  <c r="AO739" i="20" s="1"/>
  <c r="AO741" i="20" a="1"/>
  <c r="AO741" i="20" s="1"/>
  <c r="AO743" i="20" a="1"/>
  <c r="AO743" i="20" s="1"/>
  <c r="AO745" i="20" a="1"/>
  <c r="AO745" i="20" s="1"/>
  <c r="AO751" i="20" a="1"/>
  <c r="AO751" i="20" s="1"/>
  <c r="AO753" i="20" a="1"/>
  <c r="AO753" i="20" s="1"/>
  <c r="AO755" i="20" a="1"/>
  <c r="AO755" i="20" s="1"/>
  <c r="AO757" i="20" a="1"/>
  <c r="AO757" i="20" s="1"/>
  <c r="AO759" i="20" a="1"/>
  <c r="AO759" i="20" s="1"/>
  <c r="AO761" i="20" a="1"/>
  <c r="AO761" i="20" s="1"/>
  <c r="AO763" i="20" a="1"/>
  <c r="AO763" i="20" s="1"/>
  <c r="AO765" i="20" a="1"/>
  <c r="AO765" i="20" s="1"/>
  <c r="AO767" i="20" a="1"/>
  <c r="AO767" i="20" s="1"/>
  <c r="AO771" i="20" a="1"/>
  <c r="AO771" i="20" s="1"/>
  <c r="AO773" i="20" a="1"/>
  <c r="AO773" i="20" s="1"/>
  <c r="AO775" i="20" a="1"/>
  <c r="AO775" i="20" s="1"/>
  <c r="AO777" i="20" a="1"/>
  <c r="AO777" i="20" s="1"/>
  <c r="AO779" i="20" a="1"/>
  <c r="AO779" i="20" s="1"/>
  <c r="AO781" i="20" a="1"/>
  <c r="AO781" i="20" s="1"/>
  <c r="AO853" i="20" a="1"/>
  <c r="AO853" i="20" s="1"/>
  <c r="AO857" i="20" a="1"/>
  <c r="AO857" i="20" s="1"/>
  <c r="AO859" i="20" a="1"/>
  <c r="AO859" i="20" s="1"/>
  <c r="AO861" i="20" a="1"/>
  <c r="AO861" i="20" s="1"/>
  <c r="AO863" i="20" a="1"/>
  <c r="AO863" i="20" s="1"/>
  <c r="AO865" i="20" a="1"/>
  <c r="AO865" i="20" s="1"/>
  <c r="AO867" i="20" a="1"/>
  <c r="AO867" i="20" s="1"/>
  <c r="AO869" i="20" a="1"/>
  <c r="AO869" i="20" s="1"/>
  <c r="AO875" i="20" a="1"/>
  <c r="AO875" i="20" s="1"/>
  <c r="AO877" i="20" a="1"/>
  <c r="AO877" i="20" s="1"/>
  <c r="AM9" i="20" a="1"/>
  <c r="AM9" i="20" s="1"/>
  <c r="AM11" i="20" a="1"/>
  <c r="AM11" i="20" s="1"/>
  <c r="AM13" i="20" a="1"/>
  <c r="AM13" i="20" s="1"/>
  <c r="AM15" i="20" a="1"/>
  <c r="AM15" i="20" s="1"/>
  <c r="AM17" i="20" a="1"/>
  <c r="AM17" i="20" s="1"/>
  <c r="AM19" i="20" a="1"/>
  <c r="AM19" i="20" s="1"/>
  <c r="AM21" i="20" a="1"/>
  <c r="AM21" i="20" s="1"/>
  <c r="AM23" i="20" a="1"/>
  <c r="AM23" i="20" s="1"/>
  <c r="AM25" i="20" a="1"/>
  <c r="AM25" i="20" s="1"/>
  <c r="AM27" i="20" a="1"/>
  <c r="AM27" i="20" s="1"/>
  <c r="AM29" i="20" a="1"/>
  <c r="AM29" i="20" s="1"/>
  <c r="AM31" i="20" a="1"/>
  <c r="AM31" i="20" s="1"/>
  <c r="AM35" i="20" a="1"/>
  <c r="AM35" i="20" s="1"/>
  <c r="AM39" i="20" a="1"/>
  <c r="AM39" i="20" s="1"/>
  <c r="AM43" i="20" a="1"/>
  <c r="AM43" i="20" s="1"/>
  <c r="AM47" i="20" a="1"/>
  <c r="AM47" i="20" s="1"/>
  <c r="AM51" i="20" a="1"/>
  <c r="AM51" i="20" s="1"/>
  <c r="AM55" i="20" a="1"/>
  <c r="AM55" i="20" s="1"/>
  <c r="AM57" i="20" a="1"/>
  <c r="AM57" i="20" s="1"/>
  <c r="AM61" i="20" a="1"/>
  <c r="AM61" i="20" s="1"/>
  <c r="AM65" i="20" a="1"/>
  <c r="AM65" i="20" s="1"/>
  <c r="AM69" i="20" a="1"/>
  <c r="AM69" i="20" s="1"/>
  <c r="AM73" i="20" a="1"/>
  <c r="AM73" i="20" s="1"/>
  <c r="AM77" i="20" a="1"/>
  <c r="AM77" i="20" s="1"/>
  <c r="AM81" i="20" a="1"/>
  <c r="AM81" i="20" s="1"/>
  <c r="AM85" i="20" a="1"/>
  <c r="AM85" i="20" s="1"/>
  <c r="AM89" i="20" a="1"/>
  <c r="AM89" i="20" s="1"/>
  <c r="AM93" i="20" a="1"/>
  <c r="AM93" i="20" s="1"/>
  <c r="AM97" i="20" a="1"/>
  <c r="AM97" i="20" s="1"/>
  <c r="AM101" i="20" a="1"/>
  <c r="AM101" i="20" s="1"/>
  <c r="AM105" i="20" a="1"/>
  <c r="AM105" i="20" s="1"/>
  <c r="AM109" i="20" a="1"/>
  <c r="AM109" i="20" s="1"/>
  <c r="AM113" i="20" a="1"/>
  <c r="AM113" i="20" s="1"/>
  <c r="AM117" i="20" a="1"/>
  <c r="AM117" i="20" s="1"/>
  <c r="AM121" i="20" a="1"/>
  <c r="AM121" i="20" s="1"/>
  <c r="AM125" i="20" a="1"/>
  <c r="AM125" i="20" s="1"/>
  <c r="AM129" i="20" a="1"/>
  <c r="AM129" i="20" s="1"/>
  <c r="AM131" i="20" a="1"/>
  <c r="AM131" i="20" s="1"/>
  <c r="AM135" i="20" a="1"/>
  <c r="AM135" i="20" s="1"/>
  <c r="AM139" i="20" a="1"/>
  <c r="AM139" i="20" s="1"/>
  <c r="AM143" i="20" a="1"/>
  <c r="AM143" i="20" s="1"/>
  <c r="AM147" i="20" a="1"/>
  <c r="AM147" i="20" s="1"/>
  <c r="AM151" i="20" a="1"/>
  <c r="AM151" i="20" s="1"/>
  <c r="AM155" i="20" a="1"/>
  <c r="AM155" i="20" s="1"/>
  <c r="AM159" i="20" a="1"/>
  <c r="AM159" i="20" s="1"/>
  <c r="AM163" i="20" a="1"/>
  <c r="AM163" i="20" s="1"/>
  <c r="AM167" i="20" a="1"/>
  <c r="AM167" i="20" s="1"/>
  <c r="AM171" i="20" a="1"/>
  <c r="AM171" i="20" s="1"/>
  <c r="AM175" i="20" a="1"/>
  <c r="AM175" i="20" s="1"/>
  <c r="AM179" i="20" a="1"/>
  <c r="AM179" i="20" s="1"/>
  <c r="AM183" i="20" a="1"/>
  <c r="AM183" i="20" s="1"/>
  <c r="AM187" i="20" a="1"/>
  <c r="AM187" i="20" s="1"/>
  <c r="AM191" i="20" a="1"/>
  <c r="AM191" i="20" s="1"/>
  <c r="AM193" i="20" a="1"/>
  <c r="AM193" i="20" s="1"/>
  <c r="AM197" i="20" a="1"/>
  <c r="AM197" i="20" s="1"/>
  <c r="AM201" i="20" a="1"/>
  <c r="AM201" i="20" s="1"/>
  <c r="AM205" i="20" a="1"/>
  <c r="AM205" i="20" s="1"/>
  <c r="AM209" i="20" a="1"/>
  <c r="AM209" i="20" s="1"/>
  <c r="AM213" i="20" a="1"/>
  <c r="AM213" i="20" s="1"/>
  <c r="AM217" i="20" a="1"/>
  <c r="AM217" i="20" s="1"/>
  <c r="AM221" i="20" a="1"/>
  <c r="AM221" i="20" s="1"/>
  <c r="AM225" i="20" a="1"/>
  <c r="AM225" i="20" s="1"/>
  <c r="AM229" i="20" a="1"/>
  <c r="AM229" i="20" s="1"/>
  <c r="AM233" i="20" a="1"/>
  <c r="AM233" i="20" s="1"/>
  <c r="AM237" i="20" a="1"/>
  <c r="AM237" i="20" s="1"/>
  <c r="AM241" i="20" a="1"/>
  <c r="AM241" i="20" s="1"/>
  <c r="AM245" i="20" a="1"/>
  <c r="AM245" i="20" s="1"/>
  <c r="AM249" i="20" a="1"/>
  <c r="AM249" i="20" s="1"/>
  <c r="AM253" i="20" a="1"/>
  <c r="AM253" i="20" s="1"/>
  <c r="AM257" i="20" a="1"/>
  <c r="AM257" i="20" s="1"/>
  <c r="AM261" i="20" a="1"/>
  <c r="AM261" i="20" s="1"/>
  <c r="AM263" i="20" a="1"/>
  <c r="AM263" i="20" s="1"/>
  <c r="AM267" i="20" a="1"/>
  <c r="AM267" i="20" s="1"/>
  <c r="AM271" i="20" a="1"/>
  <c r="AM271" i="20" s="1"/>
  <c r="AM275" i="20" a="1"/>
  <c r="AM275" i="20" s="1"/>
  <c r="AM281" i="20" a="1"/>
  <c r="AM281" i="20" s="1"/>
  <c r="AM285" i="20" a="1"/>
  <c r="AM285" i="20" s="1"/>
  <c r="AM289" i="20" a="1"/>
  <c r="AM289" i="20" s="1"/>
  <c r="AM293" i="20" a="1"/>
  <c r="AM293" i="20" s="1"/>
  <c r="AM297" i="20" a="1"/>
  <c r="AM297" i="20" s="1"/>
  <c r="AM301" i="20" a="1"/>
  <c r="AM301" i="20" s="1"/>
  <c r="AM305" i="20" a="1"/>
  <c r="AM305" i="20" s="1"/>
  <c r="AM313" i="20" a="1"/>
  <c r="AM313" i="20" s="1"/>
  <c r="AM317" i="20" a="1"/>
  <c r="AM317" i="20" s="1"/>
  <c r="AM321" i="20" a="1"/>
  <c r="AM321" i="20" s="1"/>
  <c r="AM325" i="20" a="1"/>
  <c r="AM325" i="20" s="1"/>
  <c r="AM329" i="20" a="1"/>
  <c r="AM329" i="20" s="1"/>
  <c r="AM333" i="20" a="1"/>
  <c r="AM333" i="20" s="1"/>
  <c r="AM335" i="20" a="1"/>
  <c r="AM335" i="20" s="1"/>
  <c r="AM343" i="20" a="1"/>
  <c r="AM343" i="20" s="1"/>
  <c r="AM347" i="20" a="1"/>
  <c r="AM347" i="20" s="1"/>
  <c r="AM351" i="20" a="1"/>
  <c r="AM351" i="20" s="1"/>
  <c r="AM355" i="20" a="1"/>
  <c r="AM355" i="20" s="1"/>
  <c r="AM359" i="20" a="1"/>
  <c r="AM359" i="20" s="1"/>
  <c r="AM363" i="20" a="1"/>
  <c r="AM363" i="20" s="1"/>
  <c r="AM367" i="20" a="1"/>
  <c r="AM367" i="20" s="1"/>
  <c r="AM371" i="20" a="1"/>
  <c r="AM371" i="20" s="1"/>
  <c r="AM375" i="20" a="1"/>
  <c r="AM375" i="20" s="1"/>
  <c r="AM379" i="20" a="1"/>
  <c r="AM379" i="20" s="1"/>
  <c r="AM383" i="20" a="1"/>
  <c r="AM383" i="20" s="1"/>
  <c r="AM385" i="20" a="1"/>
  <c r="AM385" i="20" s="1"/>
  <c r="AM389" i="20" a="1"/>
  <c r="AM389" i="20" s="1"/>
  <c r="AM393" i="20" a="1"/>
  <c r="AM393" i="20" s="1"/>
  <c r="AM397" i="20" a="1"/>
  <c r="AM397" i="20" s="1"/>
  <c r="AM401" i="20" a="1"/>
  <c r="AM401" i="20" s="1"/>
  <c r="AM405" i="20" a="1"/>
  <c r="AM405" i="20" s="1"/>
  <c r="AM409" i="20" a="1"/>
  <c r="AM409" i="20" s="1"/>
  <c r="AM413" i="20" a="1"/>
  <c r="AM413" i="20" s="1"/>
  <c r="AM417" i="20" a="1"/>
  <c r="AM417" i="20" s="1"/>
  <c r="AM421" i="20" a="1"/>
  <c r="AM421" i="20" s="1"/>
  <c r="AM425" i="20" a="1"/>
  <c r="AM425" i="20" s="1"/>
  <c r="AM429" i="20" a="1"/>
  <c r="AM429" i="20" s="1"/>
  <c r="AM433" i="20" a="1"/>
  <c r="AM433" i="20" s="1"/>
  <c r="AM437" i="20" a="1"/>
  <c r="AM437" i="20" s="1"/>
  <c r="AM441" i="20" a="1"/>
  <c r="AM441" i="20" s="1"/>
  <c r="AM445" i="20" a="1"/>
  <c r="AM445" i="20" s="1"/>
  <c r="AM449" i="20" a="1"/>
  <c r="AM449" i="20" s="1"/>
  <c r="AM453" i="20" a="1"/>
  <c r="AM453" i="20" s="1"/>
  <c r="AM457" i="20" a="1"/>
  <c r="AM457" i="20" s="1"/>
  <c r="AM461" i="20" a="1"/>
  <c r="AM461" i="20" s="1"/>
  <c r="AM465" i="20" a="1"/>
  <c r="AM465" i="20" s="1"/>
  <c r="AM469" i="20" a="1"/>
  <c r="AM469" i="20" s="1"/>
  <c r="AM473" i="20" a="1"/>
  <c r="AM473" i="20" s="1"/>
  <c r="AM481" i="20" a="1"/>
  <c r="AM481" i="20" s="1"/>
  <c r="AM485" i="20" a="1"/>
  <c r="AM485" i="20" s="1"/>
  <c r="AM489" i="20" a="1"/>
  <c r="AM489" i="20" s="1"/>
  <c r="AM493" i="20" a="1"/>
  <c r="AM493" i="20" s="1"/>
  <c r="AM495" i="20" a="1"/>
  <c r="AM495" i="20" s="1"/>
  <c r="AM497" i="20" a="1"/>
  <c r="AM497" i="20" s="1"/>
  <c r="AM499" i="20" a="1"/>
  <c r="AM499" i="20" s="1"/>
  <c r="AM501" i="20" a="1"/>
  <c r="AM501" i="20" s="1"/>
  <c r="AM503" i="20" a="1"/>
  <c r="AM503" i="20" s="1"/>
  <c r="AM505" i="20" a="1"/>
  <c r="AM505" i="20" s="1"/>
  <c r="AM507" i="20" a="1"/>
  <c r="AM507" i="20" s="1"/>
  <c r="AM509" i="20" a="1"/>
  <c r="AM509" i="20" s="1"/>
  <c r="AM511" i="20" a="1"/>
  <c r="AM511" i="20" s="1"/>
  <c r="AM513" i="20" a="1"/>
  <c r="AM513" i="20" s="1"/>
  <c r="AM515" i="20" a="1"/>
  <c r="AM515" i="20" s="1"/>
  <c r="AM517" i="20" a="1"/>
  <c r="AM517" i="20" s="1"/>
  <c r="AM519" i="20" a="1"/>
  <c r="AM519" i="20" s="1"/>
  <c r="AM521" i="20" a="1"/>
  <c r="AM521" i="20" s="1"/>
  <c r="AM523" i="20" a="1"/>
  <c r="AM523" i="20" s="1"/>
  <c r="AM525" i="20" a="1"/>
  <c r="AM525" i="20" s="1"/>
  <c r="AM527" i="20" a="1"/>
  <c r="AM527" i="20" s="1"/>
  <c r="AM529" i="20" a="1"/>
  <c r="AM529" i="20" s="1"/>
  <c r="AM531" i="20" a="1"/>
  <c r="AM531" i="20" s="1"/>
  <c r="AM533" i="20" a="1"/>
  <c r="AM533" i="20" s="1"/>
  <c r="AM535" i="20" a="1"/>
  <c r="AM535" i="20" s="1"/>
  <c r="AM537" i="20" a="1"/>
  <c r="AM537" i="20" s="1"/>
  <c r="AM539" i="20" a="1"/>
  <c r="AM539" i="20" s="1"/>
  <c r="AM541" i="20" a="1"/>
  <c r="AM541" i="20" s="1"/>
  <c r="AM543" i="20" a="1"/>
  <c r="AM543" i="20" s="1"/>
  <c r="AM545" i="20" a="1"/>
  <c r="AM545" i="20" s="1"/>
  <c r="AM547" i="20" a="1"/>
  <c r="AM547" i="20" s="1"/>
  <c r="AM549" i="20" a="1"/>
  <c r="AM549" i="20" s="1"/>
  <c r="AM603" i="20" a="1"/>
  <c r="AM603" i="20" s="1"/>
  <c r="AM605" i="20" a="1"/>
  <c r="AM605" i="20" s="1"/>
  <c r="AM607" i="20" a="1"/>
  <c r="AM607" i="20" s="1"/>
  <c r="AM609" i="20" a="1"/>
  <c r="AM609" i="20" s="1"/>
  <c r="AM611" i="20" a="1"/>
  <c r="AM611" i="20" s="1"/>
  <c r="AM613" i="20" a="1"/>
  <c r="AM613" i="20" s="1"/>
  <c r="AM615" i="20" a="1"/>
  <c r="AM615" i="20" s="1"/>
  <c r="AM617" i="20" a="1"/>
  <c r="AM617" i="20" s="1"/>
  <c r="AM619" i="20" a="1"/>
  <c r="AM619" i="20" s="1"/>
  <c r="AM621" i="20" a="1"/>
  <c r="AM621" i="20" s="1"/>
  <c r="AM623" i="20" a="1"/>
  <c r="AM623" i="20" s="1"/>
  <c r="AM625" i="20" a="1"/>
  <c r="AM625" i="20" s="1"/>
  <c r="AM627" i="20" a="1"/>
  <c r="AM627" i="20" s="1"/>
  <c r="AM629" i="20" a="1"/>
  <c r="AM629" i="20" s="1"/>
  <c r="AM631" i="20" a="1"/>
  <c r="AM631" i="20" s="1"/>
  <c r="AM633" i="20" a="1"/>
  <c r="AM633" i="20" s="1"/>
  <c r="AM635" i="20" a="1"/>
  <c r="AM635" i="20" s="1"/>
  <c r="AM637" i="20" a="1"/>
  <c r="AM637" i="20" s="1"/>
  <c r="AM639" i="20" a="1"/>
  <c r="AM639" i="20" s="1"/>
  <c r="AM641" i="20" a="1"/>
  <c r="AM641" i="20" s="1"/>
  <c r="AM643" i="20" a="1"/>
  <c r="AM643" i="20" s="1"/>
  <c r="AM645" i="20" a="1"/>
  <c r="AM645" i="20" s="1"/>
  <c r="AM647" i="20" a="1"/>
  <c r="AM647" i="20" s="1"/>
  <c r="AM649" i="20" a="1"/>
  <c r="AM649" i="20" s="1"/>
  <c r="AM651" i="20" a="1"/>
  <c r="AM651" i="20" s="1"/>
  <c r="AM653" i="20" a="1"/>
  <c r="AM653" i="20" s="1"/>
  <c r="AM655" i="20" a="1"/>
  <c r="AM655" i="20" s="1"/>
  <c r="AM657" i="20" a="1"/>
  <c r="AM657" i="20" s="1"/>
  <c r="AM659" i="20" a="1"/>
  <c r="AM659" i="20" s="1"/>
  <c r="AM661" i="20" a="1"/>
  <c r="AM661" i="20" s="1"/>
  <c r="AM665" i="20" a="1"/>
  <c r="AM665" i="20" s="1"/>
  <c r="AM667" i="20" a="1"/>
  <c r="AM667" i="20" s="1"/>
  <c r="AM669" i="20" a="1"/>
  <c r="AM669" i="20" s="1"/>
  <c r="AM671" i="20" a="1"/>
  <c r="AM671" i="20" s="1"/>
  <c r="AM673" i="20" a="1"/>
  <c r="AM673" i="20" s="1"/>
  <c r="AM735" i="20" a="1"/>
  <c r="AM735" i="20" s="1"/>
  <c r="AM737" i="20" a="1"/>
  <c r="AM737" i="20" s="1"/>
  <c r="AM739" i="20" a="1"/>
  <c r="AM739" i="20" s="1"/>
  <c r="AM741" i="20" a="1"/>
  <c r="AM741" i="20" s="1"/>
  <c r="AM743" i="20" a="1"/>
  <c r="AM743" i="20" s="1"/>
  <c r="AM745" i="20" a="1"/>
  <c r="AM745" i="20" s="1"/>
  <c r="AM747" i="20" a="1"/>
  <c r="AM747" i="20" s="1"/>
  <c r="AM749" i="20" a="1"/>
  <c r="AM749" i="20" s="1"/>
  <c r="AM751" i="20" a="1"/>
  <c r="AM751" i="20" s="1"/>
  <c r="AM753" i="20" a="1"/>
  <c r="AM753" i="20" s="1"/>
  <c r="AM755" i="20" a="1"/>
  <c r="AM755" i="20" s="1"/>
  <c r="AM757" i="20" a="1"/>
  <c r="AM757" i="20" s="1"/>
  <c r="AM759" i="20" a="1"/>
  <c r="AM759" i="20" s="1"/>
  <c r="AM761" i="20" a="1"/>
  <c r="AM761" i="20" s="1"/>
  <c r="AM763" i="20" a="1"/>
  <c r="AM763" i="20" s="1"/>
  <c r="AM765" i="20" a="1"/>
  <c r="AM765" i="20" s="1"/>
  <c r="AM767" i="20" a="1"/>
  <c r="AM767" i="20" s="1"/>
  <c r="AM769" i="20" a="1"/>
  <c r="AM769" i="20" s="1"/>
  <c r="AM771" i="20" a="1"/>
  <c r="AM771" i="20" s="1"/>
  <c r="AM773" i="20" a="1"/>
  <c r="AM773" i="20" s="1"/>
  <c r="AM775" i="20" a="1"/>
  <c r="AM775" i="20" s="1"/>
  <c r="AM777" i="20" a="1"/>
  <c r="AM777" i="20" s="1"/>
  <c r="AM779" i="20" a="1"/>
  <c r="AM779" i="20" s="1"/>
  <c r="AM781" i="20" a="1"/>
  <c r="AM781" i="20" s="1"/>
  <c r="AM853" i="20" a="1"/>
  <c r="AM853" i="20" s="1"/>
  <c r="AM855" i="20" a="1"/>
  <c r="AM855" i="20" s="1"/>
  <c r="AM857" i="20" a="1"/>
  <c r="AM857" i="20" s="1"/>
  <c r="AM859" i="20" a="1"/>
  <c r="AM859" i="20" s="1"/>
  <c r="AM861" i="20" a="1"/>
  <c r="AM861" i="20" s="1"/>
  <c r="AM863" i="20" a="1"/>
  <c r="AM863" i="20" s="1"/>
  <c r="AM865" i="20" a="1"/>
  <c r="AM865" i="20" s="1"/>
  <c r="AM867" i="20" a="1"/>
  <c r="AM867" i="20" s="1"/>
  <c r="AM869" i="20" a="1"/>
  <c r="AM869" i="20" s="1"/>
  <c r="AM871" i="20" a="1"/>
  <c r="AM871" i="20" s="1"/>
  <c r="AM873" i="20" a="1"/>
  <c r="AM873" i="20" s="1"/>
  <c r="AM875" i="20" a="1"/>
  <c r="AM875" i="20" s="1"/>
  <c r="AM877" i="20" a="1"/>
  <c r="AM877" i="20" s="1"/>
  <c r="AM881" i="20" a="1"/>
  <c r="AM881" i="20" s="1"/>
  <c r="AP377" i="20" l="1"/>
  <c r="AQ585" i="20" l="1"/>
  <c r="AP585" i="20" l="1" a="1"/>
  <c r="AP585" i="20" s="1"/>
  <c r="AT585" i="20" a="1"/>
  <c r="AT585" i="20" s="1"/>
  <c r="AQ471" i="20"/>
  <c r="AQ851" i="20"/>
  <c r="AQ847" i="20"/>
  <c r="AQ845" i="20"/>
  <c r="AQ843" i="20"/>
  <c r="AQ841" i="20"/>
  <c r="AQ839" i="20"/>
  <c r="AQ837" i="20"/>
  <c r="AQ835" i="20"/>
  <c r="AQ833" i="20"/>
  <c r="AQ829" i="20"/>
  <c r="AQ827" i="20"/>
  <c r="AQ825" i="20"/>
  <c r="AQ823" i="20"/>
  <c r="AQ819" i="20"/>
  <c r="AQ817" i="20"/>
  <c r="AQ815" i="20"/>
  <c r="AQ813" i="20"/>
  <c r="AQ811" i="20"/>
  <c r="AQ809" i="20"/>
  <c r="AQ807" i="20"/>
  <c r="AQ805" i="20"/>
  <c r="AQ803" i="20"/>
  <c r="AQ801" i="20"/>
  <c r="AQ799" i="20"/>
  <c r="AQ797" i="20"/>
  <c r="AQ795" i="20"/>
  <c r="AQ793" i="20"/>
  <c r="AQ791" i="20"/>
  <c r="AQ789" i="20"/>
  <c r="AQ787" i="20"/>
  <c r="AQ785" i="20"/>
  <c r="AQ783" i="20"/>
  <c r="AP783" i="20" l="1" a="1"/>
  <c r="AP783" i="20" s="1"/>
  <c r="AT783" i="20" a="1"/>
  <c r="AT783" i="20" s="1"/>
  <c r="AP785" i="20" a="1"/>
  <c r="AP785" i="20" s="1"/>
  <c r="AT785" i="20" a="1"/>
  <c r="AT785" i="20" s="1"/>
  <c r="AP787" i="20" a="1"/>
  <c r="AP787" i="20" s="1"/>
  <c r="AT787" i="20" a="1"/>
  <c r="AT787" i="20" s="1"/>
  <c r="AP789" i="20" a="1"/>
  <c r="AP789" i="20" s="1"/>
  <c r="AT789" i="20" a="1"/>
  <c r="AT789" i="20" s="1"/>
  <c r="AP791" i="20" a="1"/>
  <c r="AP791" i="20" s="1"/>
  <c r="AT791" i="20" a="1"/>
  <c r="AT791" i="20" s="1"/>
  <c r="AP793" i="20" a="1"/>
  <c r="AP793" i="20" s="1"/>
  <c r="AT793" i="20" a="1"/>
  <c r="AT793" i="20" s="1"/>
  <c r="AP795" i="20" a="1"/>
  <c r="AP795" i="20" s="1"/>
  <c r="AT795" i="20" a="1"/>
  <c r="AT795" i="20" s="1"/>
  <c r="AP797" i="20" a="1"/>
  <c r="AP797" i="20" s="1"/>
  <c r="AT797" i="20" a="1"/>
  <c r="AT797" i="20" s="1"/>
  <c r="AP799" i="20" a="1"/>
  <c r="AP799" i="20" s="1"/>
  <c r="AT799" i="20" a="1"/>
  <c r="AT799" i="20" s="1"/>
  <c r="AP801" i="20" a="1"/>
  <c r="AP801" i="20" s="1"/>
  <c r="AT801" i="20" a="1"/>
  <c r="AT801" i="20" s="1"/>
  <c r="AP803" i="20" a="1"/>
  <c r="AP803" i="20" s="1"/>
  <c r="AT803" i="20" a="1"/>
  <c r="AT803" i="20" s="1"/>
  <c r="AP805" i="20" a="1"/>
  <c r="AP805" i="20" s="1"/>
  <c r="AT805" i="20" a="1"/>
  <c r="AT805" i="20" s="1"/>
  <c r="AP807" i="20" a="1"/>
  <c r="AP807" i="20" s="1"/>
  <c r="AT807" i="20" a="1"/>
  <c r="AT807" i="20" s="1"/>
  <c r="AP809" i="20" a="1"/>
  <c r="AP809" i="20" s="1"/>
  <c r="AT809" i="20" a="1"/>
  <c r="AT809" i="20" s="1"/>
  <c r="AP811" i="20" a="1"/>
  <c r="AP811" i="20" s="1"/>
  <c r="AT811" i="20" a="1"/>
  <c r="AT811" i="20" s="1"/>
  <c r="AP813" i="20" a="1"/>
  <c r="AP813" i="20" s="1"/>
  <c r="AT813" i="20" a="1"/>
  <c r="AT813" i="20" s="1"/>
  <c r="AP815" i="20" a="1"/>
  <c r="AP815" i="20" s="1"/>
  <c r="AT815" i="20" a="1"/>
  <c r="AT815" i="20" s="1"/>
  <c r="AP817" i="20" a="1"/>
  <c r="AP817" i="20" s="1"/>
  <c r="AT817" i="20" a="1"/>
  <c r="AT817" i="20" s="1"/>
  <c r="AP819" i="20" a="1"/>
  <c r="AP819" i="20" s="1"/>
  <c r="AT819" i="20" a="1"/>
  <c r="AT819" i="20" s="1"/>
  <c r="AP823" i="20" a="1"/>
  <c r="AP823" i="20" s="1"/>
  <c r="AT823" i="20" a="1"/>
  <c r="AT823" i="20" s="1"/>
  <c r="AP825" i="20" a="1"/>
  <c r="AP825" i="20" s="1"/>
  <c r="AT825" i="20" a="1"/>
  <c r="AT825" i="20" s="1"/>
  <c r="AP827" i="20" a="1"/>
  <c r="AP827" i="20" s="1"/>
  <c r="AT827" i="20" a="1"/>
  <c r="AT827" i="20" s="1"/>
  <c r="AP829" i="20" a="1"/>
  <c r="AP829" i="20" s="1"/>
  <c r="AT829" i="20" a="1"/>
  <c r="AT829" i="20" s="1"/>
  <c r="AP833" i="20" a="1"/>
  <c r="AP833" i="20" s="1"/>
  <c r="AT833" i="20" a="1"/>
  <c r="AT833" i="20" s="1"/>
  <c r="AP835" i="20" a="1"/>
  <c r="AP835" i="20" s="1"/>
  <c r="AT835" i="20" a="1"/>
  <c r="AT835" i="20" s="1"/>
  <c r="AP837" i="20" a="1"/>
  <c r="AP837" i="20" s="1"/>
  <c r="AT837" i="20" a="1"/>
  <c r="AT837" i="20" s="1"/>
  <c r="AP839" i="20" a="1"/>
  <c r="AP839" i="20" s="1"/>
  <c r="AT839" i="20" a="1"/>
  <c r="AT839" i="20" s="1"/>
  <c r="AP841" i="20" a="1"/>
  <c r="AP841" i="20" s="1"/>
  <c r="AT841" i="20" a="1"/>
  <c r="AT841" i="20" s="1"/>
  <c r="AP843" i="20" a="1"/>
  <c r="AP843" i="20" s="1"/>
  <c r="AT843" i="20" a="1"/>
  <c r="AT843" i="20" s="1"/>
  <c r="AP845" i="20" a="1"/>
  <c r="AP845" i="20" s="1"/>
  <c r="AT845" i="20" a="1"/>
  <c r="AT845" i="20" s="1"/>
  <c r="AP847" i="20" a="1"/>
  <c r="AP847" i="20" s="1"/>
  <c r="AT847" i="20" a="1"/>
  <c r="AT847" i="20" s="1"/>
  <c r="AP851" i="20" a="1"/>
  <c r="AP851" i="20" s="1"/>
  <c r="AT851" i="20" a="1"/>
  <c r="AT851" i="20" s="1"/>
  <c r="AP471" i="20" a="1"/>
  <c r="AP471" i="20" s="1"/>
  <c r="AT471" i="20" a="1"/>
  <c r="AT471" i="20" s="1"/>
  <c r="AQ695" i="20"/>
  <c r="AQ731" i="20"/>
  <c r="AQ729" i="20"/>
  <c r="AQ727" i="20"/>
  <c r="AQ725" i="20"/>
  <c r="AQ723" i="20"/>
  <c r="AQ721" i="20"/>
  <c r="AQ719" i="20"/>
  <c r="AQ717" i="20"/>
  <c r="AQ715" i="20"/>
  <c r="AQ713" i="20"/>
  <c r="AQ711" i="20"/>
  <c r="AQ709" i="20"/>
  <c r="AQ707" i="20"/>
  <c r="AQ705" i="20"/>
  <c r="AQ703" i="20"/>
  <c r="AQ701" i="20"/>
  <c r="AQ699" i="20"/>
  <c r="AQ697" i="20"/>
  <c r="AQ693" i="20"/>
  <c r="AQ691" i="20"/>
  <c r="AQ689" i="20"/>
  <c r="AQ687" i="20"/>
  <c r="AQ685" i="20"/>
  <c r="AQ683" i="20"/>
  <c r="AQ681" i="20"/>
  <c r="AQ679" i="20"/>
  <c r="AQ677" i="20"/>
  <c r="AQ675" i="20"/>
  <c r="G125" i="27" l="1"/>
  <c r="AP675" i="20" a="1"/>
  <c r="AP675" i="20" s="1"/>
  <c r="AT675" i="20" a="1"/>
  <c r="AT675" i="20" s="1"/>
  <c r="AP677" i="20" a="1"/>
  <c r="AP677" i="20" s="1"/>
  <c r="AT677" i="20" a="1"/>
  <c r="AT677" i="20" s="1"/>
  <c r="AP679" i="20" a="1"/>
  <c r="AP679" i="20" s="1"/>
  <c r="AT679" i="20" a="1"/>
  <c r="AT679" i="20" s="1"/>
  <c r="AP681" i="20" a="1"/>
  <c r="AP681" i="20" s="1"/>
  <c r="AT681" i="20" a="1"/>
  <c r="AT681" i="20" s="1"/>
  <c r="AP683" i="20" a="1"/>
  <c r="AP683" i="20" s="1"/>
  <c r="AT683" i="20" a="1"/>
  <c r="AT683" i="20" s="1"/>
  <c r="AP685" i="20" a="1"/>
  <c r="AP685" i="20" s="1"/>
  <c r="AT685" i="20" a="1"/>
  <c r="AT685" i="20" s="1"/>
  <c r="AP687" i="20" a="1"/>
  <c r="AP687" i="20" s="1"/>
  <c r="AT687" i="20" a="1"/>
  <c r="AT687" i="20" s="1"/>
  <c r="AP689" i="20" a="1"/>
  <c r="AP689" i="20" s="1"/>
  <c r="AT689" i="20" a="1"/>
  <c r="AT689" i="20" s="1"/>
  <c r="AP691" i="20" a="1"/>
  <c r="AP691" i="20" s="1"/>
  <c r="AT691" i="20" a="1"/>
  <c r="AT691" i="20" s="1"/>
  <c r="AP693" i="20" a="1"/>
  <c r="AP693" i="20" s="1"/>
  <c r="AT693" i="20" a="1"/>
  <c r="AT693" i="20" s="1"/>
  <c r="AP697" i="20" a="1"/>
  <c r="AP697" i="20" s="1"/>
  <c r="AT697" i="20" a="1"/>
  <c r="AT697" i="20" s="1"/>
  <c r="AP699" i="20" a="1"/>
  <c r="AP699" i="20" s="1"/>
  <c r="AT699" i="20" a="1"/>
  <c r="AT699" i="20" s="1"/>
  <c r="AP701" i="20" a="1"/>
  <c r="AP701" i="20" s="1"/>
  <c r="AT701" i="20" a="1"/>
  <c r="AT701" i="20" s="1"/>
  <c r="AP703" i="20" a="1"/>
  <c r="AP703" i="20" s="1"/>
  <c r="AT703" i="20" a="1"/>
  <c r="AT703" i="20" s="1"/>
  <c r="AP705" i="20" a="1"/>
  <c r="AP705" i="20" s="1"/>
  <c r="AT705" i="20" a="1"/>
  <c r="AT705" i="20" s="1"/>
  <c r="AP707" i="20" a="1"/>
  <c r="AP707" i="20" s="1"/>
  <c r="AT707" i="20" a="1"/>
  <c r="AT707" i="20" s="1"/>
  <c r="AP709" i="20" a="1"/>
  <c r="AP709" i="20" s="1"/>
  <c r="AT709" i="20" a="1"/>
  <c r="AT709" i="20" s="1"/>
  <c r="AP711" i="20" a="1"/>
  <c r="AP711" i="20" s="1"/>
  <c r="AT711" i="20" a="1"/>
  <c r="AT711" i="20" s="1"/>
  <c r="AP713" i="20" a="1"/>
  <c r="AP713" i="20" s="1"/>
  <c r="AT713" i="20" a="1"/>
  <c r="AT713" i="20" s="1"/>
  <c r="AP715" i="20" a="1"/>
  <c r="AP715" i="20" s="1"/>
  <c r="AT715" i="20" a="1"/>
  <c r="AT715" i="20" s="1"/>
  <c r="AP717" i="20" a="1"/>
  <c r="AP717" i="20" s="1"/>
  <c r="AT717" i="20" a="1"/>
  <c r="AT717" i="20" s="1"/>
  <c r="AP719" i="20" a="1"/>
  <c r="AP719" i="20" s="1"/>
  <c r="AT719" i="20" a="1"/>
  <c r="AT719" i="20" s="1"/>
  <c r="AP721" i="20" a="1"/>
  <c r="AP721" i="20" s="1"/>
  <c r="AT721" i="20" a="1"/>
  <c r="AT721" i="20" s="1"/>
  <c r="AP723" i="20" a="1"/>
  <c r="AP723" i="20" s="1"/>
  <c r="AT723" i="20" a="1"/>
  <c r="AT723" i="20" s="1"/>
  <c r="AP725" i="20" a="1"/>
  <c r="AP725" i="20" s="1"/>
  <c r="AT725" i="20" a="1"/>
  <c r="AT725" i="20" s="1"/>
  <c r="AP727" i="20" a="1"/>
  <c r="AP727" i="20" s="1"/>
  <c r="AT727" i="20" a="1"/>
  <c r="AT727" i="20" s="1"/>
  <c r="AP729" i="20" a="1"/>
  <c r="AP729" i="20" s="1"/>
  <c r="AT729" i="20" a="1"/>
  <c r="AT729" i="20" s="1"/>
  <c r="AP731" i="20" a="1"/>
  <c r="AP731" i="20" s="1"/>
  <c r="AT731" i="20" a="1"/>
  <c r="AT731" i="20" s="1"/>
  <c r="AP695" i="20" a="1"/>
  <c r="AP695" i="20" s="1"/>
  <c r="AT695" i="20" a="1"/>
  <c r="AT695" i="20" s="1"/>
  <c r="AQ587" i="20"/>
  <c r="AQ601" i="20"/>
  <c r="AQ599" i="20"/>
  <c r="AQ597" i="20"/>
  <c r="AQ595" i="20"/>
  <c r="AQ593" i="20"/>
  <c r="AQ591" i="20"/>
  <c r="AQ589" i="20"/>
  <c r="AQ583" i="20"/>
  <c r="AQ581" i="20"/>
  <c r="AQ579" i="20"/>
  <c r="AQ577" i="20"/>
  <c r="AQ575" i="20"/>
  <c r="AQ573" i="20"/>
  <c r="AQ571" i="20"/>
  <c r="AQ569" i="20"/>
  <c r="AQ567" i="20"/>
  <c r="AQ561" i="20"/>
  <c r="AQ559" i="20"/>
  <c r="AQ557" i="20"/>
  <c r="AQ555" i="20"/>
  <c r="AQ553" i="20"/>
  <c r="AQ551" i="20"/>
  <c r="G123" i="27" l="1"/>
  <c r="AP551" i="20" a="1"/>
  <c r="AP551" i="20" s="1"/>
  <c r="AT551" i="20" a="1"/>
  <c r="AT551" i="20" s="1"/>
  <c r="AP553" i="20" a="1"/>
  <c r="AP553" i="20" s="1"/>
  <c r="AT553" i="20" a="1"/>
  <c r="AT553" i="20" s="1"/>
  <c r="AP555" i="20" a="1"/>
  <c r="AP555" i="20" s="1"/>
  <c r="AT555" i="20" a="1"/>
  <c r="AT555" i="20" s="1"/>
  <c r="AP557" i="20" a="1"/>
  <c r="AP557" i="20" s="1"/>
  <c r="AT557" i="20" a="1"/>
  <c r="AT557" i="20" s="1"/>
  <c r="AP559" i="20" a="1"/>
  <c r="AP559" i="20" s="1"/>
  <c r="AT559" i="20" a="1"/>
  <c r="AT559" i="20" s="1"/>
  <c r="AP561" i="20" a="1"/>
  <c r="AP561" i="20" s="1"/>
  <c r="AT561" i="20" a="1"/>
  <c r="AT561" i="20" s="1"/>
  <c r="AP567" i="20" a="1"/>
  <c r="AP567" i="20" s="1"/>
  <c r="AT567" i="20" a="1"/>
  <c r="AT567" i="20" s="1"/>
  <c r="AP569" i="20" a="1"/>
  <c r="AP569" i="20" s="1"/>
  <c r="AT569" i="20" a="1"/>
  <c r="AT569" i="20" s="1"/>
  <c r="AP571" i="20" a="1"/>
  <c r="AP571" i="20" s="1"/>
  <c r="AT571" i="20" a="1"/>
  <c r="AT571" i="20" s="1"/>
  <c r="AP573" i="20" a="1"/>
  <c r="AP573" i="20" s="1"/>
  <c r="AT573" i="20" a="1"/>
  <c r="AT573" i="20" s="1"/>
  <c r="AP575" i="20" a="1"/>
  <c r="AP575" i="20" s="1"/>
  <c r="AT575" i="20" a="1"/>
  <c r="AT575" i="20" s="1"/>
  <c r="AP577" i="20" a="1"/>
  <c r="AP577" i="20" s="1"/>
  <c r="AT577" i="20" a="1"/>
  <c r="AT577" i="20" s="1"/>
  <c r="AP579" i="20" a="1"/>
  <c r="AP579" i="20" s="1"/>
  <c r="AT579" i="20" a="1"/>
  <c r="AT579" i="20" s="1"/>
  <c r="AP581" i="20" a="1"/>
  <c r="AP581" i="20" s="1"/>
  <c r="AT581" i="20" a="1"/>
  <c r="AT581" i="20" s="1"/>
  <c r="AP583" i="20" a="1"/>
  <c r="AP583" i="20" s="1"/>
  <c r="AT583" i="20" a="1"/>
  <c r="AT583" i="20" s="1"/>
  <c r="AP589" i="20" a="1"/>
  <c r="AP589" i="20" s="1"/>
  <c r="AT589" i="20" a="1"/>
  <c r="AT589" i="20" s="1"/>
  <c r="AP591" i="20" a="1"/>
  <c r="AP591" i="20" s="1"/>
  <c r="AT591" i="20" a="1"/>
  <c r="AT591" i="20" s="1"/>
  <c r="AP593" i="20" a="1"/>
  <c r="AP593" i="20" s="1"/>
  <c r="AT593" i="20" a="1"/>
  <c r="AT593" i="20" s="1"/>
  <c r="AP595" i="20" a="1"/>
  <c r="AP595" i="20" s="1"/>
  <c r="AT595" i="20" a="1"/>
  <c r="AT595" i="20" s="1"/>
  <c r="AP597" i="20" a="1"/>
  <c r="AP597" i="20" s="1"/>
  <c r="AT597" i="20" a="1"/>
  <c r="AT597" i="20" s="1"/>
  <c r="AP599" i="20" a="1"/>
  <c r="AP599" i="20" s="1"/>
  <c r="AT599" i="20" a="1"/>
  <c r="AT599" i="20" s="1"/>
  <c r="AP601" i="20" a="1"/>
  <c r="AP601" i="20" s="1"/>
  <c r="AT601" i="20" a="1"/>
  <c r="AT601" i="20" s="1"/>
  <c r="AP587" i="20" a="1"/>
  <c r="AP587" i="20" s="1"/>
  <c r="AT587" i="20" a="1"/>
  <c r="AT587" i="20" s="1"/>
  <c r="AO631" i="20" a="1"/>
  <c r="AO631" i="20" s="1"/>
  <c r="G119" i="27" l="1"/>
  <c r="AO657" i="20" a="1"/>
  <c r="AO657" i="20" s="1"/>
  <c r="AO509" i="20" a="1"/>
  <c r="AO509" i="20" s="1"/>
  <c r="AO535" i="20" l="1" a="1"/>
  <c r="AO535" i="20" s="1"/>
  <c r="AQ491" i="20" l="1"/>
  <c r="AQ487" i="20"/>
  <c r="AQ483" i="20"/>
  <c r="AQ479" i="20"/>
  <c r="AQ475" i="20"/>
  <c r="AQ467" i="20"/>
  <c r="AQ463" i="20"/>
  <c r="AQ459" i="20"/>
  <c r="AP459" i="20" s="1" a="1"/>
  <c r="AP459" i="20" s="1"/>
  <c r="AQ455" i="20"/>
  <c r="AQ451" i="20"/>
  <c r="AQ447" i="20"/>
  <c r="AP447" i="20" s="1" a="1"/>
  <c r="AP447" i="20" s="1"/>
  <c r="AQ443" i="20"/>
  <c r="AQ439" i="20"/>
  <c r="AQ435" i="20"/>
  <c r="AQ427" i="20"/>
  <c r="AQ419" i="20"/>
  <c r="AQ415" i="20"/>
  <c r="AQ411" i="20"/>
  <c r="AQ407" i="20"/>
  <c r="AQ403" i="20"/>
  <c r="AQ399" i="20"/>
  <c r="AQ395" i="20"/>
  <c r="AP395" i="20" l="1" a="1"/>
  <c r="AP395" i="20" s="1"/>
  <c r="AT395" i="20" a="1"/>
  <c r="AT395" i="20" s="1"/>
  <c r="AP399" i="20" a="1"/>
  <c r="AP399" i="20" s="1"/>
  <c r="AT399" i="20" a="1"/>
  <c r="AT399" i="20" s="1"/>
  <c r="AP403" i="20" a="1"/>
  <c r="AP403" i="20" s="1"/>
  <c r="AT403" i="20" a="1"/>
  <c r="AT403" i="20" s="1"/>
  <c r="AP407" i="20" a="1"/>
  <c r="AP407" i="20" s="1"/>
  <c r="AT407" i="20" a="1"/>
  <c r="AT407" i="20" s="1"/>
  <c r="AP411" i="20" a="1"/>
  <c r="AP411" i="20" s="1"/>
  <c r="AT411" i="20" a="1"/>
  <c r="AT411" i="20" s="1"/>
  <c r="AP415" i="20" a="1"/>
  <c r="AP415" i="20" s="1"/>
  <c r="AT415" i="20" a="1"/>
  <c r="AT415" i="20" s="1"/>
  <c r="AP419" i="20" a="1"/>
  <c r="AP419" i="20" s="1"/>
  <c r="AT419" i="20" a="1"/>
  <c r="AT419" i="20" s="1"/>
  <c r="AP427" i="20" a="1"/>
  <c r="AP427" i="20" s="1"/>
  <c r="AT427" i="20" a="1"/>
  <c r="AT427" i="20" s="1"/>
  <c r="AP435" i="20" a="1"/>
  <c r="AP435" i="20" s="1"/>
  <c r="AT435" i="20" a="1"/>
  <c r="AT435" i="20" s="1"/>
  <c r="AP439" i="20" a="1"/>
  <c r="AP439" i="20" s="1"/>
  <c r="AT439" i="20" a="1"/>
  <c r="AT439" i="20" s="1"/>
  <c r="AP443" i="20" a="1"/>
  <c r="AP443" i="20" s="1"/>
  <c r="AT443" i="20" a="1"/>
  <c r="AT443" i="20" s="1"/>
  <c r="AP451" i="20" a="1"/>
  <c r="AP451" i="20" s="1"/>
  <c r="AT451" i="20" a="1"/>
  <c r="AT451" i="20" s="1"/>
  <c r="AP455" i="20" a="1"/>
  <c r="AP455" i="20" s="1"/>
  <c r="AT455" i="20" a="1"/>
  <c r="AT455" i="20" s="1"/>
  <c r="AP463" i="20" a="1"/>
  <c r="AP463" i="20" s="1"/>
  <c r="AT463" i="20" a="1"/>
  <c r="AT463" i="20" s="1"/>
  <c r="AP467" i="20" a="1"/>
  <c r="AP467" i="20" s="1"/>
  <c r="AT467" i="20" a="1"/>
  <c r="AT467" i="20" s="1"/>
  <c r="AP475" i="20" a="1"/>
  <c r="AP475" i="20" s="1"/>
  <c r="AT475" i="20" a="1"/>
  <c r="AT475" i="20" s="1"/>
  <c r="AP479" i="20" a="1"/>
  <c r="AP479" i="20" s="1"/>
  <c r="AT479" i="20" a="1"/>
  <c r="AT479" i="20" s="1"/>
  <c r="AP483" i="20" a="1"/>
  <c r="AP483" i="20" s="1"/>
  <c r="AT483" i="20" a="1"/>
  <c r="AT483" i="20" s="1"/>
  <c r="AP487" i="20" a="1"/>
  <c r="AP487" i="20" s="1"/>
  <c r="AT487" i="20" a="1"/>
  <c r="AT487" i="20" s="1"/>
  <c r="AP491" i="20" a="1"/>
  <c r="AP491" i="20" s="1"/>
  <c r="AT491" i="20" a="1"/>
  <c r="AT491" i="20" s="1"/>
  <c r="AQ391" i="20"/>
  <c r="AP391" i="20" l="1" a="1"/>
  <c r="AP391" i="20" s="1"/>
  <c r="AT391" i="20" a="1"/>
  <c r="AT391" i="20" s="1"/>
  <c r="AO429" i="20" l="1" a="1"/>
  <c r="AO429" i="20" s="1"/>
  <c r="AP431" i="20" a="1"/>
  <c r="AP431" i="20" s="1"/>
  <c r="G115" i="27" s="1"/>
  <c r="AQ349" i="20" l="1"/>
  <c r="AQ381" i="20"/>
  <c r="AQ377" i="20"/>
  <c r="AT377" i="20" s="1" a="1"/>
  <c r="AT377" i="20" s="1"/>
  <c r="AQ373" i="20"/>
  <c r="AQ369" i="20"/>
  <c r="AQ365" i="20"/>
  <c r="AQ361" i="20"/>
  <c r="AQ357" i="20"/>
  <c r="AQ353" i="20"/>
  <c r="AQ345" i="20"/>
  <c r="AQ341" i="20"/>
  <c r="AP341" i="20" s="1" a="1"/>
  <c r="AP341" i="20" s="1"/>
  <c r="AQ337" i="20"/>
  <c r="AQ327" i="20"/>
  <c r="AQ323" i="20"/>
  <c r="AQ315" i="20"/>
  <c r="AQ311" i="20"/>
  <c r="AQ307" i="20"/>
  <c r="AQ303" i="20"/>
  <c r="AP303" i="20" l="1" a="1"/>
  <c r="AP303" i="20" s="1"/>
  <c r="AT303" i="20" a="1"/>
  <c r="AT303" i="20" s="1"/>
  <c r="AP307" i="20" a="1"/>
  <c r="AP307" i="20" s="1"/>
  <c r="AT307" i="20" a="1"/>
  <c r="AT307" i="20" s="1"/>
  <c r="AP311" i="20" a="1"/>
  <c r="AP311" i="20" s="1"/>
  <c r="AT311" i="20" a="1"/>
  <c r="AT311" i="20" s="1"/>
  <c r="AP315" i="20" a="1"/>
  <c r="AP315" i="20" s="1"/>
  <c r="AT315" i="20" a="1"/>
  <c r="AT315" i="20" s="1"/>
  <c r="AP323" i="20" a="1"/>
  <c r="AP323" i="20" s="1"/>
  <c r="AT323" i="20" a="1"/>
  <c r="AT323" i="20" s="1"/>
  <c r="AP327" i="20" a="1"/>
  <c r="AP327" i="20" s="1"/>
  <c r="AT327" i="20" a="1"/>
  <c r="AT327" i="20" s="1"/>
  <c r="AP337" i="20" a="1"/>
  <c r="AP337" i="20" s="1"/>
  <c r="AT337" i="20" a="1"/>
  <c r="AT337" i="20" s="1"/>
  <c r="AP345" i="20" a="1"/>
  <c r="AP345" i="20" s="1"/>
  <c r="AT345" i="20" a="1"/>
  <c r="AT345" i="20" s="1"/>
  <c r="AP353" i="20" a="1"/>
  <c r="AP353" i="20" s="1"/>
  <c r="AT353" i="20" a="1"/>
  <c r="AT353" i="20" s="1"/>
  <c r="AP357" i="20" a="1"/>
  <c r="AP357" i="20" s="1"/>
  <c r="AT357" i="20" a="1"/>
  <c r="AT357" i="20" s="1"/>
  <c r="AP361" i="20" a="1"/>
  <c r="AP361" i="20" s="1"/>
  <c r="AT361" i="20" a="1"/>
  <c r="AT361" i="20" s="1"/>
  <c r="AP365" i="20" a="1"/>
  <c r="AP365" i="20" s="1"/>
  <c r="AT365" i="20" a="1"/>
  <c r="AT365" i="20" s="1"/>
  <c r="AP369" i="20" a="1"/>
  <c r="AP369" i="20" s="1"/>
  <c r="AT369" i="20" a="1"/>
  <c r="AT369" i="20" s="1"/>
  <c r="AP373" i="20" a="1"/>
  <c r="AP373" i="20" s="1"/>
  <c r="AT373" i="20" a="1"/>
  <c r="AT373" i="20" s="1"/>
  <c r="AP381" i="20" a="1"/>
  <c r="AP381" i="20" s="1"/>
  <c r="AT381" i="20" a="1"/>
  <c r="AT381" i="20" s="1"/>
  <c r="AP349" i="20" a="1"/>
  <c r="AP349" i="20" s="1"/>
  <c r="AT349" i="20" a="1"/>
  <c r="AT349" i="20" s="1"/>
  <c r="AO363" i="20" a="1"/>
  <c r="AO363" i="20" s="1"/>
  <c r="G111" i="27" l="1"/>
  <c r="AO385" i="20" a="1"/>
  <c r="AO385" i="20" s="1"/>
  <c r="AP387" i="20" a="1"/>
  <c r="AP387" i="20" s="1"/>
  <c r="AQ283" i="20" l="1"/>
  <c r="AQ195" i="20"/>
  <c r="AQ133" i="20"/>
  <c r="AP133" i="20" l="1" a="1"/>
  <c r="AP133" i="20" s="1"/>
  <c r="AT133" i="20" a="1"/>
  <c r="AT133" i="20" s="1"/>
  <c r="AP195" i="20" a="1"/>
  <c r="AP195" i="20" s="1"/>
  <c r="AT195" i="20" a="1"/>
  <c r="AT195" i="20" s="1"/>
  <c r="AP283" i="20" a="1"/>
  <c r="AP283" i="20" s="1"/>
  <c r="AT283" i="20" a="1"/>
  <c r="AT283" i="20" s="1"/>
  <c r="AQ299" i="20"/>
  <c r="AQ295" i="20"/>
  <c r="AQ291" i="20"/>
  <c r="AQ287" i="20"/>
  <c r="AQ277" i="20"/>
  <c r="AT277" i="20" s="1" a="1"/>
  <c r="AT277" i="20" s="1"/>
  <c r="AQ273" i="20"/>
  <c r="AM273" i="20" s="1" a="1"/>
  <c r="AM273" i="20" s="1"/>
  <c r="AQ269" i="20"/>
  <c r="AQ255" i="20"/>
  <c r="AQ251" i="20"/>
  <c r="AQ247" i="20"/>
  <c r="AQ243" i="20"/>
  <c r="AP243" i="20" l="1" a="1"/>
  <c r="AP243" i="20" s="1"/>
  <c r="AT243" i="20" a="1"/>
  <c r="AT243" i="20" s="1"/>
  <c r="AP247" i="20" a="1"/>
  <c r="AP247" i="20" s="1"/>
  <c r="AT247" i="20" a="1"/>
  <c r="AT247" i="20" s="1"/>
  <c r="AP251" i="20" a="1"/>
  <c r="AP251" i="20" s="1"/>
  <c r="AT251" i="20" a="1"/>
  <c r="AT251" i="20" s="1"/>
  <c r="AP255" i="20" a="1"/>
  <c r="AP255" i="20" s="1"/>
  <c r="AT255" i="20" a="1"/>
  <c r="AT255" i="20" s="1"/>
  <c r="AP269" i="20" a="1"/>
  <c r="AP269" i="20" s="1"/>
  <c r="AT269" i="20" a="1"/>
  <c r="AT269" i="20" s="1"/>
  <c r="AP287" i="20" a="1"/>
  <c r="AP287" i="20" s="1"/>
  <c r="AT287" i="20" a="1"/>
  <c r="AT287" i="20" s="1"/>
  <c r="AP291" i="20" a="1"/>
  <c r="AP291" i="20" s="1"/>
  <c r="AT291" i="20" a="1"/>
  <c r="AT291" i="20" s="1"/>
  <c r="AP295" i="20" a="1"/>
  <c r="AP295" i="20" s="1"/>
  <c r="AT295" i="20" a="1"/>
  <c r="AT295" i="20" s="1"/>
  <c r="AP299" i="20" a="1"/>
  <c r="AP299" i="20" s="1"/>
  <c r="AT299" i="20" a="1"/>
  <c r="AT299" i="20" s="1"/>
  <c r="AO289" i="20" a="1"/>
  <c r="AO289" i="20" s="1"/>
  <c r="G109" i="27" l="1"/>
  <c r="AQ235" i="20" l="1"/>
  <c r="AP235" i="20" l="1" a="1"/>
  <c r="AP235" i="20" s="1"/>
  <c r="AT235" i="20" a="1"/>
  <c r="AT235" i="20" s="1"/>
  <c r="AQ239" i="20"/>
  <c r="AP239" i="20" l="1" a="1"/>
  <c r="AP239" i="20" s="1"/>
  <c r="AT239" i="20" a="1"/>
  <c r="AT239" i="20" s="1"/>
  <c r="AQ33" i="20"/>
  <c r="AQ37" i="20"/>
  <c r="AQ231" i="20"/>
  <c r="AQ227" i="20"/>
  <c r="AQ223" i="20"/>
  <c r="AQ219" i="20"/>
  <c r="AQ215" i="20"/>
  <c r="AQ211" i="20"/>
  <c r="AQ207" i="20"/>
  <c r="AQ203" i="20"/>
  <c r="AQ189" i="20"/>
  <c r="AM189" i="20" s="1" a="1"/>
  <c r="AM189" i="20" s="1"/>
  <c r="AQ185" i="20"/>
  <c r="AQ181" i="20"/>
  <c r="AQ177" i="20"/>
  <c r="AP177" i="20" l="1" a="1"/>
  <c r="AP177" i="20" s="1"/>
  <c r="AT177" i="20" a="1"/>
  <c r="AT177" i="20" s="1"/>
  <c r="AP181" i="20" a="1"/>
  <c r="AP181" i="20" s="1"/>
  <c r="AT181" i="20" a="1"/>
  <c r="AT181" i="20" s="1"/>
  <c r="AP185" i="20" a="1"/>
  <c r="AP185" i="20" s="1"/>
  <c r="AT185" i="20" a="1"/>
  <c r="AT185" i="20" s="1"/>
  <c r="AP203" i="20" a="1"/>
  <c r="AP203" i="20" s="1"/>
  <c r="AT203" i="20" a="1"/>
  <c r="AT203" i="20" s="1"/>
  <c r="AP207" i="20" a="1"/>
  <c r="AP207" i="20" s="1"/>
  <c r="AT207" i="20" a="1"/>
  <c r="AT207" i="20" s="1"/>
  <c r="AP211" i="20" a="1"/>
  <c r="AP211" i="20" s="1"/>
  <c r="AT211" i="20" a="1"/>
  <c r="AT211" i="20" s="1"/>
  <c r="AP215" i="20" a="1"/>
  <c r="AP215" i="20" s="1"/>
  <c r="AT215" i="20" a="1"/>
  <c r="AT215" i="20" s="1"/>
  <c r="AP219" i="20" a="1"/>
  <c r="AP219" i="20" s="1"/>
  <c r="AT219" i="20" a="1"/>
  <c r="AT219" i="20" s="1"/>
  <c r="AP223" i="20" a="1"/>
  <c r="AP223" i="20" s="1"/>
  <c r="AT223" i="20" a="1"/>
  <c r="AT223" i="20" s="1"/>
  <c r="AP227" i="20" a="1"/>
  <c r="AP227" i="20" s="1"/>
  <c r="AT227" i="20" a="1"/>
  <c r="AT227" i="20" s="1"/>
  <c r="AP231" i="20" a="1"/>
  <c r="AP231" i="20" s="1"/>
  <c r="AT231" i="20" a="1"/>
  <c r="AT231" i="20" s="1"/>
  <c r="AP37" i="20" a="1"/>
  <c r="AP37" i="20" s="1"/>
  <c r="AT37" i="20" a="1"/>
  <c r="AT37" i="20" s="1"/>
  <c r="AP33" i="20" a="1"/>
  <c r="AP33" i="20" s="1"/>
  <c r="AT33" i="20" a="1"/>
  <c r="AT33" i="20" s="1"/>
  <c r="G107" i="27" l="1"/>
  <c r="R1" i="3" l="1"/>
  <c r="AQ173" i="20"/>
  <c r="L6" i="3" l="1" a="1"/>
  <c r="L6" i="3" s="1"/>
  <c r="K1" i="3"/>
  <c r="AP173" i="20" a="1"/>
  <c r="AP173" i="20" s="1"/>
  <c r="AT173" i="20" a="1"/>
  <c r="AT173" i="20" s="1"/>
  <c r="C6" i="3"/>
  <c r="C8" i="3"/>
  <c r="K3" i="25"/>
  <c r="C146" i="25"/>
  <c r="C76" i="25"/>
  <c r="AQ169" i="20"/>
  <c r="AQ165" i="20"/>
  <c r="AQ161" i="20"/>
  <c r="AQ157" i="20"/>
  <c r="AQ153" i="20"/>
  <c r="AQ149" i="20"/>
  <c r="AQ145" i="20"/>
  <c r="AQ141" i="20"/>
  <c r="AQ127" i="20"/>
  <c r="AM127" i="20" s="1" a="1"/>
  <c r="AM127" i="20" s="1"/>
  <c r="AQ123" i="20"/>
  <c r="AQ119" i="20"/>
  <c r="AQ115" i="20"/>
  <c r="AP115" i="20" l="1" a="1"/>
  <c r="AP115" i="20" s="1"/>
  <c r="AT115" i="20" a="1"/>
  <c r="AT115" i="20" s="1"/>
  <c r="AP119" i="20" a="1"/>
  <c r="AP119" i="20" s="1"/>
  <c r="AT119" i="20" a="1"/>
  <c r="AT119" i="20" s="1"/>
  <c r="AP123" i="20" a="1"/>
  <c r="AP123" i="20" s="1"/>
  <c r="AT123" i="20" a="1"/>
  <c r="AT123" i="20" s="1"/>
  <c r="AP141" i="20" a="1"/>
  <c r="AP141" i="20" s="1"/>
  <c r="AT141" i="20" a="1"/>
  <c r="AT141" i="20" s="1"/>
  <c r="AP145" i="20" a="1"/>
  <c r="AP145" i="20" s="1"/>
  <c r="AT145" i="20" a="1"/>
  <c r="AT145" i="20" s="1"/>
  <c r="AP149" i="20" a="1"/>
  <c r="AP149" i="20" s="1"/>
  <c r="AT149" i="20" a="1"/>
  <c r="AT149" i="20" s="1"/>
  <c r="AP153" i="20" a="1"/>
  <c r="AP153" i="20" s="1"/>
  <c r="AT153" i="20" a="1"/>
  <c r="AT153" i="20" s="1"/>
  <c r="AP157" i="20" a="1"/>
  <c r="AP157" i="20" s="1"/>
  <c r="AT157" i="20" a="1"/>
  <c r="AT157" i="20" s="1"/>
  <c r="AP161" i="20" a="1"/>
  <c r="AP161" i="20" s="1"/>
  <c r="AT161" i="20" a="1"/>
  <c r="AT161" i="20" s="1"/>
  <c r="AP165" i="20" a="1"/>
  <c r="AP165" i="20" s="1"/>
  <c r="AT165" i="20" a="1"/>
  <c r="AT165" i="20" s="1"/>
  <c r="AP169" i="20" a="1"/>
  <c r="AP169" i="20" s="1"/>
  <c r="AT169" i="20" a="1"/>
  <c r="AT169" i="20" s="1"/>
  <c r="AQ111" i="20"/>
  <c r="AQ107" i="20"/>
  <c r="AQ103" i="20"/>
  <c r="AQ99" i="20"/>
  <c r="AQ95" i="20"/>
  <c r="AQ91" i="20"/>
  <c r="AQ87" i="20"/>
  <c r="AQ83" i="20"/>
  <c r="AQ79" i="20"/>
  <c r="AQ75" i="20"/>
  <c r="AQ71" i="20"/>
  <c r="AQ67" i="20"/>
  <c r="AQ49" i="20"/>
  <c r="AQ45" i="20"/>
  <c r="AQ41" i="20"/>
  <c r="G105" i="27" l="1"/>
  <c r="AP41" i="20" a="1"/>
  <c r="AP41" i="20" s="1"/>
  <c r="AT41" i="20" a="1"/>
  <c r="AT41" i="20" s="1"/>
  <c r="AP45" i="20" a="1"/>
  <c r="AP45" i="20" s="1"/>
  <c r="AT45" i="20" a="1"/>
  <c r="AT45" i="20" s="1"/>
  <c r="AP49" i="20" a="1"/>
  <c r="AP49" i="20" s="1"/>
  <c r="AT49" i="20" a="1"/>
  <c r="AT49" i="20" s="1"/>
  <c r="AP67" i="20" a="1"/>
  <c r="AP67" i="20" s="1"/>
  <c r="AT67" i="20" a="1"/>
  <c r="AT67" i="20" s="1"/>
  <c r="AP71" i="20" a="1"/>
  <c r="AP71" i="20" s="1"/>
  <c r="AT71" i="20" a="1"/>
  <c r="AT71" i="20" s="1"/>
  <c r="AP75" i="20" a="1"/>
  <c r="AP75" i="20" s="1"/>
  <c r="AT75" i="20" a="1"/>
  <c r="AT75" i="20" s="1"/>
  <c r="AP79" i="20" a="1"/>
  <c r="AP79" i="20" s="1"/>
  <c r="AT79" i="20" a="1"/>
  <c r="AT79" i="20" s="1"/>
  <c r="AP83" i="20" a="1"/>
  <c r="AP83" i="20" s="1"/>
  <c r="AT83" i="20" a="1"/>
  <c r="AT83" i="20" s="1"/>
  <c r="AP87" i="20" a="1"/>
  <c r="AP87" i="20" s="1"/>
  <c r="AT87" i="20" a="1"/>
  <c r="AT87" i="20" s="1"/>
  <c r="AP91" i="20" a="1"/>
  <c r="AP91" i="20" s="1"/>
  <c r="AT91" i="20" a="1"/>
  <c r="AT91" i="20" s="1"/>
  <c r="AP95" i="20" a="1"/>
  <c r="AP95" i="20" s="1"/>
  <c r="AT95" i="20" a="1"/>
  <c r="AT95" i="20" s="1"/>
  <c r="AP99" i="20" a="1"/>
  <c r="AP99" i="20" s="1"/>
  <c r="AT99" i="20" a="1"/>
  <c r="AT99" i="20" s="1"/>
  <c r="AP103" i="20" a="1"/>
  <c r="AP103" i="20" s="1"/>
  <c r="AT103" i="20" a="1"/>
  <c r="AT103" i="20" s="1"/>
  <c r="AP107" i="20" a="1"/>
  <c r="AP107" i="20" s="1"/>
  <c r="AT107" i="20" a="1"/>
  <c r="AT107" i="20" s="1"/>
  <c r="AP111" i="20" a="1"/>
  <c r="AP111" i="20" s="1"/>
  <c r="AT111" i="20" a="1"/>
  <c r="AT111" i="20" s="1"/>
  <c r="E157" i="16"/>
  <c r="B2" i="32" l="1" a="1"/>
  <c r="G102" i="27"/>
  <c r="B2" i="32" l="1"/>
  <c r="H2" i="32" a="1"/>
  <c r="H2" i="32" s="1"/>
  <c r="A2" i="32" a="1"/>
  <c r="A2" i="32" s="1"/>
  <c r="E182" i="16"/>
  <c r="E183" i="16" s="1"/>
  <c r="E11" i="16"/>
  <c r="E27" i="16"/>
  <c r="E31" i="16"/>
  <c r="E2" i="16"/>
  <c r="A2" i="16" a="1"/>
  <c r="A2" i="16" s="1"/>
  <c r="E12" i="16" l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184" i="16"/>
  <c r="E28" i="16"/>
  <c r="E29" i="16" s="1"/>
  <c r="E30" i="16" s="1"/>
  <c r="E32" i="16"/>
  <c r="E3" i="16"/>
  <c r="E33" i="16" l="1"/>
  <c r="E185" i="16"/>
  <c r="E186" i="16" s="1"/>
  <c r="E187" i="16" s="1"/>
  <c r="E188" i="16" s="1"/>
  <c r="E4" i="16"/>
  <c r="E34" i="16" l="1"/>
  <c r="E35" i="16" s="1"/>
  <c r="E189" i="16"/>
  <c r="E5" i="16"/>
  <c r="I188" i="16"/>
  <c r="E190" i="16" l="1"/>
  <c r="E191" i="16" s="1"/>
  <c r="E192" i="16" s="1"/>
  <c r="E193" i="16" s="1"/>
  <c r="E36" i="16"/>
  <c r="E6" i="16"/>
  <c r="E37" i="16" l="1"/>
  <c r="E7" i="16"/>
  <c r="E38" i="16" l="1"/>
  <c r="E39" i="16" s="1"/>
  <c r="E8" i="16"/>
  <c r="I185" i="16"/>
  <c r="I182" i="16"/>
  <c r="J31" i="16"/>
  <c r="J33" i="16"/>
  <c r="J39" i="16"/>
  <c r="J115" i="16"/>
  <c r="J35" i="16"/>
  <c r="J113" i="16"/>
  <c r="J37" i="16"/>
  <c r="J103" i="16"/>
  <c r="J101" i="16"/>
  <c r="J99" i="16"/>
  <c r="J97" i="16"/>
  <c r="E40" i="16" l="1"/>
  <c r="E41" i="16" s="1"/>
  <c r="E9" i="16"/>
  <c r="E42" i="16" l="1"/>
  <c r="E10" i="16"/>
  <c r="E43" i="16" l="1"/>
  <c r="I28" i="16"/>
  <c r="E44" i="16" l="1"/>
  <c r="I27" i="16"/>
  <c r="E45" i="16" l="1"/>
  <c r="I1" i="25"/>
  <c r="E46" i="16" l="1"/>
  <c r="E47" i="16" s="1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30" i="10" s="1"/>
  <c r="M10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A29" i="3"/>
  <c r="A76" i="25" s="1"/>
  <c r="A146" i="25" s="1"/>
  <c r="E48" i="16" l="1"/>
  <c r="P14" i="10"/>
  <c r="E49" i="16" l="1"/>
  <c r="M120" i="9"/>
  <c r="M119" i="9"/>
  <c r="J20" i="13"/>
  <c r="J19" i="13"/>
  <c r="B19" i="13"/>
  <c r="M17" i="13"/>
  <c r="M5" i="13"/>
  <c r="M4" i="13"/>
  <c r="D4" i="13"/>
  <c r="D3" i="13"/>
  <c r="J33" i="10"/>
  <c r="J32" i="10"/>
  <c r="B32" i="10"/>
  <c r="M5" i="10"/>
  <c r="M4" i="10"/>
  <c r="D4" i="10"/>
  <c r="D3" i="10"/>
  <c r="G117" i="9"/>
  <c r="M117" i="9" s="1"/>
  <c r="G110" i="9"/>
  <c r="M110" i="9"/>
  <c r="I115" i="9"/>
  <c r="I108" i="9"/>
  <c r="M108" i="9" s="1"/>
  <c r="I113" i="9"/>
  <c r="G116" i="9"/>
  <c r="M116" i="9" s="1"/>
  <c r="G115" i="9"/>
  <c r="G114" i="9"/>
  <c r="M114" i="9" s="1"/>
  <c r="G113" i="9"/>
  <c r="M112" i="9"/>
  <c r="M111" i="9"/>
  <c r="G107" i="9"/>
  <c r="M107" i="9" s="1"/>
  <c r="I106" i="9"/>
  <c r="G106" i="9"/>
  <c r="M105" i="9"/>
  <c r="G109" i="9"/>
  <c r="M109" i="9" s="1"/>
  <c r="G108" i="9"/>
  <c r="M104" i="9"/>
  <c r="M102" i="9"/>
  <c r="M97" i="9"/>
  <c r="I101" i="9"/>
  <c r="M101" i="9" s="1"/>
  <c r="I100" i="9"/>
  <c r="M100" i="9" s="1"/>
  <c r="M99" i="9"/>
  <c r="M98" i="9"/>
  <c r="I96" i="9"/>
  <c r="I95" i="9"/>
  <c r="E50" i="16" l="1"/>
  <c r="E51" i="16" s="1"/>
  <c r="M118" i="9"/>
  <c r="M113" i="9"/>
  <c r="M115" i="9"/>
  <c r="M106" i="9"/>
  <c r="M103" i="9" s="1"/>
  <c r="M94" i="9"/>
  <c r="M93" i="9"/>
  <c r="E52" i="16" l="1"/>
  <c r="M96" i="9"/>
  <c r="M95" i="9"/>
  <c r="M92" i="9" s="1"/>
  <c r="M91" i="9"/>
  <c r="M90" i="9"/>
  <c r="M89" i="9" s="1"/>
  <c r="M74" i="9"/>
  <c r="M73" i="9"/>
  <c r="M72" i="9"/>
  <c r="G71" i="9"/>
  <c r="M71" i="9" s="1"/>
  <c r="M70" i="9"/>
  <c r="M69" i="9"/>
  <c r="J67" i="9"/>
  <c r="M67" i="9" s="1"/>
  <c r="M66" i="9"/>
  <c r="M65" i="9"/>
  <c r="M62" i="9"/>
  <c r="M61" i="9"/>
  <c r="M60" i="9"/>
  <c r="G59" i="9"/>
  <c r="M59" i="9" s="1"/>
  <c r="M58" i="9"/>
  <c r="M57" i="9"/>
  <c r="J55" i="9"/>
  <c r="M55" i="9" s="1"/>
  <c r="M54" i="9"/>
  <c r="M53" i="9"/>
  <c r="M52" i="9" s="1"/>
  <c r="M77" i="9"/>
  <c r="M86" i="9"/>
  <c r="M85" i="9"/>
  <c r="M84" i="9"/>
  <c r="G83" i="9"/>
  <c r="M83" i="9" s="1"/>
  <c r="M82" i="9"/>
  <c r="M81" i="9"/>
  <c r="J79" i="9"/>
  <c r="M79" i="9" s="1"/>
  <c r="M78" i="9"/>
  <c r="E53" i="16" l="1"/>
  <c r="M80" i="9"/>
  <c r="M64" i="9"/>
  <c r="M76" i="9"/>
  <c r="M68" i="9"/>
  <c r="M56" i="9"/>
  <c r="M50" i="9"/>
  <c r="M49" i="9"/>
  <c r="M48" i="9"/>
  <c r="G47" i="9"/>
  <c r="M47" i="9" s="1"/>
  <c r="M46" i="9"/>
  <c r="M45" i="9"/>
  <c r="J43" i="9"/>
  <c r="M43" i="9" s="1"/>
  <c r="M42" i="9"/>
  <c r="M41" i="9"/>
  <c r="G35" i="9"/>
  <c r="M35" i="9" s="1"/>
  <c r="M37" i="9"/>
  <c r="M34" i="9"/>
  <c r="M36" i="9"/>
  <c r="M33" i="9"/>
  <c r="J31" i="9"/>
  <c r="M31" i="9" s="1"/>
  <c r="M30" i="9"/>
  <c r="G24" i="9"/>
  <c r="M24" i="9" s="1"/>
  <c r="M25" i="9"/>
  <c r="I22" i="9"/>
  <c r="M22" i="9" s="1"/>
  <c r="M21" i="9"/>
  <c r="M20" i="9"/>
  <c r="M17" i="9"/>
  <c r="M18" i="9"/>
  <c r="M19" i="9"/>
  <c r="M12" i="7"/>
  <c r="J14" i="9"/>
  <c r="M14" i="9" s="1"/>
  <c r="M13" i="9"/>
  <c r="M38" i="9"/>
  <c r="M16" i="9"/>
  <c r="J124" i="9"/>
  <c r="J123" i="9"/>
  <c r="B123" i="9"/>
  <c r="M12" i="9"/>
  <c r="D4" i="9"/>
  <c r="D3" i="9"/>
  <c r="M11" i="7"/>
  <c r="E54" i="16" l="1"/>
  <c r="M40" i="9"/>
  <c r="M44" i="9"/>
  <c r="M23" i="9"/>
  <c r="M11" i="9"/>
  <c r="M15" i="9"/>
  <c r="M32" i="9"/>
  <c r="M29" i="9"/>
  <c r="M28" i="9" s="1"/>
  <c r="M5" i="7"/>
  <c r="M4" i="7"/>
  <c r="E55" i="16" l="1"/>
  <c r="D3" i="7"/>
  <c r="D4" i="7"/>
  <c r="M34" i="7"/>
  <c r="E56" i="16" l="1"/>
  <c r="J36" i="7"/>
  <c r="J37" i="7"/>
  <c r="B36" i="7"/>
  <c r="E57" i="16" l="1"/>
  <c r="F22" i="3"/>
  <c r="E58" i="16" l="1"/>
  <c r="I42" i="6"/>
  <c r="H42" i="6"/>
  <c r="E42" i="6"/>
  <c r="D42" i="6"/>
  <c r="C5" i="6"/>
  <c r="E59" i="16" l="1"/>
  <c r="I42" i="5"/>
  <c r="H42" i="5"/>
  <c r="D42" i="5"/>
  <c r="E42" i="5"/>
  <c r="C5" i="5"/>
  <c r="E60" i="16" l="1"/>
  <c r="F5" i="5"/>
  <c r="E61" i="16" l="1"/>
  <c r="E62" i="16" s="1"/>
  <c r="F5" i="6"/>
  <c r="E63" i="16" l="1"/>
  <c r="E64" i="16" s="1"/>
  <c r="J15" i="3"/>
  <c r="E65" i="16" l="1"/>
  <c r="E66" i="16" l="1"/>
  <c r="AO263" i="20" a="1"/>
  <c r="AO263" i="20" s="1"/>
  <c r="E67" i="16" l="1"/>
  <c r="E68" i="16" s="1"/>
  <c r="E69" i="16" l="1"/>
  <c r="E70" i="16" l="1"/>
  <c r="E71" i="16" l="1"/>
  <c r="E72" i="16" l="1"/>
  <c r="E73" i="16" l="1"/>
  <c r="E74" i="16" l="1"/>
  <c r="E75" i="16" l="1"/>
  <c r="E76" i="16" l="1"/>
  <c r="E77" i="16" l="1"/>
  <c r="E78" i="16" l="1"/>
  <c r="E79" i="16" l="1"/>
  <c r="E80" i="16" l="1"/>
  <c r="E81" i="16" l="1"/>
  <c r="E82" i="16" l="1"/>
  <c r="E83" i="16" l="1"/>
  <c r="E84" i="16" l="1"/>
  <c r="E85" i="16" l="1"/>
  <c r="E86" i="16" l="1"/>
  <c r="E87" i="16" l="1"/>
  <c r="E88" i="16" l="1"/>
  <c r="E89" i="16" l="1"/>
  <c r="E90" i="16" l="1"/>
  <c r="E91" i="16" s="1"/>
  <c r="E92" i="16" l="1"/>
  <c r="E93" i="16" l="1"/>
  <c r="E94" i="16" l="1"/>
  <c r="E95" i="16" l="1"/>
  <c r="E96" i="16" l="1"/>
  <c r="E97" i="16" l="1"/>
  <c r="E98" i="16" l="1"/>
  <c r="E99" i="16" l="1"/>
  <c r="E100" i="16" l="1"/>
  <c r="E101" i="16" l="1"/>
  <c r="E102" i="16" l="1"/>
  <c r="E103" i="16" l="1"/>
  <c r="E104" i="16" l="1"/>
  <c r="E105" i="16" l="1"/>
  <c r="E106" i="16" l="1"/>
  <c r="E107" i="16" l="1"/>
  <c r="E108" i="16" l="1"/>
  <c r="E109" i="16" l="1"/>
  <c r="E110" i="16" l="1"/>
  <c r="E111" i="16" l="1"/>
  <c r="E112" i="16" l="1"/>
  <c r="E113" i="16" l="1"/>
  <c r="E114" i="16" l="1"/>
  <c r="E115" i="16" l="1"/>
  <c r="AO747" i="20" a="1"/>
  <c r="AO747" i="20" s="1"/>
  <c r="AO769" i="20" a="1"/>
  <c r="AO769" i="20" s="1"/>
  <c r="AA1" i="30" s="1" a="1"/>
  <c r="AA1" i="30" s="1"/>
  <c r="B2" i="31" l="1" a="1"/>
  <c r="B2" i="31" s="1"/>
  <c r="E116" i="16"/>
  <c r="K2" i="31" l="1" a="1"/>
  <c r="K2" i="31" s="1"/>
  <c r="P243" i="31"/>
  <c r="O243" i="31"/>
  <c r="A2" i="31" a="1"/>
  <c r="A2" i="31" s="1"/>
  <c r="E117" i="16"/>
  <c r="E118" i="16" l="1"/>
  <c r="E119" i="16" l="1"/>
  <c r="B8" i="13"/>
  <c r="B8" i="10"/>
  <c r="B8" i="7"/>
  <c r="E120" i="16" l="1"/>
  <c r="M185" i="31" l="1" a="1"/>
  <c r="M185" i="31" s="1"/>
  <c r="E121" i="16"/>
  <c r="E122" i="16" l="1"/>
  <c r="E123" i="16" l="1"/>
  <c r="E124" i="16" l="1"/>
  <c r="E125" i="16" l="1"/>
  <c r="E126" i="16" l="1"/>
  <c r="E127" i="16" l="1"/>
  <c r="E128" i="16" l="1"/>
  <c r="E129" i="16" l="1"/>
  <c r="E130" i="16" l="1"/>
  <c r="E131" i="16" l="1"/>
  <c r="E132" i="16" l="1"/>
  <c r="E133" i="16" l="1"/>
  <c r="E134" i="16" l="1"/>
  <c r="E135" i="16" l="1"/>
  <c r="E136" i="16" l="1"/>
  <c r="E137" i="16" l="1"/>
  <c r="E138" i="16" l="1"/>
  <c r="E139" i="16" l="1"/>
  <c r="E140" i="16" l="1"/>
  <c r="E141" i="16" l="1"/>
  <c r="E142" i="16" l="1"/>
  <c r="E143" i="16" l="1"/>
  <c r="E144" i="16" l="1"/>
  <c r="E145" i="16" l="1"/>
  <c r="E146" i="16" l="1"/>
  <c r="E147" i="16" l="1"/>
  <c r="E148" i="16" l="1"/>
  <c r="E149" i="16" l="1"/>
  <c r="E150" i="16" l="1"/>
  <c r="E151" i="16" l="1"/>
  <c r="E152" i="16" l="1"/>
  <c r="E153" i="16" l="1"/>
  <c r="E154" i="16" l="1"/>
  <c r="E155" i="16" l="1"/>
  <c r="J2" i="31" l="1" a="1"/>
  <c r="J2" i="31" s="1"/>
  <c r="B2" i="30" s="1" a="1"/>
  <c r="E156" i="16"/>
  <c r="K229" i="27" s="1" a="1"/>
  <c r="K229" i="27" s="1"/>
  <c r="B2" i="16" a="1"/>
  <c r="B2" i="30" l="1"/>
  <c r="A2" i="30" a="1"/>
  <c r="A2" i="30" s="1"/>
  <c r="B2" i="15" a="1"/>
  <c r="B2" i="15" s="1"/>
  <c r="B2" i="16"/>
  <c r="K2" i="30" s="1" a="1"/>
  <c r="K2" i="30" l="1"/>
  <c r="L2" i="30" a="1"/>
  <c r="L2" i="30" s="1"/>
  <c r="R2" i="3"/>
  <c r="A2" i="33" l="1" a="1"/>
  <c r="A2" i="33" s="1"/>
  <c r="A1" i="26" a="1"/>
  <c r="A1" i="26" s="1"/>
  <c r="A2" i="15" a="1"/>
  <c r="A2" i="15" s="1"/>
  <c r="C2" i="15" a="1"/>
  <c r="D2" i="15" a="1"/>
  <c r="D2" i="15" s="1"/>
  <c r="K2" i="3"/>
  <c r="I1" i="26" a="1"/>
  <c r="I1" i="26" s="1"/>
  <c r="K4" i="25"/>
  <c r="N1" i="25" a="1"/>
  <c r="J51" i="15"/>
  <c r="J103" i="15"/>
  <c r="J61" i="15"/>
  <c r="J137" i="15"/>
  <c r="J43" i="15"/>
  <c r="J97" i="15"/>
  <c r="J38" i="15"/>
  <c r="J106" i="15"/>
  <c r="J39" i="15"/>
  <c r="J30" i="15"/>
  <c r="J113" i="15"/>
  <c r="J131" i="15"/>
  <c r="J34" i="15"/>
  <c r="J41" i="15"/>
  <c r="J9" i="15"/>
  <c r="J27" i="15"/>
  <c r="J83" i="15"/>
  <c r="J67" i="15"/>
  <c r="J127" i="15"/>
  <c r="J56" i="15"/>
  <c r="J71" i="15"/>
  <c r="J40" i="15"/>
  <c r="J126" i="15"/>
  <c r="J105" i="15"/>
  <c r="J64" i="15"/>
  <c r="J95" i="15"/>
  <c r="J42" i="15"/>
  <c r="J23" i="15"/>
  <c r="J90" i="15"/>
  <c r="J70" i="15"/>
  <c r="J72" i="15"/>
  <c r="J68" i="15"/>
  <c r="J115" i="15"/>
  <c r="J107" i="15"/>
  <c r="J60" i="15"/>
  <c r="J45" i="15"/>
  <c r="J63" i="15"/>
  <c r="J65" i="15"/>
  <c r="J130" i="15"/>
  <c r="J58" i="15"/>
  <c r="J26" i="15"/>
  <c r="J22" i="15"/>
  <c r="J88" i="15"/>
  <c r="J75" i="15"/>
  <c r="J116" i="15"/>
  <c r="J85" i="15"/>
  <c r="J138" i="15"/>
  <c r="J62" i="15"/>
  <c r="J136" i="15"/>
  <c r="J69" i="15"/>
  <c r="J104" i="15"/>
  <c r="J132" i="15"/>
  <c r="J35" i="15"/>
  <c r="J11" i="15"/>
  <c r="J46" i="15"/>
  <c r="M12" i="3"/>
  <c r="J74" i="15"/>
  <c r="J114" i="15"/>
  <c r="J50" i="15"/>
  <c r="J55" i="15"/>
  <c r="J128" i="15"/>
  <c r="J125" i="15"/>
  <c r="J129" i="15"/>
  <c r="J78" i="15"/>
  <c r="J59" i="15"/>
  <c r="J21" i="15"/>
  <c r="J4" i="15"/>
  <c r="J5" i="15"/>
  <c r="M14" i="3"/>
  <c r="J120" i="15"/>
  <c r="J86" i="15"/>
  <c r="J99" i="15"/>
  <c r="J117" i="15"/>
  <c r="J118" i="15"/>
  <c r="J17" i="15"/>
  <c r="J133" i="15"/>
  <c r="J44" i="15"/>
  <c r="J25" i="15"/>
  <c r="J7" i="15"/>
  <c r="J119" i="15"/>
  <c r="J100" i="15"/>
  <c r="J8" i="15"/>
  <c r="J47" i="15"/>
  <c r="J15" i="15"/>
  <c r="J10" i="15"/>
  <c r="J76" i="15"/>
  <c r="J28" i="15"/>
  <c r="J33" i="15"/>
  <c r="J139" i="15"/>
  <c r="J54" i="15"/>
  <c r="J37" i="15"/>
  <c r="J14" i="15"/>
  <c r="J109" i="15"/>
  <c r="J108" i="15"/>
  <c r="J111" i="15"/>
  <c r="J84" i="15"/>
  <c r="J91" i="15"/>
  <c r="J3" i="15"/>
  <c r="J122" i="15"/>
  <c r="J18" i="15"/>
  <c r="J89" i="15"/>
  <c r="J98" i="15"/>
  <c r="J80" i="15"/>
  <c r="J49" i="15"/>
  <c r="J20" i="15"/>
  <c r="J123" i="15"/>
  <c r="J6" i="15"/>
  <c r="J112" i="15"/>
  <c r="J102" i="15"/>
  <c r="J92" i="15"/>
  <c r="J93" i="15"/>
  <c r="J29" i="15"/>
  <c r="J121" i="15"/>
  <c r="J77" i="15"/>
  <c r="J82" i="15"/>
  <c r="J53" i="15"/>
  <c r="J134" i="15"/>
  <c r="J124" i="15"/>
  <c r="J13" i="15"/>
  <c r="J32" i="15"/>
  <c r="J110" i="15"/>
  <c r="J16" i="15"/>
  <c r="J12" i="15"/>
  <c r="J79" i="15"/>
  <c r="J87" i="15"/>
  <c r="J66" i="15"/>
  <c r="J96" i="15"/>
  <c r="J31" i="15"/>
  <c r="J19" i="15"/>
  <c r="J36" i="15"/>
  <c r="J94" i="15"/>
  <c r="J24" i="15"/>
  <c r="J101" i="15"/>
  <c r="J73" i="15"/>
  <c r="J81" i="15"/>
  <c r="J57" i="15"/>
  <c r="J135" i="15"/>
  <c r="J52" i="15"/>
  <c r="J48" i="15"/>
  <c r="H45" i="15" l="1" a="1"/>
  <c r="H45" i="15" s="1"/>
  <c r="H63" i="15" a="1"/>
  <c r="H63" i="15" s="1"/>
  <c r="H62" i="15" a="1"/>
  <c r="H62" i="15" s="1"/>
  <c r="H133" i="15" a="1"/>
  <c r="H133" i="15" s="1"/>
  <c r="H127" i="15" a="1"/>
  <c r="H127" i="15" s="1"/>
  <c r="H104" i="15" a="1"/>
  <c r="H104" i="15" s="1"/>
  <c r="H6" i="15" a="1"/>
  <c r="H6" i="15" s="1"/>
  <c r="H30" i="15" a="1"/>
  <c r="H30" i="15" s="1"/>
  <c r="H41" i="15" a="1"/>
  <c r="H41" i="15" s="1"/>
  <c r="H71" i="15" a="1"/>
  <c r="H71" i="15" s="1"/>
  <c r="H88" i="15" a="1"/>
  <c r="H88" i="15" s="1"/>
  <c r="H118" i="15" a="1"/>
  <c r="H118" i="15" s="1"/>
  <c r="H69" i="15" a="1"/>
  <c r="H69" i="15" s="1"/>
  <c r="H56" i="15" a="1"/>
  <c r="H56" i="15" s="1"/>
  <c r="H105" i="15" a="1"/>
  <c r="H105" i="15" s="1"/>
  <c r="H106" i="15" a="1"/>
  <c r="H106" i="15" s="1"/>
  <c r="H50" i="15" a="1"/>
  <c r="H50" i="15" s="1"/>
  <c r="H109" i="15" a="1"/>
  <c r="H109" i="15" s="1"/>
  <c r="H103" i="15" a="1"/>
  <c r="H103" i="15" s="1"/>
  <c r="H132" i="15" a="1"/>
  <c r="H132" i="15" s="1"/>
  <c r="H110" i="15" a="1"/>
  <c r="H110" i="15" s="1"/>
  <c r="H12" i="15" a="1"/>
  <c r="H12" i="15" s="1"/>
  <c r="H17" i="15" a="1"/>
  <c r="H17" i="15" s="1"/>
  <c r="H47" i="15" a="1"/>
  <c r="H47" i="15" s="1"/>
  <c r="H64" i="15" a="1"/>
  <c r="H64" i="15" s="1"/>
  <c r="H94" i="15" a="1"/>
  <c r="H94" i="15" s="1"/>
  <c r="H57" i="15" a="1"/>
  <c r="H57" i="15" s="1"/>
  <c r="H44" i="15" a="1"/>
  <c r="H44" i="15" s="1"/>
  <c r="H97" i="15" a="1"/>
  <c r="H97" i="15" s="1"/>
  <c r="H91" i="15" a="1"/>
  <c r="H91" i="15" s="1"/>
  <c r="H114" i="15" a="1"/>
  <c r="H114" i="15" s="1"/>
  <c r="H74" i="15" a="1"/>
  <c r="H74" i="15" s="1"/>
  <c r="H87" i="15" a="1"/>
  <c r="H87" i="15" s="1"/>
  <c r="H5" i="15" a="1"/>
  <c r="H5" i="15" s="1"/>
  <c r="H35" i="15" a="1"/>
  <c r="H35" i="15" s="1"/>
  <c r="H52" i="15" a="1"/>
  <c r="H52" i="15" s="1"/>
  <c r="H82" i="15" a="1"/>
  <c r="H82" i="15" s="1"/>
  <c r="H51" i="15" a="1"/>
  <c r="H51" i="15" s="1"/>
  <c r="H38" i="15" a="1"/>
  <c r="H38" i="15" s="1"/>
  <c r="H85" i="15" a="1"/>
  <c r="H85" i="15" s="1"/>
  <c r="H79" i="15" a="1"/>
  <c r="H79" i="15" s="1"/>
  <c r="H102" i="15" a="1"/>
  <c r="H102" i="15" s="1"/>
  <c r="H126" i="15" a="1"/>
  <c r="H126" i="15" s="1"/>
  <c r="H98" i="15" a="1"/>
  <c r="H98" i="15" s="1"/>
  <c r="H117" i="15" a="1"/>
  <c r="H117" i="15" s="1"/>
  <c r="H23" i="15" a="1"/>
  <c r="H23" i="15" s="1"/>
  <c r="H40" i="15" a="1"/>
  <c r="H40" i="15" s="1"/>
  <c r="H70" i="15" a="1"/>
  <c r="H70" i="15" s="1"/>
  <c r="H139" i="15" a="1"/>
  <c r="H139" i="15" s="1"/>
  <c r="H32" i="15" a="1"/>
  <c r="H32" i="15" s="1"/>
  <c r="H73" i="15" a="1"/>
  <c r="H73" i="15" s="1"/>
  <c r="H67" i="15" a="1"/>
  <c r="H67" i="15" s="1"/>
  <c r="H90" i="15" a="1"/>
  <c r="H90" i="15" s="1"/>
  <c r="H120" i="15" a="1"/>
  <c r="H120" i="15" s="1"/>
  <c r="H131" i="15" a="1"/>
  <c r="H131" i="15" s="1"/>
  <c r="H128" i="15" a="1"/>
  <c r="H128" i="15" s="1"/>
  <c r="H11" i="15" a="1"/>
  <c r="H11" i="15" s="1"/>
  <c r="H28" i="15" a="1"/>
  <c r="H28" i="15" s="1"/>
  <c r="H58" i="15" a="1"/>
  <c r="H58" i="15" s="1"/>
  <c r="H39" i="15" a="1"/>
  <c r="H39" i="15" s="1"/>
  <c r="H26" i="15" a="1"/>
  <c r="H26" i="15" s="1"/>
  <c r="H61" i="15" a="1"/>
  <c r="H61" i="15" s="1"/>
  <c r="H55" i="15" a="1"/>
  <c r="H55" i="15" s="1"/>
  <c r="H78" i="15" a="1"/>
  <c r="H78" i="15" s="1"/>
  <c r="H108" i="15" a="1"/>
  <c r="H108" i="15" s="1"/>
  <c r="H119" i="15" a="1"/>
  <c r="H119" i="15" s="1"/>
  <c r="H137" i="15" a="1"/>
  <c r="H137" i="15" s="1"/>
  <c r="H99" i="15" a="1"/>
  <c r="H99" i="15" s="1"/>
  <c r="H22" i="15" a="1"/>
  <c r="H22" i="15" s="1"/>
  <c r="H46" i="15" a="1"/>
  <c r="H46" i="15" s="1"/>
  <c r="H33" i="15" a="1"/>
  <c r="H33" i="15" s="1"/>
  <c r="H138" i="15" a="1"/>
  <c r="H138" i="15" s="1"/>
  <c r="H76" i="15" a="1"/>
  <c r="H76" i="15" s="1"/>
  <c r="H20" i="15" a="1"/>
  <c r="H20" i="15" s="1"/>
  <c r="H49" i="15" a="1"/>
  <c r="H49" i="15" s="1"/>
  <c r="H43" i="15" a="1"/>
  <c r="H43" i="15" s="1"/>
  <c r="H72" i="15" a="1"/>
  <c r="H72" i="15" s="1"/>
  <c r="H96" i="15" a="1"/>
  <c r="H96" i="15" s="1"/>
  <c r="H107" i="15" a="1"/>
  <c r="H107" i="15" s="1"/>
  <c r="H125" i="15" a="1"/>
  <c r="H125" i="15" s="1"/>
  <c r="H116" i="15" a="1"/>
  <c r="H116" i="15" s="1"/>
  <c r="H4" i="15" a="1"/>
  <c r="H4" i="15" s="1"/>
  <c r="H34" i="15" a="1"/>
  <c r="H34" i="15" s="1"/>
  <c r="H27" i="15" a="1"/>
  <c r="H27" i="15" s="1"/>
  <c r="H121" i="15" a="1"/>
  <c r="H121" i="15" s="1"/>
  <c r="H29" i="15" a="1"/>
  <c r="H29" i="15" s="1"/>
  <c r="H129" i="15" a="1"/>
  <c r="H129" i="15" s="1"/>
  <c r="H14" i="15" a="1"/>
  <c r="H14" i="15" s="1"/>
  <c r="H37" i="15" a="1"/>
  <c r="H37" i="15" s="1"/>
  <c r="H31" i="15" a="1"/>
  <c r="H31" i="15" s="1"/>
  <c r="H60" i="15" a="1"/>
  <c r="H60" i="15" s="1"/>
  <c r="H84" i="15" a="1"/>
  <c r="H84" i="15" s="1"/>
  <c r="H95" i="15" a="1"/>
  <c r="H95" i="15" s="1"/>
  <c r="H113" i="15" a="1"/>
  <c r="H113" i="15" s="1"/>
  <c r="H136" i="15" a="1"/>
  <c r="H136" i="15" s="1"/>
  <c r="H123" i="15" a="1"/>
  <c r="H123" i="15" s="1"/>
  <c r="H16" i="15" a="1"/>
  <c r="H16" i="15" s="1"/>
  <c r="H21" i="15" a="1"/>
  <c r="H21" i="15" s="1"/>
  <c r="H18" i="15" a="1"/>
  <c r="H18" i="15" s="1"/>
  <c r="H81" i="15" a="1"/>
  <c r="H81" i="15" s="1"/>
  <c r="H8" i="15" a="1"/>
  <c r="H8" i="15" s="1"/>
  <c r="H25" i="15" a="1"/>
  <c r="H25" i="15" s="1"/>
  <c r="H19" i="15" a="1"/>
  <c r="H19" i="15" s="1"/>
  <c r="H48" i="15" a="1"/>
  <c r="H48" i="15" s="1"/>
  <c r="H66" i="15" a="1"/>
  <c r="H66" i="15" s="1"/>
  <c r="H83" i="15" a="1"/>
  <c r="H83" i="15" s="1"/>
  <c r="H101" i="15" a="1"/>
  <c r="H101" i="15" s="1"/>
  <c r="H124" i="15" a="1"/>
  <c r="H124" i="15" s="1"/>
  <c r="H122" i="15" a="1"/>
  <c r="H122" i="15" s="1"/>
  <c r="H10" i="15" a="1"/>
  <c r="H10" i="15" s="1"/>
  <c r="H15" i="15" a="1"/>
  <c r="H15" i="15" s="1"/>
  <c r="H115" i="15" a="1"/>
  <c r="H115" i="15" s="1"/>
  <c r="H59" i="15" a="1"/>
  <c r="H59" i="15" s="1"/>
  <c r="H86" i="15" a="1"/>
  <c r="H86" i="15" s="1"/>
  <c r="H134" i="15" a="1"/>
  <c r="H134" i="15" s="1"/>
  <c r="H7" i="15" a="1"/>
  <c r="H7" i="15" s="1"/>
  <c r="H13" i="15" a="1"/>
  <c r="H13" i="15" s="1"/>
  <c r="H36" i="15" a="1"/>
  <c r="H36" i="15" s="1"/>
  <c r="H54" i="15" a="1"/>
  <c r="H54" i="15" s="1"/>
  <c r="H65" i="15" a="1"/>
  <c r="H65" i="15" s="1"/>
  <c r="H89" i="15" a="1"/>
  <c r="H89" i="15" s="1"/>
  <c r="H112" i="15" a="1"/>
  <c r="H112" i="15" s="1"/>
  <c r="H80" i="15" a="1"/>
  <c r="H80" i="15" s="1"/>
  <c r="H135" i="15" a="1"/>
  <c r="H135" i="15" s="1"/>
  <c r="H9" i="15" a="1"/>
  <c r="H9" i="15" s="1"/>
  <c r="H68" i="15" a="1"/>
  <c r="H68" i="15" s="1"/>
  <c r="H92" i="15" a="1"/>
  <c r="H92" i="15" s="1"/>
  <c r="H111" i="15" a="1"/>
  <c r="H111" i="15" s="1"/>
  <c r="H93" i="15" a="1"/>
  <c r="H93" i="15" s="1"/>
  <c r="H24" i="15" a="1"/>
  <c r="H24" i="15" s="1"/>
  <c r="H42" i="15" a="1"/>
  <c r="H42" i="15" s="1"/>
  <c r="H53" i="15" a="1"/>
  <c r="H53" i="15" s="1"/>
  <c r="H77" i="15" a="1"/>
  <c r="H77" i="15" s="1"/>
  <c r="H100" i="15" a="1"/>
  <c r="H100" i="15" s="1"/>
  <c r="H130" i="15" a="1"/>
  <c r="H130" i="15" s="1"/>
  <c r="H75" i="15" a="1"/>
  <c r="H75" i="15" s="1"/>
  <c r="H3" i="15" a="1"/>
  <c r="H3" i="15" s="1"/>
  <c r="C2" i="15"/>
  <c r="H2" i="15" s="1" a="1"/>
  <c r="H2" i="15" s="1"/>
  <c r="M3" i="9"/>
  <c r="I2" i="25"/>
  <c r="M3" i="10"/>
  <c r="M3" i="7"/>
  <c r="M3" i="13"/>
  <c r="N1" i="25"/>
  <c r="A73" i="25" s="1"/>
  <c r="A79" i="25" a="1"/>
  <c r="Q1" i="25"/>
  <c r="J2" i="15"/>
  <c r="E139" i="15" l="1" a="1"/>
  <c r="E139" i="15" s="1"/>
  <c r="G2" i="15" a="1"/>
  <c r="G2" i="15" s="1"/>
  <c r="K2" i="15" a="1"/>
  <c r="K2" i="15" s="1"/>
  <c r="A6" i="25" a="1"/>
  <c r="A6" i="25" s="1"/>
  <c r="B6" i="25" s="1" a="1"/>
  <c r="B6" i="25" s="1"/>
  <c r="S2" i="3" a="1"/>
  <c r="S2" i="3" s="1"/>
  <c r="A79" i="25"/>
  <c r="G79" i="25" s="1" a="1"/>
  <c r="G79" i="25" s="1"/>
  <c r="E70" i="9"/>
  <c r="E61" i="9"/>
  <c r="E30" i="9"/>
  <c r="E98" i="9"/>
  <c r="E78" i="9"/>
  <c r="E38" i="9"/>
  <c r="E86" i="9"/>
  <c r="E114" i="9"/>
  <c r="E107" i="9"/>
  <c r="E82" i="9"/>
  <c r="E83" i="9"/>
  <c r="E105" i="9"/>
  <c r="E13" i="9"/>
  <c r="E120" i="9"/>
  <c r="E46" i="9"/>
  <c r="E99" i="9"/>
  <c r="E106" i="9"/>
  <c r="E60" i="9"/>
  <c r="E91" i="9"/>
  <c r="E93" i="9"/>
  <c r="E110" i="9"/>
  <c r="E50" i="9"/>
  <c r="E109" i="9"/>
  <c r="E119" i="9"/>
  <c r="E16" i="9"/>
  <c r="E21" i="9"/>
  <c r="E108" i="9"/>
  <c r="E49" i="9"/>
  <c r="E71" i="9"/>
  <c r="E95" i="9"/>
  <c r="E29" i="9"/>
  <c r="E45" i="9"/>
  <c r="E101" i="9"/>
  <c r="E74" i="9"/>
  <c r="E100" i="9"/>
  <c r="E24" i="9"/>
  <c r="E112" i="9"/>
  <c r="E48" i="9"/>
  <c r="E69" i="9"/>
  <c r="E43" i="9"/>
  <c r="E22" i="9"/>
  <c r="E67" i="9"/>
  <c r="E79" i="9"/>
  <c r="E81" i="9"/>
  <c r="E14" i="9"/>
  <c r="E73" i="9"/>
  <c r="E115" i="9"/>
  <c r="E25" i="9"/>
  <c r="E117" i="9"/>
  <c r="E72" i="9"/>
  <c r="E54" i="9"/>
  <c r="E20" i="9"/>
  <c r="E42" i="9"/>
  <c r="E94" i="9"/>
  <c r="E62" i="9"/>
  <c r="E31" i="9"/>
  <c r="E19" i="9"/>
  <c r="E55" i="9"/>
  <c r="E77" i="9"/>
  <c r="E12" i="9"/>
  <c r="E85" i="9"/>
  <c r="E47" i="9"/>
  <c r="E36" i="9"/>
  <c r="E102" i="9"/>
  <c r="E53" i="9"/>
  <c r="E116" i="9"/>
  <c r="E58" i="9"/>
  <c r="E84" i="9"/>
  <c r="E96" i="9"/>
  <c r="E35" i="9"/>
  <c r="E90" i="9"/>
  <c r="E37" i="9"/>
  <c r="E59" i="9"/>
  <c r="E57" i="9"/>
  <c r="E18" i="9"/>
  <c r="E66" i="9"/>
  <c r="E111" i="9"/>
  <c r="E41" i="9"/>
  <c r="E113" i="9"/>
  <c r="E97" i="9"/>
  <c r="E17" i="9"/>
  <c r="E33" i="9"/>
  <c r="E34" i="9"/>
  <c r="E104" i="9"/>
  <c r="E65" i="9"/>
  <c r="F139" i="15" l="1"/>
  <c r="L4" i="3"/>
  <c r="N4" i="3" s="1"/>
  <c r="B79" i="25" a="1"/>
  <c r="B79" i="25" s="1"/>
  <c r="D6" i="25" a="1"/>
  <c r="D6" i="25" s="1"/>
  <c r="D79" i="25" a="1"/>
  <c r="D79" i="25" s="1"/>
  <c r="C79" i="25" a="1"/>
  <c r="C79" i="25" s="1"/>
  <c r="F6" i="25" a="1"/>
  <c r="F6" i="25" s="1"/>
  <c r="G6" i="25" a="1"/>
  <c r="G6" i="25" s="1"/>
  <c r="C6" i="25" a="1"/>
  <c r="C6" i="25" s="1"/>
  <c r="F79" i="25" a="1"/>
  <c r="A143" i="25"/>
  <c r="A78" i="25"/>
  <c r="I2" i="5" l="1"/>
  <c r="I2" i="6"/>
  <c r="E140" i="15" a="1"/>
  <c r="E140" i="15" s="1"/>
  <c r="F140" i="15" s="1"/>
  <c r="E141" i="15" s="1" a="1"/>
  <c r="E141" i="15" s="1"/>
  <c r="F141" i="15" s="1"/>
  <c r="E142" i="15" s="1" a="1"/>
  <c r="E142" i="15" s="1"/>
  <c r="F142" i="15" s="1"/>
  <c r="E143" i="15" s="1" a="1"/>
  <c r="E143" i="15" s="1"/>
  <c r="F143" i="15" s="1"/>
  <c r="E144" i="15" s="1" a="1"/>
  <c r="E144" i="15" s="1"/>
  <c r="F144" i="15" s="1"/>
  <c r="E145" i="15" s="1" a="1"/>
  <c r="E145" i="15" s="1"/>
  <c r="F145" i="15" s="1"/>
  <c r="E146" i="15" s="1" a="1"/>
  <c r="E146" i="15" s="1"/>
  <c r="F146" i="15" s="1"/>
  <c r="E147" i="15" s="1" a="1"/>
  <c r="E147" i="15" s="1"/>
  <c r="F147" i="15" s="1"/>
  <c r="E148" i="15" s="1" a="1"/>
  <c r="E148" i="15" s="1"/>
  <c r="F148" i="15" s="1"/>
  <c r="E149" i="15" s="1" a="1"/>
  <c r="E149" i="15" s="1"/>
  <c r="F149" i="15" s="1"/>
  <c r="E150" i="15" s="1" a="1"/>
  <c r="E150" i="15" s="1"/>
  <c r="F150" i="15" s="1"/>
  <c r="E151" i="15" s="1" a="1"/>
  <c r="E151" i="15" s="1"/>
  <c r="F151" i="15" s="1"/>
  <c r="E152" i="15" s="1" a="1"/>
  <c r="E152" i="15" s="1"/>
  <c r="F152" i="15" s="1"/>
  <c r="E153" i="15" s="1" a="1"/>
  <c r="E153" i="15" s="1"/>
  <c r="F153" i="15" s="1"/>
  <c r="E154" i="15" s="1" a="1"/>
  <c r="E154" i="15" s="1"/>
  <c r="F154" i="15" s="1"/>
  <c r="E155" i="15" s="1" a="1"/>
  <c r="E155" i="15" s="1"/>
  <c r="F155" i="15" s="1"/>
  <c r="E156" i="15" s="1" a="1"/>
  <c r="E156" i="15" s="1"/>
  <c r="F156" i="15" s="1"/>
  <c r="E157" i="15" s="1" a="1"/>
  <c r="E157" i="15" s="1"/>
  <c r="F157" i="15" s="1"/>
  <c r="E158" i="15" s="1" a="1"/>
  <c r="E158" i="15" s="1"/>
  <c r="F158" i="15" s="1"/>
  <c r="E159" i="15" s="1" a="1"/>
  <c r="E159" i="15" s="1"/>
  <c r="F159" i="15" s="1"/>
  <c r="E160" i="15" s="1" a="1"/>
  <c r="E160" i="15" s="1"/>
  <c r="F160" i="15" s="1"/>
  <c r="E161" i="15" s="1" a="1"/>
  <c r="E161" i="15" s="1"/>
  <c r="F161" i="15" s="1"/>
  <c r="E162" i="15" s="1" a="1"/>
  <c r="E162" i="15" s="1"/>
  <c r="F162" i="15" s="1"/>
  <c r="E163" i="15" s="1" a="1"/>
  <c r="E163" i="15" s="1"/>
  <c r="F163" i="15" s="1"/>
  <c r="E164" i="15" s="1" a="1"/>
  <c r="E164" i="15" s="1"/>
  <c r="F164" i="15" s="1"/>
  <c r="E165" i="15" s="1" a="1"/>
  <c r="E165" i="15" s="1"/>
  <c r="F165" i="15" s="1"/>
  <c r="L5" i="3"/>
  <c r="B12" i="3" s="1"/>
  <c r="I6" i="25" a="1"/>
  <c r="I6" i="25" s="1"/>
  <c r="I73" i="25" s="1"/>
  <c r="I78" i="25" s="1"/>
  <c r="E6" i="25" a="1"/>
  <c r="E6" i="25" s="1"/>
  <c r="J13" i="3" a="1"/>
  <c r="J13" i="3" s="1"/>
  <c r="F79" i="25"/>
  <c r="E79" i="25" s="1" a="1"/>
  <c r="E79" i="25" s="1"/>
  <c r="H79" i="25" s="1" a="1"/>
  <c r="H79" i="25" s="1"/>
  <c r="H6" i="25" l="1" a="1"/>
  <c r="H6" i="25" s="1"/>
  <c r="H73" i="25" s="1"/>
  <c r="H78" i="25" s="1"/>
  <c r="H143" i="25" s="1"/>
  <c r="I79" i="25" a="1"/>
  <c r="I79" i="25" s="1"/>
  <c r="I143" i="25" s="1"/>
  <c r="J12" i="3" s="1"/>
  <c r="N12" i="3" s="1"/>
  <c r="J14" i="3" l="1"/>
  <c r="O12" i="3"/>
  <c r="N14" i="3" l="1"/>
  <c r="J23" i="3"/>
  <c r="O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D95DC-01E9-45CD-ADA4-48A7FE8507A9}" keepAlive="1" name="Query - 00_SPP2 Taseron Sozlesmeleri" description="Connection to the '00_SPP2 Taseron Sozlesmeleri' query in the workbook." type="5" refreshedVersion="0" background="1" saveData="1">
    <dbPr connection="Provider=Microsoft.Mashup.OleDb.1;Data Source=$Workbook$;Location=&quot;00_SPP2 Taseron Sozlesmeleri&quot;;Extended Properties=&quot;&quot;" command="SELECT * FROM [00_SPP2 Taseron Sozlesmeleri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<sst xmlns="http://schemas.openxmlformats.org/spreadsheetml/2006/main" count="16207" uniqueCount="749">
  <si>
    <t>Dönemi:</t>
  </si>
  <si>
    <t>Araç Sahibi                        :</t>
  </si>
  <si>
    <t>Plakası:</t>
  </si>
  <si>
    <t>Yakıt Türü                           :</t>
  </si>
  <si>
    <t>Gün</t>
  </si>
  <si>
    <t>Km Başı</t>
  </si>
  <si>
    <t>Km Sonu</t>
  </si>
  <si>
    <t>Sarf Km</t>
  </si>
  <si>
    <t>Yakıt (Litre)</t>
  </si>
  <si>
    <t>Başlama Saati</t>
  </si>
  <si>
    <t>Bitiş Saati</t>
  </si>
  <si>
    <t>Araç Takip Formu</t>
  </si>
  <si>
    <t>Kira Bedeli :</t>
  </si>
  <si>
    <t>Yakıt Fiyatı :</t>
  </si>
  <si>
    <t xml:space="preserve">Kolin Construction, Tourism, Industry and Trading Co. Inc.
 Kolin İnşaat, Turizm, Sənaye və Ticarət Co. Inc. </t>
  </si>
  <si>
    <t>Contract No</t>
  </si>
  <si>
    <t>IPC No</t>
  </si>
  <si>
    <t xml:space="preserve"> Interim Payment Certificate
Müvəqqəti Ödəniş Şəhadətnaməsi</t>
  </si>
  <si>
    <t>A</t>
  </si>
  <si>
    <t>B</t>
  </si>
  <si>
    <t>D</t>
  </si>
  <si>
    <t xml:space="preserve">No  </t>
  </si>
  <si>
    <t>Description of the Work
İşin təsviri</t>
  </si>
  <si>
    <t>Unit
Vahid</t>
  </si>
  <si>
    <t>Subcontractor
Subpodratçı</t>
  </si>
  <si>
    <t>Toplam :</t>
  </si>
  <si>
    <t xml:space="preserve">Invoice Period (Start):
Faktura müddəti (başlanğıc): </t>
  </si>
  <si>
    <t>Invoice Period (Finish):
Faktura müddəti (Son):</t>
  </si>
  <si>
    <t>Commencement Date:
Başlanğıc tarixi:</t>
  </si>
  <si>
    <t>Completion Date:
Bitmə tarixi:</t>
  </si>
  <si>
    <t>Contract Type (Subc.):
Müqavilənin növü (Subp.):</t>
  </si>
  <si>
    <t>Contract Value:
Müqavilənin dəyəri:</t>
  </si>
  <si>
    <t xml:space="preserve">Cumulative Value of The Previous Payment :
Öncəki ödənişlərin ümumi dəyəri: </t>
  </si>
  <si>
    <t>C</t>
  </si>
  <si>
    <t>E</t>
  </si>
  <si>
    <t xml:space="preserve">Subcontractor
Subpodratçı    </t>
  </si>
  <si>
    <t>Mazot</t>
  </si>
  <si>
    <t>Model:</t>
  </si>
  <si>
    <t>Çalışılan Gün</t>
  </si>
  <si>
    <t>+</t>
  </si>
  <si>
    <t>Ekskavatör</t>
  </si>
  <si>
    <t>Doosan 300</t>
  </si>
  <si>
    <t>Arıza Saati</t>
  </si>
  <si>
    <t>Loader</t>
  </si>
  <si>
    <t>30 K 151</t>
  </si>
  <si>
    <t>90 H 273</t>
  </si>
  <si>
    <r>
      <t xml:space="preserve">Unit Price </t>
    </r>
    <r>
      <rPr>
        <sz val="9"/>
        <rFont val="Times New Roman"/>
        <family val="1"/>
        <charset val="162"/>
      </rPr>
      <t>Vahidin qiyməti</t>
    </r>
  </si>
  <si>
    <r>
      <rPr>
        <b/>
        <sz val="14"/>
        <rFont val="Times New Roman"/>
        <family val="1"/>
        <charset val="162"/>
      </rPr>
      <t>Deductions</t>
    </r>
    <r>
      <rPr>
        <b/>
        <sz val="12"/>
        <rFont val="Times New Roman"/>
        <family val="1"/>
        <charset val="162"/>
      </rPr>
      <t xml:space="preserve">
Çıxılmalar</t>
    </r>
  </si>
  <si>
    <r>
      <rPr>
        <sz val="12"/>
        <rFont val="Times New Roman"/>
        <family val="1"/>
        <charset val="162"/>
      </rPr>
      <t>Advance Payment:</t>
    </r>
    <r>
      <rPr>
        <sz val="11"/>
        <rFont val="Times New Roman"/>
        <family val="1"/>
        <charset val="162"/>
      </rPr>
      <t xml:space="preserve">
Avans ödənişi:</t>
    </r>
  </si>
  <si>
    <r>
      <rPr>
        <sz val="12"/>
        <rFont val="Times New Roman"/>
        <family val="1"/>
        <charset val="162"/>
      </rPr>
      <t>On Site Deductions (Lunch,fuel,etc):</t>
    </r>
    <r>
      <rPr>
        <sz val="11"/>
        <rFont val="Times New Roman"/>
        <family val="1"/>
        <charset val="162"/>
      </rPr>
      <t xml:space="preserve">
</t>
    </r>
    <r>
      <rPr>
        <sz val="10"/>
        <rFont val="Times New Roman"/>
        <family val="1"/>
        <charset val="162"/>
      </rPr>
      <t>Sahə üzrə çıxılmalar (Yemək, yanacaq və s.)</t>
    </r>
  </si>
  <si>
    <r>
      <rPr>
        <sz val="12"/>
        <rFont val="Times New Roman"/>
        <family val="1"/>
        <charset val="162"/>
      </rPr>
      <t>Delay Penalties:</t>
    </r>
    <r>
      <rPr>
        <sz val="11"/>
        <rFont val="Times New Roman"/>
        <family val="1"/>
        <charset val="162"/>
      </rPr>
      <t xml:space="preserve">
Yubanmaya görə cərimələr:</t>
    </r>
  </si>
  <si>
    <r>
      <rPr>
        <sz val="12"/>
        <rFont val="Times New Roman"/>
        <family val="1"/>
        <charset val="162"/>
      </rPr>
      <t>Retention:</t>
    </r>
    <r>
      <rPr>
        <sz val="11"/>
        <rFont val="Times New Roman"/>
        <family val="1"/>
        <charset val="162"/>
      </rPr>
      <t xml:space="preserve">
Saxlanılma:</t>
    </r>
  </si>
  <si>
    <r>
      <rPr>
        <sz val="12"/>
        <rFont val="Times New Roman"/>
        <family val="1"/>
        <charset val="162"/>
      </rPr>
      <t>Others:</t>
    </r>
    <r>
      <rPr>
        <sz val="11"/>
        <rFont val="Times New Roman"/>
        <family val="1"/>
        <charset val="162"/>
      </rPr>
      <t xml:space="preserve">
Digərləri:</t>
    </r>
  </si>
  <si>
    <r>
      <rPr>
        <b/>
        <sz val="12"/>
        <rFont val="Times New Roman"/>
        <family val="1"/>
        <charset val="162"/>
      </rPr>
      <t>Total Amount (Deductions):</t>
    </r>
    <r>
      <rPr>
        <b/>
        <sz val="11"/>
        <rFont val="Times New Roman"/>
        <family val="1"/>
        <charset val="162"/>
      </rPr>
      <t xml:space="preserve">
Cəmi (Çıxılmalar):</t>
    </r>
  </si>
  <si>
    <t>Previous Quantity
Önceki Kəmiyyət</t>
  </si>
  <si>
    <t>Current Quantity
Hazirki Kəmiyyət</t>
  </si>
  <si>
    <t>Total Quantity
Ümumi Kəmiyyət</t>
  </si>
  <si>
    <t>…... / …... / 202…..</t>
  </si>
  <si>
    <t>Project :
Layihə:</t>
  </si>
  <si>
    <t xml:space="preserve">Subcontractor:
Subpodratçı:  </t>
  </si>
  <si>
    <t>Scope of Work:
İşin həcmi:</t>
  </si>
  <si>
    <t>Payment Table
 Ödəniş cədvəli</t>
  </si>
  <si>
    <t>E = C x D</t>
  </si>
  <si>
    <t>F = B x D</t>
  </si>
  <si>
    <t>Unit Price
Vahidin dəyəri</t>
  </si>
  <si>
    <t>Current Amount 
Hazırki Məbləğ</t>
  </si>
  <si>
    <t>Amount
Məbləğ</t>
  </si>
  <si>
    <t>Kolin Construction, Tourism, Industry and Trading Co. Inc.
 Kolin İnşaat, Turizm, Sənaye və Ticarət Co. Inc.</t>
  </si>
  <si>
    <t>Interim Payment Certificate (IPC)
Müvəqqəti Ödəniş Şəhadətnaməsi</t>
  </si>
  <si>
    <t>m³</t>
  </si>
  <si>
    <t>ton</t>
  </si>
  <si>
    <t>m</t>
  </si>
  <si>
    <t>Approved by: Project Manager
Təsdiqləyən şəxs: Layihə Rəhbəri</t>
  </si>
  <si>
    <t>TEOMAN ULUDAĞ</t>
  </si>
  <si>
    <t>H E S A B    C Ə D V Ə L İ</t>
  </si>
  <si>
    <t>LAYİHƏ ADI</t>
  </si>
  <si>
    <t>DESCRİPTİON OF THE WORK
İŞİN TƏSVİRİ</t>
  </si>
  <si>
    <t>Bənd No</t>
  </si>
  <si>
    <t>Ölçü Vahidi</t>
  </si>
  <si>
    <t>TOPLAM</t>
  </si>
  <si>
    <t>m²</t>
  </si>
  <si>
    <t>(-)</t>
  </si>
  <si>
    <t>(+)</t>
  </si>
  <si>
    <t>IPC NO</t>
  </si>
  <si>
    <r>
      <t xml:space="preserve">Tamalanma
</t>
    </r>
    <r>
      <rPr>
        <b/>
        <sz val="10"/>
        <rFont val="Times New Roman"/>
        <family val="1"/>
        <charset val="204"/>
      </rPr>
      <t>%</t>
    </r>
  </si>
  <si>
    <t>Uzunluq</t>
  </si>
  <si>
    <t>Eni</t>
  </si>
  <si>
    <t>Hündürlük</t>
  </si>
  <si>
    <t>Alan</t>
  </si>
  <si>
    <t>ədəd</t>
  </si>
  <si>
    <t>Grobeton</t>
  </si>
  <si>
    <t>Boru Menfez</t>
  </si>
  <si>
    <t>Kutu Menfez</t>
  </si>
  <si>
    <t>Km 2+623</t>
  </si>
  <si>
    <t>Temel Grobeton</t>
  </si>
  <si>
    <t>Kanat Duvar Temel Grobeton</t>
  </si>
  <si>
    <t>Köprü</t>
  </si>
  <si>
    <t>Km 3+433</t>
  </si>
  <si>
    <t>Km 0+830</t>
  </si>
  <si>
    <t>Beton</t>
  </si>
  <si>
    <t>Km 1+308</t>
  </si>
  <si>
    <t>Km 1+630</t>
  </si>
  <si>
    <t>Km 1+840</t>
  </si>
  <si>
    <t>Km 3+185</t>
  </si>
  <si>
    <t>Temel Grobeton Trapez Ek</t>
  </si>
  <si>
    <t>Temel</t>
  </si>
  <si>
    <t>Temel Alt Parapet Kenar</t>
  </si>
  <si>
    <t>Temel Alt Parapet Orta</t>
  </si>
  <si>
    <t>Perde</t>
  </si>
  <si>
    <t>Döşeme</t>
  </si>
  <si>
    <t>Döşeme Parapet</t>
  </si>
  <si>
    <t>Donatı</t>
  </si>
  <si>
    <t>Giriş-Çıkış Temel Grobeton</t>
  </si>
  <si>
    <t>Giriş-Çıkış Temel Grobeton Uç</t>
  </si>
  <si>
    <t>Topuk Betonu</t>
  </si>
  <si>
    <t>Büz Temel</t>
  </si>
  <si>
    <t>Giriş-Çıkış Temel</t>
  </si>
  <si>
    <t>Giriş-Çıkış Temel Uç</t>
  </si>
  <si>
    <t>Kanat Duvar</t>
  </si>
  <si>
    <t>Giriş-Çıkış Perde</t>
  </si>
  <si>
    <t>Giriş-Çıkış Temel Perde Altı Ek</t>
  </si>
  <si>
    <t>Beton C30/37</t>
  </si>
  <si>
    <t>A1 Temel</t>
  </si>
  <si>
    <t>A2 Temel</t>
  </si>
  <si>
    <t>A1 Elevasyon</t>
  </si>
  <si>
    <t>A1 Elevasyon Guse</t>
  </si>
  <si>
    <t>A1 Kanat Duvar - Sol</t>
  </si>
  <si>
    <t>A1 Kanat Duvar - Sağ</t>
  </si>
  <si>
    <t>A2 Elevasyon</t>
  </si>
  <si>
    <t>A2 Elevasyon Guse</t>
  </si>
  <si>
    <t>A2 Kanat Duvar - Sol</t>
  </si>
  <si>
    <t>A2 Kanat Duvar - Sağ</t>
  </si>
  <si>
    <t>A1 Deprem Takozu</t>
  </si>
  <si>
    <t>A2 Deprem Takozu</t>
  </si>
  <si>
    <t>İzolasyon</t>
  </si>
  <si>
    <t>A1 Elevasyon Arka</t>
  </si>
  <si>
    <t>A1 Kanat Duvar - Sol Ek</t>
  </si>
  <si>
    <t>A1 Elevasyon Ön</t>
  </si>
  <si>
    <t>A2 Elevasyon Arka</t>
  </si>
  <si>
    <t>A2 Elevasyon Ön</t>
  </si>
  <si>
    <t>A2 Kanat Duvar - Sol Ek</t>
  </si>
  <si>
    <t>A1 Kanat Duvar - Sağ Ek</t>
  </si>
  <si>
    <t>A2 Kanat Duvar - Sağ Ek</t>
  </si>
  <si>
    <t>Kenar Ayak Donatı</t>
  </si>
  <si>
    <t>Deprem Takozu Donatı</t>
  </si>
  <si>
    <t>Technical Office Manager 
Texniki Şöbə Rəhbəri</t>
  </si>
  <si>
    <t>Site Manager
Sahə Rəhbəri</t>
  </si>
  <si>
    <t xml:space="preserve">ERDİNÇ DELİBAŞI
</t>
  </si>
  <si>
    <t>Department Chief
Bölmə Şefi</t>
  </si>
  <si>
    <t>ay</t>
  </si>
  <si>
    <t>Aylıq Ücret</t>
  </si>
  <si>
    <t>Elave Ücret</t>
  </si>
  <si>
    <t>gün</t>
  </si>
  <si>
    <t>Hakan Alkan</t>
  </si>
  <si>
    <t>Monitorinq Xidməti</t>
  </si>
  <si>
    <t>Su Testi</t>
  </si>
  <si>
    <t>Kaynak Testi</t>
  </si>
  <si>
    <t>Armatür Test (Tensile st., Yield st., Elangation)</t>
  </si>
  <si>
    <t>Ultrasonic Pulse Echo (Betonarme)</t>
  </si>
  <si>
    <t>Armatür Test (Bend)</t>
  </si>
  <si>
    <t>Construction of the facilities and buildings, storages, and other structures, including roads and all industrial utilities for establishment of “Sitalchay 2” Production Plant</t>
  </si>
  <si>
    <t>Pull-Out for Paint</t>
  </si>
  <si>
    <t>Tensile testing of embedded rebar</t>
  </si>
  <si>
    <t>CASPIAN ENGINEERING SOLUTIONS MMC</t>
  </si>
  <si>
    <t>Contract and Progress Payment Chief 
Ödəniş Sertifikatı Üzrə Məsul şəxs</t>
  </si>
  <si>
    <t>MEHMET TEVFİK ÇELİKKOL</t>
  </si>
  <si>
    <t>TURGAY BAL</t>
  </si>
  <si>
    <t>ID</t>
  </si>
  <si>
    <t>#</t>
  </si>
  <si>
    <t>Discipline code</t>
  </si>
  <si>
    <t>CW</t>
  </si>
  <si>
    <t>Contract no:</t>
  </si>
  <si>
    <t>No</t>
  </si>
  <si>
    <t>IPC no</t>
  </si>
  <si>
    <t>Commencement Date</t>
  </si>
  <si>
    <t>contract no</t>
  </si>
  <si>
    <t>start</t>
  </si>
  <si>
    <t>no</t>
  </si>
  <si>
    <t>Subcontractor</t>
  </si>
  <si>
    <t>Scope of Work</t>
  </si>
  <si>
    <t>unit</t>
  </si>
  <si>
    <t>ipc no</t>
  </si>
  <si>
    <t>price description</t>
  </si>
  <si>
    <t>month</t>
  </si>
  <si>
    <t>quantity</t>
  </si>
  <si>
    <t>plate no</t>
  </si>
  <si>
    <t>addendum</t>
  </si>
  <si>
    <t>is active</t>
  </si>
  <si>
    <t>conctract no</t>
  </si>
  <si>
    <t>əd</t>
  </si>
  <si>
    <t>44 KVA (YT22100145)</t>
  </si>
  <si>
    <t>110 KVA (YT19105911)</t>
  </si>
  <si>
    <t>75 KVA (YT21225224)</t>
  </si>
  <si>
    <t>50 KVA (YT05103727)</t>
  </si>
  <si>
    <t>70 KVA</t>
  </si>
  <si>
    <t>490 KVA (EA20A100709)</t>
  </si>
  <si>
    <t>75 KVA (YT24124975)</t>
  </si>
  <si>
    <t>44 KVA Bakım Ücreti</t>
  </si>
  <si>
    <t>110 KVA Bakım Ücreti</t>
  </si>
  <si>
    <t>75 KVA Bakım Ücreti</t>
  </si>
  <si>
    <t>50 KVA Bakım Ücreti</t>
  </si>
  <si>
    <t>70 KVA Bakım Ücreti</t>
  </si>
  <si>
    <t>490 KVA Bakim Ucreti</t>
  </si>
  <si>
    <t>75 KVA Bakim Ucreti</t>
  </si>
  <si>
    <t>AKSA AD 330 KVA</t>
  </si>
  <si>
    <t>330 KVA Bakim Ucreti</t>
  </si>
  <si>
    <t>EQ</t>
  </si>
  <si>
    <t>HİLAL LTD</t>
  </si>
  <si>
    <t>Jenerator Hizmeti</t>
  </si>
  <si>
    <t>NAR TRANSPORT SERVICES MMC</t>
  </si>
  <si>
    <t>AKKOL HAZIR YEMEK SAN. TIC. AS</t>
  </si>
  <si>
    <t>HARDCORE CE MMC</t>
  </si>
  <si>
    <t>LOFT CONSTRUCTION</t>
  </si>
  <si>
    <t>INTERMAK GROUP MMC</t>
  </si>
  <si>
    <t>ETIBAR MAMMADOV</t>
  </si>
  <si>
    <t>BABEK ALBANDOV</t>
  </si>
  <si>
    <t>ELSAD QULIYEV</t>
  </si>
  <si>
    <t>IBRAHIM XALILOV</t>
  </si>
  <si>
    <t>HACIAGA KERIMOV</t>
  </si>
  <si>
    <t>RUSLAN HUSEYINOV</t>
  </si>
  <si>
    <t>KONUL HUSEYNOVA</t>
  </si>
  <si>
    <t>MAMMAD QALANDARLI</t>
  </si>
  <si>
    <t>TEYMUR ABBASOV</t>
  </si>
  <si>
    <t>MIRELEM CABBROV</t>
  </si>
  <si>
    <t>AS RT MMC</t>
  </si>
  <si>
    <t>AA</t>
  </si>
  <si>
    <t>in charge person</t>
  </si>
  <si>
    <t>description</t>
  </si>
  <si>
    <t>day count</t>
  </si>
  <si>
    <t>Rental Vehicle
Kiralıq Vasitə</t>
  </si>
  <si>
    <t>Total price</t>
  </si>
  <si>
    <t>Coeifficient Price</t>
  </si>
  <si>
    <t>99CN447</t>
  </si>
  <si>
    <t>99AS882</t>
  </si>
  <si>
    <t>99OR961</t>
  </si>
  <si>
    <t>Mazot Ödemesi (15 lt - 18 lt / 100 km)-lt</t>
  </si>
  <si>
    <t>Plate no</t>
  </si>
  <si>
    <t>lt</t>
  </si>
  <si>
    <t>99LT168</t>
  </si>
  <si>
    <t>99FB123</t>
  </si>
  <si>
    <t>90OV187</t>
  </si>
  <si>
    <t>77UG347</t>
  </si>
  <si>
    <t>66CC029</t>
  </si>
  <si>
    <t>77QK725</t>
  </si>
  <si>
    <t>90SL686</t>
  </si>
  <si>
    <t>77GM723</t>
  </si>
  <si>
    <t>99DX531</t>
  </si>
  <si>
    <t>15BZ942</t>
  </si>
  <si>
    <t>99BT339</t>
  </si>
  <si>
    <t>77ET143</t>
  </si>
  <si>
    <t>52BK688</t>
  </si>
  <si>
    <t>77RN868</t>
  </si>
  <si>
    <t>99TV366</t>
  </si>
  <si>
    <t>77QE133</t>
  </si>
  <si>
    <t>53BB774</t>
  </si>
  <si>
    <t>77GR998</t>
  </si>
  <si>
    <t>01CC689</t>
  </si>
  <si>
    <t>50CN929</t>
  </si>
  <si>
    <t>50BN724</t>
  </si>
  <si>
    <t>10RN527</t>
  </si>
  <si>
    <t>99HZ395</t>
  </si>
  <si>
    <t>77AT386</t>
  </si>
  <si>
    <t>90PY548</t>
  </si>
  <si>
    <t>99EM163</t>
  </si>
  <si>
    <t>77VL420</t>
  </si>
  <si>
    <t>55CB633</t>
  </si>
  <si>
    <t>50DK730</t>
  </si>
  <si>
    <t>99MN472</t>
  </si>
  <si>
    <t>99LM412</t>
  </si>
  <si>
    <t>50BD165</t>
  </si>
  <si>
    <t>90VS316</t>
  </si>
  <si>
    <t>77UR032</t>
  </si>
  <si>
    <t>99KL663</t>
  </si>
  <si>
    <t>90LS143</t>
  </si>
  <si>
    <t>90OE402</t>
  </si>
  <si>
    <t>50EF902</t>
  </si>
  <si>
    <t>77TG971</t>
  </si>
  <si>
    <t>77SR538</t>
  </si>
  <si>
    <t>99UK314</t>
  </si>
  <si>
    <t>99FO779</t>
  </si>
  <si>
    <t>21BF442</t>
  </si>
  <si>
    <t>90EC344</t>
  </si>
  <si>
    <t>50FB264</t>
  </si>
  <si>
    <t>99GZ612</t>
  </si>
  <si>
    <t>17BE358</t>
  </si>
  <si>
    <t>53BD338</t>
  </si>
  <si>
    <t>77DK884</t>
  </si>
  <si>
    <t>77PV619</t>
  </si>
  <si>
    <t>10NS184</t>
  </si>
  <si>
    <t>10ZS260</t>
  </si>
  <si>
    <t>Fuel lt/100km</t>
  </si>
  <si>
    <t>year</t>
  </si>
  <si>
    <t>SERVIS - 01CC689 - Sahə-saat</t>
  </si>
  <si>
    <t>SERVIS - 01CC689 - Sahə-tək</t>
  </si>
  <si>
    <t>SERVIS - 10NS184 - Sahə-saat</t>
  </si>
  <si>
    <t>SERVIS - 10NS184 - Sahə-tək</t>
  </si>
  <si>
    <t>SERVIS - 10RN527 - Sahə-saat</t>
  </si>
  <si>
    <t>SERVIS - 10RN527 - Sahə_v1-saat</t>
  </si>
  <si>
    <t>SERVIS - 10RN527 - Sahə-tək</t>
  </si>
  <si>
    <t>SERVIS - 10RN527 - Sahə_v1-tək</t>
  </si>
  <si>
    <t>SERVIS - 10ZS260 - Sahə-tək</t>
  </si>
  <si>
    <t>SERVIS - 15BZ942 - Sahə-saat</t>
  </si>
  <si>
    <t>SERVIS - 15BZ942 - Sahə-tək</t>
  </si>
  <si>
    <t>SERVIS - 17BE358 - Sahə-saat</t>
  </si>
  <si>
    <t>SERVIS - 17BE358 - Sahə-tək</t>
  </si>
  <si>
    <t>SERVIS - 21BF442 - Sahə-saat</t>
  </si>
  <si>
    <t>SERVIS - 21BF442 - Sahə-tək</t>
  </si>
  <si>
    <t>SERVIS - 50BD165 - Sahə-saat</t>
  </si>
  <si>
    <t>SERVIS - 50BD165 - Sahə-tək</t>
  </si>
  <si>
    <t>SERVIS - 50BN724 - Sahə-saat</t>
  </si>
  <si>
    <t>SERVIS - 50BN724 - Sahə-tək</t>
  </si>
  <si>
    <t>SERVIS - 50CN929 - Sahə-saat</t>
  </si>
  <si>
    <t>SERVIS - 50CN929 - Sahə-tək</t>
  </si>
  <si>
    <t>SERVIS - 50DK730 - Sahə-saat</t>
  </si>
  <si>
    <t>SERVIS - 50DK730 - Sahə-tək</t>
  </si>
  <si>
    <t>SERVIS - 50EF902 - Sahə-saat</t>
  </si>
  <si>
    <t>SERVIS - 50EF902 - Sahə-tək</t>
  </si>
  <si>
    <t>SERVIS - 52BK688 - Sahə-saat</t>
  </si>
  <si>
    <t>SERVIS - 52BK688 - Sahə-tək</t>
  </si>
  <si>
    <t>SERVIS - 53BB774 - Sahə-saat</t>
  </si>
  <si>
    <t>SERVIS - 53BB774 - Sahə-tək</t>
  </si>
  <si>
    <t>SERVIS - 53BD338 - Sahə-saat</t>
  </si>
  <si>
    <t>SERVIS - 53BD338 - Sahə-tək</t>
  </si>
  <si>
    <t>SERVIS - 55CB633 - Sahə-saat</t>
  </si>
  <si>
    <t>SERVIS - 55CB633 - Sahə-tək</t>
  </si>
  <si>
    <t>SERVIS - 66CC029 - Sahə-saat</t>
  </si>
  <si>
    <t>SERVIS - 66CC029 - Sahə-tək</t>
  </si>
  <si>
    <t>SERVIS - 77AT386 - Satınalma-saat</t>
  </si>
  <si>
    <t>SERVIS - 77AT386 - Satınalma-tək</t>
  </si>
  <si>
    <t>SERVIS - 77ET143 - Sahə-saat</t>
  </si>
  <si>
    <t>SERVIS - 77ET143 - Sahə-tək</t>
  </si>
  <si>
    <t>SERVIS - 77GM723 - Sahə-saat</t>
  </si>
  <si>
    <t>SERVIS - 77GM723 - Sahə-tək</t>
  </si>
  <si>
    <t>SERVIS - 77GR998 - Sahə-cüt</t>
  </si>
  <si>
    <t>SERVIS - 77GR998 - Sahə_v1-cüt</t>
  </si>
  <si>
    <t>SERVIS - 77GR998 - Sahə-saat</t>
  </si>
  <si>
    <t>SERVIS - 77GR998 - Sahə-tək</t>
  </si>
  <si>
    <t>SERVIS - 77PV619 - Satınalma-saat</t>
  </si>
  <si>
    <t>SERVIS - 77PV619 - Satınalma-tək</t>
  </si>
  <si>
    <t>SERVIS - 77QE133 - Baku-saat</t>
  </si>
  <si>
    <t>SERVIS - 77QE133 - Baku-tək</t>
  </si>
  <si>
    <t>SERVIS - 77RN868 - Baku-saat</t>
  </si>
  <si>
    <t>SERVIS - 77RN868 - Baku-tək</t>
  </si>
  <si>
    <t>SERVIS - 77SR538 - Baku-saat</t>
  </si>
  <si>
    <t>SERVIS - 77SR538 - Baku-tək</t>
  </si>
  <si>
    <t>SERVIS - 77TG971 - Sahə-saat</t>
  </si>
  <si>
    <t>SERVIS - 77TG971 - Sahə-tək</t>
  </si>
  <si>
    <t>SERVIS - 77UG347 - Sumqayıt-saat</t>
  </si>
  <si>
    <t>SERVIS - 77UG347 - Sumqayıt-tək</t>
  </si>
  <si>
    <t>SERVIS - 77UR032 - Sahə-saat</t>
  </si>
  <si>
    <t>SERVIS - 77UR032 - Sahə-tək</t>
  </si>
  <si>
    <t>SERVIS - 90EC344 - Sahə-saat</t>
  </si>
  <si>
    <t>SERVIS - 90EC344 - Sahə-tək</t>
  </si>
  <si>
    <t>SERVIS - 90LS143 - Sahə-saat</t>
  </si>
  <si>
    <t>SERVIS - 90LS143 - Sahə-tək</t>
  </si>
  <si>
    <t>SERVIS - 90OE402 - Baku-saat</t>
  </si>
  <si>
    <t>SERVIS - 90OE402 - Baku-tək</t>
  </si>
  <si>
    <t>SERVIS - 90OV187 - Baku-saat</t>
  </si>
  <si>
    <t>SERVIS - 90OV187 - Baku-tək</t>
  </si>
  <si>
    <t>SERVIS - 90PY548 - Satınalma-saat</t>
  </si>
  <si>
    <t>SERVIS - 90PY548 - Satınalma-tək</t>
  </si>
  <si>
    <t>SERVIS - 90SL686 - Aeroport-saat</t>
  </si>
  <si>
    <t>SERVIS - 90SL686 - Aeroport-tək</t>
  </si>
  <si>
    <t>SERVIS - 90VS316 - Sahə-saat</t>
  </si>
  <si>
    <t>SERVIS - 90VS316 - Sahə-tək</t>
  </si>
  <si>
    <t>SERVIS - 90YN163 - Satınalma-saat</t>
  </si>
  <si>
    <t>SERVIS - 90YN163 - Satınalma-tək</t>
  </si>
  <si>
    <t>SERVIS - 99BT339 - Sahə-cüt</t>
  </si>
  <si>
    <t>SERVIS - 99BT339 - Sahə_v1-cüt</t>
  </si>
  <si>
    <t>SERVIS - 99BT339 - Sahə-saat</t>
  </si>
  <si>
    <t>SERVIS - 99BT339 - Sahə-tək</t>
  </si>
  <si>
    <t>SERVIS - 99CN447 - Sahə-saat</t>
  </si>
  <si>
    <t>SERVIS - 99CN447 - Sahə-tək</t>
  </si>
  <si>
    <t>SERVIS - 99DX531 - Sahə-saat</t>
  </si>
  <si>
    <t>SERVIS - 99DX531 - Sahə-tək</t>
  </si>
  <si>
    <t>SERVIS - 99EM163 - Sahə-cüt</t>
  </si>
  <si>
    <t>SERVIS - 99EM163 - Sahə-saat</t>
  </si>
  <si>
    <t>SERVIS - 99EM163 - Sahə-tək</t>
  </si>
  <si>
    <t>SERVIS - 99FB123 - Baku-saat</t>
  </si>
  <si>
    <t>SERVIS - 99FB123 - Baku-tək</t>
  </si>
  <si>
    <t>SERVIS - 99FO779 - Sahə-saat</t>
  </si>
  <si>
    <t>SERVIS - 99FO779 - Sahə-tək</t>
  </si>
  <si>
    <t>SERVIS - 99GZ612 - Sahə-saat</t>
  </si>
  <si>
    <t>SERVIS - 99GZ612 - Sahə-tək</t>
  </si>
  <si>
    <t>SERVIS - 99HZ395 - Sumqayıt-saat</t>
  </si>
  <si>
    <t>SERVIS - 99HZ395 - Sumqayıt-tək</t>
  </si>
  <si>
    <t>SERVIS - 99KL663 - Sahə-saat</t>
  </si>
  <si>
    <t>SERVIS - 99KL663 - Sahə-tək</t>
  </si>
  <si>
    <t>SERVIS - 99LT168 - Baku-saat</t>
  </si>
  <si>
    <t>SERVIS - 99LT168 - Baku-tək</t>
  </si>
  <si>
    <t>SERVIS - 99MN472 - Sahə-saat</t>
  </si>
  <si>
    <t>SERVIS - 99MN472 - Sahə-tək</t>
  </si>
  <si>
    <t>SERVIS - 99OR961 - Sahə-saat</t>
  </si>
  <si>
    <t>SERVIS - 99OR961 - Sahə-tək</t>
  </si>
  <si>
    <t>SERVIS - 99TV366 - Sahə-saat</t>
  </si>
  <si>
    <t>SERVIS - 99TV366 - Sahə-tək</t>
  </si>
  <si>
    <t>SERVIS - 99UK314 - Aeroport-saat</t>
  </si>
  <si>
    <t>SERVIS - 99UK314 - Aeroport-tək</t>
  </si>
  <si>
    <t>VAQON - 99LM412 - Sahə-saat</t>
  </si>
  <si>
    <t>VAQON - 99LM412 - Sahə-tək</t>
  </si>
  <si>
    <t>ZİBİL MAŞINI - 77QK725-saat</t>
  </si>
  <si>
    <t>ZİBİL MAŞINI - 77QK725-tək</t>
  </si>
  <si>
    <t>99JE233</t>
  </si>
  <si>
    <t>110FY524 - CAT CS 56B Vərdənə (Cylinder)-tək</t>
  </si>
  <si>
    <t>110FY524 - CAT CS 56B Vərdənə (Cylinder)-cüt</t>
  </si>
  <si>
    <t>110FY524 - CAT CS 56B Vərdənə (Cylinder)-saat</t>
  </si>
  <si>
    <t>10AB468 - CAT428F Beko-Loader (Operatorlu)-tək</t>
  </si>
  <si>
    <t>10AB468 - CAT428F Beko-Loader (Operatorlu)-cüt</t>
  </si>
  <si>
    <t>10AB468 - CAT428F Beko-Loader (Operatorlu)-saat</t>
  </si>
  <si>
    <t>110FY523 - CAT CS 56B Vərdənə (Cylinder)-saat</t>
  </si>
  <si>
    <t>110FY523 - CAT CS 56B Vərdənə (Cylinder)-cüt</t>
  </si>
  <si>
    <t>10AD801 - Hyundai R380LC-9SH Ekskavator - (Operatorlu)-tək</t>
  </si>
  <si>
    <t>10AD801 - Hyundai R380LC-9SH Ekskavator - (Operatorlu)-cüt</t>
  </si>
  <si>
    <t>10AD801 - Hyundai R380LC-9SH Ekskavator - (Operatorlu)-saat</t>
  </si>
  <si>
    <t>110FY523 - CAT CS 56B Vərdənə (Cylinder)-tək</t>
  </si>
  <si>
    <t>AMBULANCE - 99AS882</t>
  </si>
  <si>
    <t>AMBULANCE - 99JE233</t>
  </si>
  <si>
    <t>110FY523</t>
  </si>
  <si>
    <t>110FY524</t>
  </si>
  <si>
    <t>R-1</t>
  </si>
  <si>
    <t>Hours</t>
  </si>
  <si>
    <t>ZİBİL MAŞINI - 77VL420 - Camp-saat</t>
  </si>
  <si>
    <t>ZİBİL MAŞINI - 77VL420 - Camp-tək</t>
  </si>
  <si>
    <t>M-1</t>
  </si>
  <si>
    <t/>
  </si>
  <si>
    <t>100km/lt</t>
  </si>
  <si>
    <t>Date</t>
  </si>
  <si>
    <t>Quantity</t>
  </si>
  <si>
    <t>R-2</t>
  </si>
  <si>
    <t>AZN</t>
  </si>
  <si>
    <t>90ZP408</t>
  </si>
  <si>
    <t>Notes</t>
  </si>
  <si>
    <t>Diğer aydan +5 gün</t>
  </si>
  <si>
    <t>Diğer aydan +6 gün</t>
  </si>
  <si>
    <t>Diğer aydan +56 saat</t>
  </si>
  <si>
    <t>Diğer aydan +9 gün</t>
  </si>
  <si>
    <t>SERVIS - 90ZP408 - Sahə-tək</t>
  </si>
  <si>
    <t>SERVIS - 90ZP408 - Sahə-saat</t>
  </si>
  <si>
    <t>7th is with 11 hours</t>
  </si>
  <si>
    <t>6th is with 11 hours</t>
  </si>
  <si>
    <t>Single</t>
  </si>
  <si>
    <t>Double</t>
  </si>
  <si>
    <t>Mayıs 25 ayından eksik odenen 2 gün ilave edilmiştir</t>
  </si>
  <si>
    <t>Mayıs 25 Düzeltme</t>
  </si>
  <si>
    <t>paid double</t>
  </si>
  <si>
    <t>for some reason gotten from 01CC969 sheet. Real value is 362.4</t>
  </si>
  <si>
    <t>Haziran ayından 40 saat mesai</t>
  </si>
  <si>
    <t>günlük sabit 7 km</t>
  </si>
  <si>
    <t>notes</t>
  </si>
  <si>
    <t>deduced 6lt per day</t>
  </si>
  <si>
    <t>deduced 9lt for 9 days</t>
  </si>
  <si>
    <t>mistakenly calculated</t>
  </si>
  <si>
    <t>added 751.5 from June 2025</t>
  </si>
  <si>
    <t>added 140 from July 2025</t>
  </si>
  <si>
    <t>km of 28th manually removed</t>
  </si>
  <si>
    <t>90YN163</t>
  </si>
  <si>
    <t>57BV285</t>
  </si>
  <si>
    <t>90RC631</t>
  </si>
  <si>
    <t>90UX686</t>
  </si>
  <si>
    <t>99DT131</t>
  </si>
  <si>
    <t>SERVIS - 57BV285 - Sahə-saat</t>
  </si>
  <si>
    <t>SERVIS - 57BV285 - Sahə-tək</t>
  </si>
  <si>
    <t>SERVIS - 90UX686 - Sahə-saat</t>
  </si>
  <si>
    <t>SERVIS - 90UX686 - Sahə-tək</t>
  </si>
  <si>
    <t>SERVIS - 99DT131 - Sahə-saat</t>
  </si>
  <si>
    <t>SERVIS - 99DT131 - Sahə-tək</t>
  </si>
  <si>
    <t>R-3</t>
  </si>
  <si>
    <t>R-4</t>
  </si>
  <si>
    <t>12l calculated</t>
  </si>
  <si>
    <t>18l calculated</t>
  </si>
  <si>
    <t>Pickup - 90RC631 - Cesan crane-tək</t>
  </si>
  <si>
    <t>Pickup - 90RC631 - Cesan crane-saat</t>
  </si>
  <si>
    <t>Pickup - 50FB264 - Kamyonet-saat</t>
  </si>
  <si>
    <t>Pickup - 50FB264 - Kamyonet-tək</t>
  </si>
  <si>
    <t>Pickup - 77DK884 - Çift Kabin (Remez)-saat</t>
  </si>
  <si>
    <t>Pickup - 77DK884 - Çift Kabin (Remez)-tək</t>
  </si>
  <si>
    <t>AMBULANCE - 99AS882-gün</t>
  </si>
  <si>
    <t>AMBULANCE - 99JE233-gün</t>
  </si>
  <si>
    <t>+8 not reason noted</t>
  </si>
  <si>
    <t>07:00</t>
  </si>
  <si>
    <t>18:00</t>
  </si>
  <si>
    <t>05:30</t>
  </si>
  <si>
    <t>02:30</t>
  </si>
  <si>
    <t>00:00</t>
  </si>
  <si>
    <t>01:55</t>
  </si>
  <si>
    <t>01:30</t>
  </si>
  <si>
    <t>05:00</t>
  </si>
  <si>
    <t>8356</t>
  </si>
  <si>
    <t>8585</t>
  </si>
  <si>
    <t>8823</t>
  </si>
  <si>
    <t>9064</t>
  </si>
  <si>
    <t>07:45</t>
  </si>
  <si>
    <t>19:00</t>
  </si>
  <si>
    <t>20:00</t>
  </si>
  <si>
    <t>21:00</t>
  </si>
  <si>
    <t>00:38</t>
  </si>
  <si>
    <t>07:57</t>
  </si>
  <si>
    <t>07:07</t>
  </si>
  <si>
    <t>07:18</t>
  </si>
  <si>
    <t>07:30</t>
  </si>
  <si>
    <t>05:16</t>
  </si>
  <si>
    <t>06:27</t>
  </si>
  <si>
    <t>06:57</t>
  </si>
  <si>
    <t>07:26</t>
  </si>
  <si>
    <t>06:48</t>
  </si>
  <si>
    <t>06:50</t>
  </si>
  <si>
    <t>00:30</t>
  </si>
  <si>
    <t>06:44</t>
  </si>
  <si>
    <t>06:34</t>
  </si>
  <si>
    <t>00:45</t>
  </si>
  <si>
    <t>06:00</t>
  </si>
  <si>
    <t>06:30</t>
  </si>
  <si>
    <t>06:38</t>
  </si>
  <si>
    <t>00:50</t>
  </si>
  <si>
    <t>19:30</t>
  </si>
  <si>
    <t>22:00</t>
  </si>
  <si>
    <t>20:59</t>
  </si>
  <si>
    <t>20:31</t>
  </si>
  <si>
    <t>20:09</t>
  </si>
  <si>
    <t>20:42</t>
  </si>
  <si>
    <t>20:30</t>
  </si>
  <si>
    <t>00:15</t>
  </si>
  <si>
    <t>06:35</t>
  </si>
  <si>
    <t>03:10</t>
  </si>
  <si>
    <t>23:00</t>
  </si>
  <si>
    <t>06:26</t>
  </si>
  <si>
    <t>06:22</t>
  </si>
  <si>
    <t>04:00</t>
  </si>
  <si>
    <t>03:00</t>
  </si>
  <si>
    <t>02:00</t>
  </si>
  <si>
    <t>09:20</t>
  </si>
  <si>
    <t>14:00</t>
  </si>
  <si>
    <t>01:00</t>
  </si>
  <si>
    <t>13:00</t>
  </si>
  <si>
    <t>time-start</t>
  </si>
  <si>
    <t>time-end</t>
  </si>
  <si>
    <t>km-start</t>
  </si>
  <si>
    <t>km-end</t>
  </si>
  <si>
    <t>deduced 4.4 from each day</t>
  </si>
  <si>
    <t>deduced 4l from each day</t>
  </si>
  <si>
    <t>deduced 6l from each day</t>
  </si>
  <si>
    <t>deduced 2l from each day</t>
  </si>
  <si>
    <t>deduced 5l from each day</t>
  </si>
  <si>
    <t>km-start-n</t>
  </si>
  <si>
    <t>km-end-n</t>
  </si>
  <si>
    <t>Kahvaltı Hizmeti Verimesi</t>
  </si>
  <si>
    <t>Öğle Yemeği Hizmeti Verilmesi</t>
  </si>
  <si>
    <t>Akşam Yemeği Hizmeti Verilmesi</t>
  </si>
  <si>
    <t>Gece Yemeği Hizmeti Verilmesi</t>
  </si>
  <si>
    <t>Kumanya Hizmeti Verilmesi</t>
  </si>
  <si>
    <t>Kumanya Hizmeti Verilmesi (Kahvaltılık)</t>
  </si>
  <si>
    <t>ad</t>
  </si>
  <si>
    <t>Kahvaltı Hizmeti Verimesi_v1</t>
  </si>
  <si>
    <t>Öğle Yemeği Hizmeti Verilmesi_v1</t>
  </si>
  <si>
    <t>Akşam Yemeği Hizmeti Verilmesi_v1</t>
  </si>
  <si>
    <t>Gece Yemeği Hizmeti Verilmesi_v1</t>
  </si>
  <si>
    <t>Kumanya Hizmeti Verilmesi_v1</t>
  </si>
  <si>
    <t>person</t>
  </si>
  <si>
    <t>Kahvaltı Hizmeti Verimesi_v2</t>
  </si>
  <si>
    <t>Öğle Yemeği Hizmeti Verilmesi_v2</t>
  </si>
  <si>
    <t>Akşam Yemeği Hizmeti Verilmesi_v2</t>
  </si>
  <si>
    <t>Gece Yemeği Hizmeti Verilmesi_v2</t>
  </si>
  <si>
    <t>Kumanya Hizmeti Verilmesi_v2</t>
  </si>
  <si>
    <t>case</t>
  </si>
  <si>
    <t>10AD801</t>
  </si>
  <si>
    <t>10AB468</t>
  </si>
  <si>
    <t>type</t>
  </si>
  <si>
    <t>61AB256</t>
  </si>
  <si>
    <t>Luigong GLG 4215D Avtoqreyder - (Operatorlu) 61 AB 256-tək</t>
  </si>
  <si>
    <t>Luigong GLG 4215D Avtoqreyder - (Operatorlu) 61 AB 256-cüt</t>
  </si>
  <si>
    <t>10 BA 194 - HELI Telehandler-tək</t>
  </si>
  <si>
    <t>10 BA 194 - HELI Telehandler-saat</t>
  </si>
  <si>
    <t>10BA194</t>
  </si>
  <si>
    <t>10 BA 857 - XCMG XC6-4517K-tək</t>
  </si>
  <si>
    <t>10 BA 857 - XCMG XC6-4517K-saat</t>
  </si>
  <si>
    <t>10BA857</t>
  </si>
  <si>
    <t>10 AC 750 - Luigong CLG Buldozer-tək</t>
  </si>
  <si>
    <t>DTS MMC</t>
  </si>
  <si>
    <t>10AC750</t>
  </si>
  <si>
    <t>10 AC 750 - Luigong CLG Buldozer-saat</t>
  </si>
  <si>
    <t>10 BC 326 - Luigong CLG Avtoqreyder-tək</t>
  </si>
  <si>
    <t>10BC326</t>
  </si>
  <si>
    <t>01-BA-176 -Doosan DH55-V Ekskavator-tək</t>
  </si>
  <si>
    <t>10 BD 252 - Liugong CLG 375A Frontal Yükləyici-tək</t>
  </si>
  <si>
    <t>01BA176</t>
  </si>
  <si>
    <t>10BD252</t>
  </si>
  <si>
    <t>77 SN 951 - Mobil Beton Pompa
Mercedes-Benz Actros 3341 model Putzmeister-tək</t>
  </si>
  <si>
    <t>77 SN 951 - Mobil Beton Pompa
Mercedes-Benz Actros 3341 model Putzmeister-saat</t>
  </si>
  <si>
    <t>77SN951</t>
  </si>
  <si>
    <t>90 VJ 454 - 53-12 Ş-DƏ ATS-3613 yanacaq çəni-tək</t>
  </si>
  <si>
    <t>90VJ454</t>
  </si>
  <si>
    <t>6&amp;7 2025</t>
  </si>
  <si>
    <t>XANIM ABDULLAYEVA</t>
  </si>
  <si>
    <t xml:space="preserve"> Kamaz Su Çəni (54 BM 823)-tək</t>
  </si>
  <si>
    <t xml:space="preserve"> Kamaz Su Çəni (54 BM 823)-saat</t>
  </si>
  <si>
    <t xml:space="preserve"> Kamaz Su Çəni (01 BT 754)-tək</t>
  </si>
  <si>
    <t xml:space="preserve"> Kamaz Su Çəni (10 MF 640)-tək</t>
  </si>
  <si>
    <t xml:space="preserve"> Kamaz Su Çəni (10 MF 640)-saat</t>
  </si>
  <si>
    <t>54BM823</t>
  </si>
  <si>
    <t>01BT754</t>
  </si>
  <si>
    <t>10MF640</t>
  </si>
  <si>
    <t>54BA209</t>
  </si>
  <si>
    <t>54 BA 209 - Hidromek HMK 200W-2 ekskavator-tək</t>
  </si>
  <si>
    <t>50 BX 301 Kamaz Su Çəni-tək</t>
  </si>
  <si>
    <t>YUSIF MAHARRAMOV</t>
  </si>
  <si>
    <t>50BX301</t>
  </si>
  <si>
    <t>50 BD 416 - KAMAZ – 5410 yük-tək</t>
  </si>
  <si>
    <t>50 BD 416 - KAMAZ – 5410 yük-saat</t>
  </si>
  <si>
    <t>50BD416</t>
  </si>
  <si>
    <t>50 BX 301 Kamaz Su Çəni-saat</t>
  </si>
  <si>
    <t>22 AB 273 -  Hitachi ZX48U-3 ekskavator-tək</t>
  </si>
  <si>
    <t>22AB273</t>
  </si>
  <si>
    <t>99 HQ 687 Kamaz Su Çəni -tək</t>
  </si>
  <si>
    <t>99 HQ 687 Kamaz Su Çəni -saat</t>
  </si>
  <si>
    <t>10 MF 640 Kamaz Su Çəni -tək</t>
  </si>
  <si>
    <t>10 MF 640 Kamaz Su Çəni -saat</t>
  </si>
  <si>
    <t>99HQ687</t>
  </si>
  <si>
    <t>Personnel Trainings</t>
  </si>
  <si>
    <t>ISO 9001:2015 Keyfiyyət İdarəetmə sistemi – Giriş Məlumatlandırma təlimi
3 gün x 9 saat</t>
  </si>
  <si>
    <t>set</t>
  </si>
  <si>
    <t>QM</t>
  </si>
  <si>
    <t>BUREAU VERITAS AZERI MMC</t>
  </si>
  <si>
    <t>QUALIFY MMC</t>
  </si>
  <si>
    <t>Inspection of Welding WPS‐A: İnce divarlar
 D=75,125,160 X 6.8, 9.5, 11 mm.</t>
  </si>
  <si>
    <t>pc</t>
  </si>
  <si>
    <t>Inspection of Welding WPS‐B: Orta qalınlıqlar
 D=200,225,280 X 18, 20.5, 25 mm.</t>
  </si>
  <si>
    <t>Inspection of Welding WPS‐C: Qalın divarlar — &gt;25 mm
 D=400 X 32 mm.</t>
  </si>
  <si>
    <t>S235 markali tikişli borunun qaynaq prosedurunun hazırlanması</t>
  </si>
  <si>
    <t>A106  markalı borunun qaynaq prosedurunun hazırlanması</t>
  </si>
  <si>
    <t>Boru qaynaqçı testlərində iştirak və sertifikatlarının hazırlanması</t>
  </si>
  <si>
    <t>MIG/MAG qaynaqçı testlərində iştirak və sertifikatlarının hazırlanması</t>
  </si>
  <si>
    <t>Materialların mexaniki və kimyəvi test raportlarının hazırlanması</t>
  </si>
  <si>
    <t>99XC106</t>
  </si>
  <si>
    <t>99XC106 
MERCEDES BENZ YUK Hi-up Kran-tək</t>
  </si>
  <si>
    <t>Truck
Dartıcı</t>
  </si>
  <si>
    <t>11BC843 - DAIMAN – dartıcı-tək</t>
  </si>
  <si>
    <t>11BC843 - DAIMAN – dartıcı-saat</t>
  </si>
  <si>
    <t>11BC843</t>
  </si>
  <si>
    <t>10V288</t>
  </si>
  <si>
    <t>Bomag roller - 10V288-tək</t>
  </si>
  <si>
    <t>Bomag roller - 10V288-saat</t>
  </si>
  <si>
    <t>Sökülmə yapıma möhkəmliyi sınağı
Dolly test (pull-off Adhesion)</t>
  </si>
  <si>
    <t>point</t>
  </si>
  <si>
    <t>Name</t>
  </si>
  <si>
    <t>Calculated</t>
  </si>
  <si>
    <t>Deduction</t>
  </si>
  <si>
    <t>Contract Date</t>
  </si>
  <si>
    <t>Calc. fuel</t>
  </si>
  <si>
    <t>Diff. dist.</t>
  </si>
  <si>
    <t>double</t>
  </si>
  <si>
    <t>single</t>
  </si>
  <si>
    <t>hour</t>
  </si>
  <si>
    <t>end</t>
  </si>
  <si>
    <t>SERVIS - 99LT168 - Baku-fuel</t>
  </si>
  <si>
    <t>SERVIS - 99HZ395 - Sumqayıt-fuel</t>
  </si>
  <si>
    <t>SERVIS - 90OV187 - Baku-fuel</t>
  </si>
  <si>
    <t>SERVIS - 90ZP408 - Sahə-fuel</t>
  </si>
  <si>
    <t>SERVIS - 77AT386 - Satınalma-fuel</t>
  </si>
  <si>
    <t>SERVIS - 66CC029 - Sahə-fuel</t>
  </si>
  <si>
    <t>SERVIS - 90SL686 - Aeroport-fuel</t>
  </si>
  <si>
    <t>Pickup - 50FB264 - Kamyonet-fuel</t>
  </si>
  <si>
    <t>SERVIS - 01CC689 - Sahə-fuel</t>
  </si>
  <si>
    <t>SERVIS - 10NS184 - Sahə-fuel</t>
  </si>
  <si>
    <t>SERVIS - 10RN527 - Sahə-fuel</t>
  </si>
  <si>
    <t>SERVIS - 10ZS260 - Sahə-fuel</t>
  </si>
  <si>
    <t>SERVIS - 15BZ942 - Sahə-fuel</t>
  </si>
  <si>
    <t>SERVIS - 17BE358 - Sahə-fuel</t>
  </si>
  <si>
    <t>SERVIS - 21BF442 - Sahə-fuel</t>
  </si>
  <si>
    <t>SERVIS - 50BD165 - Sahə-fuel</t>
  </si>
  <si>
    <t>SERVIS - 50BN724 - Sahə-fuel</t>
  </si>
  <si>
    <t>SERVIS - 50CN929 - Sahə-fuel</t>
  </si>
  <si>
    <t>SERVIS - 50DK730 - Sahə-fuel</t>
  </si>
  <si>
    <t>SERVIS - 50EF902 - Sahə-fuel</t>
  </si>
  <si>
    <t>SERVIS - 52BK688 - Sahə-fuel</t>
  </si>
  <si>
    <t>SERVIS - 53BB774 - Sahə-fuel</t>
  </si>
  <si>
    <t>SERVIS - 53BD338 - Sahə-fuel</t>
  </si>
  <si>
    <t>SERVIS - 55CB633 - Sahə-fuel</t>
  </si>
  <si>
    <t>SERVIS - 77ET143 - Sahə-fuel</t>
  </si>
  <si>
    <t>SERVIS - 77GM723 - Sahə-fuel</t>
  </si>
  <si>
    <t>SERVIS - 77GR998 - Sahə-fuel</t>
  </si>
  <si>
    <t>SERVIS - 77QE133 - Baku-fuel</t>
  </si>
  <si>
    <t>SERVIS - 77RN868 - Baku-fuel</t>
  </si>
  <si>
    <t>SERVIS - 77SR538 - Baku-fuel</t>
  </si>
  <si>
    <t>SERVIS - 77TG971 - Sahə-fuel</t>
  </si>
  <si>
    <t>SERVIS - 77UR032 - Sahə-fuel</t>
  </si>
  <si>
    <t>SERVIS - 90EC344 - Sahə-fuel</t>
  </si>
  <si>
    <t>SERVIS - 90LS143 - Sahə-fuel</t>
  </si>
  <si>
    <t>SERVIS - 90OE402 - Baku-fuel</t>
  </si>
  <si>
    <t>SERVIS - 90VS316 - Sahə-fuel</t>
  </si>
  <si>
    <t>SERVIS - 90YN163 - Satınalma-fuel</t>
  </si>
  <si>
    <t>SERVIS - 99BT339 - Sahə-fuel</t>
  </si>
  <si>
    <t>SERVIS - 99CN447 - Sahə-fuel</t>
  </si>
  <si>
    <t>SERVIS - 99DX531 - Sahə-fuel</t>
  </si>
  <si>
    <t>SERVIS - 99EM163 - Sahə-fuel</t>
  </si>
  <si>
    <t>SERVIS - 99FO779 - Sahə-fuel</t>
  </si>
  <si>
    <t>SERVIS - 99GZ612 - Sahə-fuel</t>
  </si>
  <si>
    <t>SERVIS - 99KL663 - Sahə-fuel</t>
  </si>
  <si>
    <t>SERVIS - 99MN472 - Sahə-fuel</t>
  </si>
  <si>
    <t>SERVIS - 99OR961 - Sahə-fuel</t>
  </si>
  <si>
    <t>SERVIS - 99TV366 - Sahə-fuel</t>
  </si>
  <si>
    <t>SERVIS - 99UK314 - Aeroport-fuel</t>
  </si>
  <si>
    <t>VAQON - 99LM412 - Sahə-fuel</t>
  </si>
  <si>
    <t>SERVIS - 57BV285 - Sahə-fuel</t>
  </si>
  <si>
    <t>SERVIS - 90UX686 - Sahə-fuel</t>
  </si>
  <si>
    <t>SERVIS - 99DT131 - Sahə-fuel</t>
  </si>
  <si>
    <t>Pickup - 90RC631 - Cesan crane-fuel</t>
  </si>
  <si>
    <t>fuel</t>
  </si>
  <si>
    <t>price no</t>
  </si>
  <si>
    <t>Price no select</t>
  </si>
  <si>
    <t>starting from date</t>
  </si>
  <si>
    <t>price type</t>
  </si>
  <si>
    <t>Plateno</t>
  </si>
  <si>
    <t>plateno</t>
  </si>
  <si>
    <t>Value of The Works Executed Within Current Period [A  B] :
Cari müddət [A  B] ərzində görülmüş işlərin dəyəri:</t>
  </si>
  <si>
    <t>Net Payment:    [  C  D  ]
Xalis ödəniş:     [  C  D  ]</t>
  </si>
  <si>
    <t>B = C  A</t>
  </si>
  <si>
    <t>date</t>
  </si>
  <si>
    <t>IPC</t>
  </si>
  <si>
    <t>Contract</t>
  </si>
  <si>
    <t>Plate</t>
  </si>
  <si>
    <t>Distance</t>
  </si>
  <si>
    <t>Amount</t>
  </si>
  <si>
    <t>Amount (AZN)</t>
  </si>
  <si>
    <t>Calculated Quantity (l)</t>
  </si>
  <si>
    <t>Provided</t>
  </si>
  <si>
    <t>Diff.</t>
  </si>
  <si>
    <t>Litres per 100km</t>
  </si>
  <si>
    <t>IPC log</t>
  </si>
  <si>
    <t>Diff</t>
  </si>
  <si>
    <t>Price</t>
  </si>
  <si>
    <t>Mesut Fırat</t>
  </si>
  <si>
    <t>İbrahim Kemik</t>
  </si>
  <si>
    <t>Cartering Service</t>
  </si>
  <si>
    <t>Month</t>
  </si>
  <si>
    <t>Retention - First Aid Training</t>
  </si>
  <si>
    <t>Retention - First Fire Training</t>
  </si>
  <si>
    <t>Retention - Hygiene Non-Compliance Penalty</t>
  </si>
  <si>
    <t>Retention - Unsatisfactory meal quality</t>
  </si>
  <si>
    <t>Retention - Fuel Reduction</t>
  </si>
  <si>
    <t>Retention - Mistakes for 8&amp;9&amp;10-25-single day</t>
  </si>
  <si>
    <t>Retention - Mistakes for 8&amp;9&amp;10-25 - hour</t>
  </si>
  <si>
    <t>Retention - SƏTƏMM Cərimə Kesintisi (İSG)</t>
  </si>
  <si>
    <t>Barış Gültekin</t>
  </si>
  <si>
    <t>Ertuğ Kuban</t>
  </si>
  <si>
    <t>Dilaver Türk</t>
  </si>
  <si>
    <t>İbrahim Akgün</t>
  </si>
  <si>
    <t>addendum no</t>
  </si>
  <si>
    <t>Person in Charge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</si>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</sst>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\-* #,##0.00_-;_-* &quot;-&quot;??_-;_-@_-"/>
    <numFmt numFmtId="165" formatCode="[$-41F]mmmm\ yy;@"/>
    <numFmt numFmtId="166" formatCode="hh:mm;@"/>
    <numFmt numFmtId="167" formatCode="0.00\ &quot;Saat&quot;"/>
    <numFmt numFmtId="168" formatCode="#,##0.00\ &quot;Litre&quot;"/>
    <numFmt numFmtId="169" formatCode="0.00\ &quot;AZN/Litre&quot;"/>
    <numFmt numFmtId="170" formatCode="&quot;$&quot;#,##0.00"/>
    <numFmt numFmtId="171" formatCode="[$-409]d\-mmm\-yy;@"/>
    <numFmt numFmtId="172" formatCode="#,##0.00\ &quot;LD&quot;"/>
    <numFmt numFmtId="173" formatCode="0.0\ &quot;Gün&quot;"/>
    <numFmt numFmtId="174" formatCode="0.00\ &quot;AZN/gün&quot;"/>
    <numFmt numFmtId="175" formatCode="0.00\ &quot;Gün&quot;"/>
    <numFmt numFmtId="176" formatCode="#,##0.00\ [$₼-82C]"/>
    <numFmt numFmtId="177" formatCode="#,##0.00\ [$₼-42C]"/>
    <numFmt numFmtId="178" formatCode="&quot;KOL-ST-R-&quot;00#"/>
    <numFmt numFmtId="179" formatCode="_-* #,##0\ _T_L_-;\-* #,##0\ _T_L_-;_-* &quot;-&quot;\ _T_L_-;_-@_-"/>
    <numFmt numFmtId="180" formatCode="#,##0.000"/>
    <numFmt numFmtId="181" formatCode="0.0"/>
    <numFmt numFmtId="182" formatCode="#,##0.0\ [$₼-42C]"/>
    <numFmt numFmtId="183" formatCode="h:mm;@"/>
    <numFmt numFmtId="184" formatCode="0.000000"/>
    <numFmt numFmtId="185" formatCode="_(* #,##0_);_(* \(#,##0\);_(* &quot;-&quot;??_);_(@_)"/>
    <numFmt numFmtId="186" formatCode="mmmm\ yyyy"/>
  </numFmts>
  <fonts count="3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name val="Arial"/>
      <family val="2"/>
    </font>
    <font>
      <sz val="10"/>
      <name val="Arial"/>
      <family val="2"/>
      <charset val="162"/>
    </font>
    <font>
      <b/>
      <sz val="11"/>
      <name val="Times New Roman"/>
      <family val="1"/>
      <charset val="162"/>
    </font>
    <font>
      <b/>
      <sz val="13"/>
      <name val="Times New Roman"/>
      <family val="1"/>
      <charset val="162"/>
    </font>
    <font>
      <b/>
      <sz val="10"/>
      <name val="Times New Roman"/>
      <family val="1"/>
      <charset val="162"/>
    </font>
    <font>
      <sz val="11"/>
      <name val="Times New Roman"/>
      <family val="1"/>
      <charset val="162"/>
    </font>
    <font>
      <b/>
      <sz val="12"/>
      <name val="Times New Roman"/>
      <family val="1"/>
      <charset val="162"/>
    </font>
    <font>
      <sz val="9"/>
      <name val="Times New Roman"/>
      <family val="1"/>
      <charset val="162"/>
    </font>
    <font>
      <sz val="10"/>
      <name val="Times New Roman"/>
      <family val="1"/>
      <charset val="162"/>
    </font>
    <font>
      <b/>
      <sz val="14"/>
      <name val="Times New Roman"/>
      <family val="1"/>
      <charset val="162"/>
    </font>
    <font>
      <sz val="12"/>
      <name val="Times New Roman"/>
      <family val="1"/>
      <charset val="162"/>
    </font>
    <font>
      <b/>
      <sz val="9"/>
      <name val="Times New Roman"/>
      <family val="1"/>
      <charset val="162"/>
    </font>
    <font>
      <sz val="11"/>
      <color theme="1"/>
      <name val="Times New Roman"/>
      <family val="1"/>
      <charset val="162"/>
    </font>
    <font>
      <sz val="12"/>
      <color theme="1"/>
      <name val="Times New Roman"/>
      <family val="1"/>
      <charset val="162"/>
    </font>
    <font>
      <sz val="8"/>
      <name val="Calibri"/>
      <family val="2"/>
      <scheme val="minor"/>
    </font>
    <font>
      <b/>
      <sz val="8"/>
      <name val="Times New Roman"/>
      <family val="1"/>
      <charset val="162"/>
    </font>
    <font>
      <sz val="9"/>
      <color rgb="FFFF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162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6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2">
    <xf numFmtId="0" fontId="0" fillId="0" borderId="0"/>
    <xf numFmtId="0" fontId="5" fillId="0" borderId="0"/>
    <xf numFmtId="0" fontId="6" fillId="0" borderId="0"/>
    <xf numFmtId="179" fontId="6" fillId="0" borderId="0" applyFont="0" applyFill="0" applyBorder="0" applyAlignment="0" applyProtection="0"/>
    <xf numFmtId="0" fontId="6" fillId="0" borderId="0"/>
    <xf numFmtId="0" fontId="6" fillId="0" borderId="0"/>
    <xf numFmtId="9" fontId="27" fillId="0" borderId="0" applyFont="0" applyFill="0" applyBorder="0" applyAlignment="0" applyProtection="0"/>
    <xf numFmtId="0" fontId="29" fillId="0" borderId="0"/>
    <xf numFmtId="164" fontId="29" fillId="0" borderId="0" applyFont="0" applyFill="0" applyBorder="0" applyAlignment="0" applyProtection="0"/>
    <xf numFmtId="0" fontId="30" fillId="0" borderId="0" applyNumberFormat="0" applyFont="0" applyFill="0" applyBorder="0" applyAlignment="0" applyProtection="0">
      <alignment vertical="top"/>
    </xf>
    <xf numFmtId="164" fontId="6" fillId="0" borderId="0" applyFont="0" applyFill="0" applyBorder="0" applyAlignment="0" applyProtection="0"/>
    <xf numFmtId="43" fontId="27" fillId="0" borderId="0" applyFont="0" applyFill="0" applyBorder="0" applyAlignment="0" applyProtection="0"/>
  </cellStyleXfs>
  <cellXfs count="405">
    <xf numFmtId="0" fontId="0" fillId="0" borderId="0" xfId="0"/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/>
    <xf numFmtId="0" fontId="2" fillId="0" borderId="0" xfId="0" applyFont="1" applyAlignment="1">
      <alignment horizontal="center"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/>
    <xf numFmtId="0" fontId="0" fillId="0" borderId="0" xfId="0" applyAlignment="1">
      <alignment horizontal="center" vertical="center"/>
    </xf>
    <xf numFmtId="0" fontId="0" fillId="0" borderId="5" xfId="0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4" fontId="0" fillId="0" borderId="13" xfId="0" applyNumberFormat="1" applyBorder="1" applyAlignment="1">
      <alignment horizontal="center" vertical="center"/>
    </xf>
    <xf numFmtId="20" fontId="0" fillId="0" borderId="0" xfId="0" applyNumberFormat="1" applyAlignment="1">
      <alignment vertical="center"/>
    </xf>
    <xf numFmtId="0" fontId="0" fillId="0" borderId="14" xfId="0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/>
    <xf numFmtId="0" fontId="0" fillId="3" borderId="19" xfId="0" applyFill="1" applyBorder="1"/>
    <xf numFmtId="0" fontId="0" fillId="0" borderId="22" xfId="0" applyBorder="1" applyAlignment="1">
      <alignment vertical="center"/>
    </xf>
    <xf numFmtId="2" fontId="0" fillId="0" borderId="15" xfId="0" applyNumberForma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169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right" vertical="center"/>
    </xf>
    <xf numFmtId="4" fontId="0" fillId="0" borderId="11" xfId="0" applyNumberForma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168" fontId="3" fillId="0" borderId="18" xfId="0" applyNumberFormat="1" applyFont="1" applyBorder="1" applyAlignment="1">
      <alignment horizontal="center" vertical="center"/>
    </xf>
    <xf numFmtId="167" fontId="3" fillId="0" borderId="18" xfId="0" applyNumberFormat="1" applyFont="1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 vertical="center"/>
    </xf>
    <xf numFmtId="4" fontId="3" fillId="0" borderId="1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4" fontId="0" fillId="0" borderId="7" xfId="0" applyNumberFormat="1" applyBorder="1" applyAlignment="1">
      <alignment horizontal="center" vertical="center"/>
    </xf>
    <xf numFmtId="175" fontId="3" fillId="0" borderId="21" xfId="0" applyNumberFormat="1" applyFont="1" applyBorder="1" applyAlignment="1">
      <alignment horizontal="center" vertical="center"/>
    </xf>
    <xf numFmtId="166" fontId="0" fillId="0" borderId="69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3" fontId="0" fillId="0" borderId="69" xfId="0" applyNumberFormat="1" applyBorder="1" applyAlignment="1">
      <alignment horizontal="center" vertical="center"/>
    </xf>
    <xf numFmtId="4" fontId="0" fillId="0" borderId="69" xfId="0" applyNumberFormat="1" applyBorder="1" applyAlignment="1">
      <alignment horizontal="center" vertical="center"/>
    </xf>
    <xf numFmtId="0" fontId="7" fillId="0" borderId="1" xfId="1" applyFont="1" applyBorder="1" applyAlignment="1">
      <alignment vertical="center" wrapText="1"/>
    </xf>
    <xf numFmtId="171" fontId="10" fillId="0" borderId="54" xfId="1" applyNumberFormat="1" applyFont="1" applyBorder="1" applyAlignment="1">
      <alignment horizontal="center" vertical="center" wrapText="1"/>
    </xf>
    <xf numFmtId="14" fontId="10" fillId="0" borderId="54" xfId="1" applyNumberFormat="1" applyFont="1" applyBorder="1" applyAlignment="1">
      <alignment horizontal="center" vertical="center" wrapText="1"/>
    </xf>
    <xf numFmtId="172" fontId="10" fillId="0" borderId="54" xfId="1" applyNumberFormat="1" applyFont="1" applyBorder="1" applyAlignment="1">
      <alignment horizontal="center" vertical="center" wrapText="1"/>
    </xf>
    <xf numFmtId="0" fontId="7" fillId="0" borderId="61" xfId="1" applyFont="1" applyBorder="1" applyAlignment="1">
      <alignment horizontal="center" vertical="center"/>
    </xf>
    <xf numFmtId="0" fontId="7" fillId="0" borderId="2" xfId="1" applyFont="1" applyBorder="1" applyAlignment="1">
      <alignment vertical="center" wrapText="1"/>
    </xf>
    <xf numFmtId="0" fontId="7" fillId="0" borderId="55" xfId="1" applyFont="1" applyBorder="1" applyAlignment="1">
      <alignment vertical="center" wrapText="1"/>
    </xf>
    <xf numFmtId="0" fontId="7" fillId="0" borderId="19" xfId="1" applyFont="1" applyBorder="1" applyAlignment="1">
      <alignment vertical="center" wrapText="1"/>
    </xf>
    <xf numFmtId="0" fontId="7" fillId="0" borderId="32" xfId="1" applyFont="1" applyBorder="1" applyAlignment="1">
      <alignment vertical="center" wrapText="1"/>
    </xf>
    <xf numFmtId="0" fontId="7" fillId="0" borderId="62" xfId="1" applyFont="1" applyBorder="1" applyAlignment="1">
      <alignment horizontal="center" vertical="center"/>
    </xf>
    <xf numFmtId="0" fontId="7" fillId="0" borderId="49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11" fillId="0" borderId="4" xfId="1" applyFont="1" applyBorder="1" applyAlignment="1">
      <alignment wrapText="1"/>
    </xf>
    <xf numFmtId="0" fontId="11" fillId="0" borderId="37" xfId="1" applyFont="1" applyBorder="1" applyAlignment="1">
      <alignment wrapText="1"/>
    </xf>
    <xf numFmtId="0" fontId="11" fillId="0" borderId="34" xfId="1" applyFont="1" applyBorder="1" applyAlignment="1">
      <alignment wrapText="1"/>
    </xf>
    <xf numFmtId="0" fontId="11" fillId="0" borderId="34" xfId="1" applyFont="1" applyBorder="1"/>
    <xf numFmtId="0" fontId="11" fillId="0" borderId="5" xfId="1" applyFont="1" applyBorder="1"/>
    <xf numFmtId="0" fontId="7" fillId="0" borderId="51" xfId="1" applyFont="1" applyBorder="1" applyAlignment="1">
      <alignment vertical="center" wrapText="1"/>
    </xf>
    <xf numFmtId="0" fontId="11" fillId="0" borderId="0" xfId="1" applyFont="1" applyAlignment="1">
      <alignment wrapText="1"/>
    </xf>
    <xf numFmtId="0" fontId="11" fillId="0" borderId="0" xfId="1" applyFont="1"/>
    <xf numFmtId="0" fontId="16" fillId="0" borderId="33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20" fillId="0" borderId="32" xfId="0" applyFont="1" applyBorder="1" applyAlignment="1">
      <alignment vertical="center"/>
    </xf>
    <xf numFmtId="0" fontId="20" fillId="0" borderId="32" xfId="0" applyFont="1" applyBorder="1" applyAlignment="1">
      <alignment vertical="center" wrapText="1"/>
    </xf>
    <xf numFmtId="0" fontId="16" fillId="0" borderId="5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1" fontId="23" fillId="0" borderId="79" xfId="3" applyNumberFormat="1" applyFont="1" applyFill="1" applyBorder="1" applyAlignment="1">
      <alignment horizontal="center" vertical="center" wrapText="1"/>
    </xf>
    <xf numFmtId="180" fontId="22" fillId="0" borderId="46" xfId="3" applyNumberFormat="1" applyFont="1" applyFill="1" applyBorder="1" applyAlignment="1">
      <alignment horizontal="center" vertical="center"/>
    </xf>
    <xf numFmtId="180" fontId="22" fillId="0" borderId="79" xfId="3" applyNumberFormat="1" applyFont="1" applyFill="1" applyBorder="1" applyAlignment="1">
      <alignment horizontal="center" vertical="center"/>
    </xf>
    <xf numFmtId="180" fontId="22" fillId="0" borderId="47" xfId="3" applyNumberFormat="1" applyFont="1" applyFill="1" applyBorder="1" applyAlignment="1">
      <alignment horizontal="center" vertical="center"/>
    </xf>
    <xf numFmtId="180" fontId="22" fillId="0" borderId="80" xfId="3" applyNumberFormat="1" applyFont="1" applyFill="1" applyBorder="1" applyAlignment="1">
      <alignment horizontal="right" vertical="center"/>
    </xf>
    <xf numFmtId="1" fontId="13" fillId="4" borderId="30" xfId="3" applyNumberFormat="1" applyFont="1" applyFill="1" applyBorder="1" applyAlignment="1">
      <alignment horizontal="center" vertical="center"/>
    </xf>
    <xf numFmtId="1" fontId="13" fillId="4" borderId="33" xfId="3" applyNumberFormat="1" applyFont="1" applyFill="1" applyBorder="1" applyAlignment="1">
      <alignment horizontal="center" vertical="center"/>
    </xf>
    <xf numFmtId="3" fontId="13" fillId="4" borderId="33" xfId="3" applyNumberFormat="1" applyFont="1" applyFill="1" applyBorder="1" applyAlignment="1">
      <alignment horizontal="center" vertical="center"/>
    </xf>
    <xf numFmtId="180" fontId="13" fillId="4" borderId="33" xfId="3" applyNumberFormat="1" applyFont="1" applyFill="1" applyBorder="1" applyAlignment="1">
      <alignment horizontal="center" vertical="center"/>
    </xf>
    <xf numFmtId="3" fontId="24" fillId="4" borderId="33" xfId="0" applyNumberFormat="1" applyFont="1" applyFill="1" applyBorder="1" applyAlignment="1">
      <alignment horizontal="center" vertical="center"/>
    </xf>
    <xf numFmtId="4" fontId="13" fillId="4" borderId="33" xfId="3" applyNumberFormat="1" applyFont="1" applyFill="1" applyBorder="1" applyAlignment="1">
      <alignment horizontal="center" vertical="center"/>
    </xf>
    <xf numFmtId="4" fontId="24" fillId="4" borderId="60" xfId="0" applyNumberFormat="1" applyFont="1" applyFill="1" applyBorder="1" applyAlignment="1">
      <alignment horizontal="center" vertical="center"/>
    </xf>
    <xf numFmtId="2" fontId="13" fillId="0" borderId="69" xfId="3" applyNumberFormat="1" applyFont="1" applyFill="1" applyBorder="1" applyAlignment="1">
      <alignment horizontal="center" vertical="center"/>
    </xf>
    <xf numFmtId="2" fontId="13" fillId="0" borderId="35" xfId="3" applyNumberFormat="1" applyFont="1" applyFill="1" applyBorder="1" applyAlignment="1">
      <alignment horizontal="center" vertical="center"/>
    </xf>
    <xf numFmtId="3" fontId="24" fillId="0" borderId="69" xfId="0" applyNumberFormat="1" applyFont="1" applyBorder="1" applyAlignment="1">
      <alignment horizontal="center" vertical="center"/>
    </xf>
    <xf numFmtId="4" fontId="13" fillId="0" borderId="73" xfId="3" applyNumberFormat="1" applyFont="1" applyFill="1" applyBorder="1" applyAlignment="1">
      <alignment horizontal="center" vertical="center"/>
    </xf>
    <xf numFmtId="4" fontId="24" fillId="0" borderId="82" xfId="0" applyNumberFormat="1" applyFont="1" applyBorder="1" applyAlignment="1">
      <alignment horizontal="center" vertical="center"/>
    </xf>
    <xf numFmtId="2" fontId="13" fillId="4" borderId="30" xfId="3" applyNumberFormat="1" applyFont="1" applyFill="1" applyBorder="1" applyAlignment="1">
      <alignment horizontal="center" vertical="center"/>
    </xf>
    <xf numFmtId="2" fontId="13" fillId="4" borderId="33" xfId="3" applyNumberFormat="1" applyFont="1" applyFill="1" applyBorder="1" applyAlignment="1">
      <alignment horizontal="center" vertical="center"/>
    </xf>
    <xf numFmtId="4" fontId="9" fillId="0" borderId="54" xfId="3" applyNumberFormat="1" applyFont="1" applyBorder="1" applyAlignment="1">
      <alignment horizontal="center" vertical="center"/>
    </xf>
    <xf numFmtId="9" fontId="13" fillId="0" borderId="69" xfId="6" applyFont="1" applyFill="1" applyBorder="1" applyAlignment="1">
      <alignment horizontal="center" vertical="center"/>
    </xf>
    <xf numFmtId="1" fontId="13" fillId="6" borderId="30" xfId="3" applyNumberFormat="1" applyFont="1" applyFill="1" applyBorder="1" applyAlignment="1">
      <alignment horizontal="center" vertical="center"/>
    </xf>
    <xf numFmtId="1" fontId="13" fillId="6" borderId="33" xfId="3" applyNumberFormat="1" applyFont="1" applyFill="1" applyBorder="1" applyAlignment="1">
      <alignment horizontal="center" vertical="center"/>
    </xf>
    <xf numFmtId="3" fontId="13" fillId="6" borderId="33" xfId="3" applyNumberFormat="1" applyFont="1" applyFill="1" applyBorder="1" applyAlignment="1">
      <alignment horizontal="center" vertical="center"/>
    </xf>
    <xf numFmtId="180" fontId="13" fillId="6" borderId="33" xfId="3" applyNumberFormat="1" applyFont="1" applyFill="1" applyBorder="1" applyAlignment="1">
      <alignment horizontal="center" vertical="center"/>
    </xf>
    <xf numFmtId="3" fontId="24" fillId="6" borderId="33" xfId="0" applyNumberFormat="1" applyFont="1" applyFill="1" applyBorder="1" applyAlignment="1">
      <alignment horizontal="center" vertical="center"/>
    </xf>
    <xf numFmtId="4" fontId="13" fillId="6" borderId="33" xfId="3" applyNumberFormat="1" applyFont="1" applyFill="1" applyBorder="1" applyAlignment="1">
      <alignment horizontal="center" vertical="center"/>
    </xf>
    <xf numFmtId="4" fontId="24" fillId="6" borderId="60" xfId="0" applyNumberFormat="1" applyFont="1" applyFill="1" applyBorder="1" applyAlignment="1">
      <alignment horizontal="center" vertical="center"/>
    </xf>
    <xf numFmtId="0" fontId="16" fillId="7" borderId="54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/>
    </xf>
    <xf numFmtId="1" fontId="13" fillId="8" borderId="30" xfId="3" applyNumberFormat="1" applyFont="1" applyFill="1" applyBorder="1" applyAlignment="1">
      <alignment horizontal="center" vertical="center"/>
    </xf>
    <xf numFmtId="1" fontId="13" fillId="8" borderId="33" xfId="3" applyNumberFormat="1" applyFont="1" applyFill="1" applyBorder="1" applyAlignment="1">
      <alignment horizontal="center" vertical="center"/>
    </xf>
    <xf numFmtId="3" fontId="13" fillId="8" borderId="33" xfId="3" applyNumberFormat="1" applyFont="1" applyFill="1" applyBorder="1" applyAlignment="1">
      <alignment horizontal="center" vertical="center"/>
    </xf>
    <xf numFmtId="180" fontId="13" fillId="8" borderId="33" xfId="3" applyNumberFormat="1" applyFont="1" applyFill="1" applyBorder="1" applyAlignment="1">
      <alignment horizontal="center" vertical="center"/>
    </xf>
    <xf numFmtId="3" fontId="24" fillId="8" borderId="33" xfId="0" applyNumberFormat="1" applyFont="1" applyFill="1" applyBorder="1" applyAlignment="1">
      <alignment horizontal="center" vertical="center"/>
    </xf>
    <xf numFmtId="4" fontId="13" fillId="8" borderId="33" xfId="3" applyNumberFormat="1" applyFont="1" applyFill="1" applyBorder="1" applyAlignment="1">
      <alignment horizontal="center" vertical="center"/>
    </xf>
    <xf numFmtId="0" fontId="13" fillId="4" borderId="30" xfId="0" quotePrefix="1" applyFont="1" applyFill="1" applyBorder="1" applyAlignment="1">
      <alignment horizontal="center" vertical="center"/>
    </xf>
    <xf numFmtId="0" fontId="13" fillId="6" borderId="30" xfId="0" quotePrefix="1" applyFont="1" applyFill="1" applyBorder="1" applyAlignment="1">
      <alignment horizontal="center" vertical="center"/>
    </xf>
    <xf numFmtId="0" fontId="13" fillId="0" borderId="72" xfId="0" quotePrefix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0" fontId="13" fillId="8" borderId="30" xfId="0" quotePrefix="1" applyFont="1" applyFill="1" applyBorder="1" applyAlignment="1">
      <alignment horizontal="center" vertical="center"/>
    </xf>
    <xf numFmtId="4" fontId="28" fillId="8" borderId="60" xfId="0" applyNumberFormat="1" applyFont="1" applyFill="1" applyBorder="1" applyAlignment="1">
      <alignment horizontal="center" vertical="center"/>
    </xf>
    <xf numFmtId="0" fontId="7" fillId="0" borderId="32" xfId="1" applyFont="1" applyBorder="1" applyAlignment="1">
      <alignment horizontal="left" vertical="center" wrapText="1" indent="1"/>
    </xf>
    <xf numFmtId="14" fontId="0" fillId="0" borderId="0" xfId="0" applyNumberFormat="1"/>
    <xf numFmtId="0" fontId="31" fillId="0" borderId="0" xfId="0" applyFont="1"/>
    <xf numFmtId="0" fontId="10" fillId="0" borderId="0" xfId="2" applyFont="1"/>
    <xf numFmtId="170" fontId="10" fillId="0" borderId="0" xfId="2" applyNumberFormat="1" applyFont="1"/>
    <xf numFmtId="0" fontId="7" fillId="0" borderId="51" xfId="1" applyFont="1" applyBorder="1" applyAlignment="1">
      <alignment horizontal="left" vertical="center" wrapText="1" indent="1"/>
    </xf>
    <xf numFmtId="0" fontId="7" fillId="0" borderId="75" xfId="1" applyFont="1" applyBorder="1" applyAlignment="1">
      <alignment horizontal="center" vertical="center" wrapText="1"/>
    </xf>
    <xf numFmtId="0" fontId="7" fillId="0" borderId="54" xfId="1" applyFont="1" applyBorder="1" applyAlignment="1">
      <alignment horizontal="center" vertical="center" wrapText="1"/>
    </xf>
    <xf numFmtId="3" fontId="7" fillId="0" borderId="48" xfId="2" applyNumberFormat="1" applyFont="1" applyBorder="1" applyAlignment="1">
      <alignment horizontal="center" vertical="center" wrapText="1"/>
    </xf>
    <xf numFmtId="0" fontId="7" fillId="0" borderId="48" xfId="2" applyFont="1" applyBorder="1" applyAlignment="1">
      <alignment horizontal="center" vertical="center" wrapText="1"/>
    </xf>
    <xf numFmtId="0" fontId="7" fillId="0" borderId="76" xfId="2" applyFont="1" applyBorder="1" applyAlignment="1">
      <alignment horizontal="center" vertical="center" wrapText="1"/>
    </xf>
    <xf numFmtId="0" fontId="10" fillId="0" borderId="0" xfId="2" applyFont="1" applyAlignment="1">
      <alignment horizontal="center" vertical="center"/>
    </xf>
    <xf numFmtId="0" fontId="10" fillId="0" borderId="61" xfId="2" applyFont="1" applyBorder="1" applyAlignment="1">
      <alignment horizontal="center" vertical="center" wrapText="1"/>
    </xf>
    <xf numFmtId="0" fontId="17" fillId="0" borderId="32" xfId="2" applyFont="1" applyBorder="1" applyAlignment="1">
      <alignment horizontal="left" vertical="center" wrapText="1"/>
    </xf>
    <xf numFmtId="0" fontId="18" fillId="0" borderId="32" xfId="2" applyFont="1" applyBorder="1" applyAlignment="1">
      <alignment horizontal="center" vertical="center" wrapText="1"/>
    </xf>
    <xf numFmtId="4" fontId="17" fillId="0" borderId="32" xfId="2" applyNumberFormat="1" applyFont="1" applyBorder="1" applyAlignment="1">
      <alignment horizontal="right" vertical="center" wrapText="1" indent="1"/>
    </xf>
    <xf numFmtId="176" fontId="17" fillId="0" borderId="32" xfId="2" applyNumberFormat="1" applyFont="1" applyBorder="1" applyAlignment="1">
      <alignment horizontal="right" vertical="center" wrapText="1" indent="1"/>
    </xf>
    <xf numFmtId="176" fontId="17" fillId="0" borderId="54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left" vertical="center" wrapText="1"/>
    </xf>
    <xf numFmtId="4" fontId="10" fillId="0" borderId="32" xfId="2" applyNumberFormat="1" applyFont="1" applyBorder="1" applyAlignment="1">
      <alignment horizontal="right" vertical="center" wrapText="1" indent="1"/>
    </xf>
    <xf numFmtId="0" fontId="10" fillId="0" borderId="32" xfId="2" applyFont="1" applyBorder="1" applyAlignment="1">
      <alignment horizontal="center" vertical="center" wrapText="1"/>
    </xf>
    <xf numFmtId="4" fontId="10" fillId="0" borderId="32" xfId="2" quotePrefix="1" applyNumberFormat="1" applyFont="1" applyBorder="1" applyAlignment="1">
      <alignment horizontal="right" vertical="center" wrapText="1" indent="1"/>
    </xf>
    <xf numFmtId="176" fontId="10" fillId="0" borderId="32" xfId="2" applyNumberFormat="1" applyFont="1" applyBorder="1" applyAlignment="1">
      <alignment horizontal="right" vertical="center" wrapText="1" indent="1"/>
    </xf>
    <xf numFmtId="176" fontId="10" fillId="0" borderId="54" xfId="2" applyNumberFormat="1" applyFont="1" applyBorder="1" applyAlignment="1">
      <alignment horizontal="right" vertical="center" wrapText="1" indent="1"/>
    </xf>
    <xf numFmtId="176" fontId="7" fillId="0" borderId="32" xfId="2" applyNumberFormat="1" applyFont="1" applyBorder="1" applyAlignment="1">
      <alignment horizontal="right" vertical="center" wrapText="1" indent="1"/>
    </xf>
    <xf numFmtId="176" fontId="7" fillId="0" borderId="54" xfId="2" applyNumberFormat="1" applyFont="1" applyBorder="1" applyAlignment="1">
      <alignment horizontal="right" vertical="center" wrapText="1" indent="1"/>
    </xf>
    <xf numFmtId="0" fontId="10" fillId="0" borderId="5" xfId="2" applyFont="1" applyBorder="1" applyAlignment="1">
      <alignment horizontal="center" vertical="center"/>
    </xf>
    <xf numFmtId="0" fontId="7" fillId="0" borderId="4" xfId="2" applyFont="1" applyBorder="1" applyAlignment="1">
      <alignment wrapText="1"/>
    </xf>
    <xf numFmtId="0" fontId="7" fillId="0" borderId="0" xfId="2" applyFont="1" applyAlignment="1">
      <alignment horizontal="center" wrapText="1"/>
    </xf>
    <xf numFmtId="170" fontId="10" fillId="0" borderId="5" xfId="2" applyNumberFormat="1" applyFont="1" applyBorder="1"/>
    <xf numFmtId="0" fontId="31" fillId="0" borderId="0" xfId="0" applyFont="1" applyAlignment="1">
      <alignment horizontal="center" vertical="center" wrapText="1"/>
    </xf>
    <xf numFmtId="14" fontId="3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right"/>
    </xf>
    <xf numFmtId="177" fontId="0" fillId="0" borderId="0" xfId="0" applyNumberFormat="1"/>
    <xf numFmtId="0" fontId="16" fillId="0" borderId="25" xfId="2" applyFont="1" applyBorder="1" applyAlignment="1">
      <alignment horizontal="center" vertical="center" wrapText="1"/>
    </xf>
    <xf numFmtId="0" fontId="16" fillId="0" borderId="27" xfId="2" applyFont="1" applyBorder="1" applyAlignment="1">
      <alignment horizontal="center" vertical="center" wrapText="1"/>
    </xf>
    <xf numFmtId="4" fontId="0" fillId="0" borderId="32" xfId="0" applyNumberFormat="1" applyBorder="1" applyAlignment="1">
      <alignment horizontal="center" vertical="center"/>
    </xf>
    <xf numFmtId="0" fontId="16" fillId="0" borderId="28" xfId="2" applyFont="1" applyBorder="1" applyAlignment="1">
      <alignment vertical="center" wrapText="1"/>
    </xf>
    <xf numFmtId="0" fontId="16" fillId="0" borderId="49" xfId="2" applyFont="1" applyBorder="1" applyAlignment="1">
      <alignment vertical="center" wrapText="1"/>
    </xf>
    <xf numFmtId="0" fontId="16" fillId="0" borderId="62" xfId="2" applyFont="1" applyBorder="1" applyAlignment="1">
      <alignment vertical="center" wrapText="1"/>
    </xf>
    <xf numFmtId="0" fontId="16" fillId="0" borderId="48" xfId="2" applyFont="1" applyBorder="1" applyAlignment="1">
      <alignment vertical="center" wrapText="1"/>
    </xf>
    <xf numFmtId="0" fontId="0" fillId="9" borderId="0" xfId="0" applyFill="1"/>
    <xf numFmtId="181" fontId="0" fillId="0" borderId="0" xfId="0" applyNumberFormat="1"/>
    <xf numFmtId="0" fontId="0" fillId="0" borderId="0" xfId="0" applyAlignment="1">
      <alignment horizontal="left"/>
    </xf>
    <xf numFmtId="43" fontId="31" fillId="0" borderId="0" xfId="11" applyFont="1"/>
    <xf numFmtId="43" fontId="0" fillId="0" borderId="0" xfId="11" applyFont="1"/>
    <xf numFmtId="0" fontId="0" fillId="0" borderId="0" xfId="0" quotePrefix="1"/>
    <xf numFmtId="3" fontId="16" fillId="0" borderId="27" xfId="2" applyNumberFormat="1" applyFont="1" applyBorder="1" applyAlignment="1">
      <alignment horizontal="center" vertical="center" wrapText="1"/>
    </xf>
    <xf numFmtId="170" fontId="16" fillId="0" borderId="27" xfId="2" applyNumberFormat="1" applyFont="1" applyBorder="1" applyAlignment="1">
      <alignment horizontal="center" vertical="center" wrapText="1"/>
    </xf>
    <xf numFmtId="170" fontId="16" fillId="0" borderId="83" xfId="2" applyNumberFormat="1" applyFont="1" applyBorder="1" applyAlignment="1">
      <alignment horizontal="center" vertical="center" wrapText="1"/>
    </xf>
    <xf numFmtId="0" fontId="32" fillId="0" borderId="0" xfId="0" applyFont="1"/>
    <xf numFmtId="0" fontId="7" fillId="0" borderId="0" xfId="2" applyFont="1" applyAlignment="1">
      <alignment vertical="center" wrapText="1"/>
    </xf>
    <xf numFmtId="0" fontId="0" fillId="0" borderId="0" xfId="0" applyAlignment="1">
      <alignment wrapText="1"/>
    </xf>
    <xf numFmtId="4" fontId="0" fillId="0" borderId="0" xfId="0" applyNumberFormat="1"/>
    <xf numFmtId="0" fontId="0" fillId="0" borderId="0" xfId="0" applyAlignment="1">
      <alignment horizontal="centerContinuous"/>
    </xf>
    <xf numFmtId="0" fontId="33" fillId="0" borderId="0" xfId="0" applyFont="1" applyAlignment="1">
      <alignment horizontal="center" wrapText="1"/>
    </xf>
    <xf numFmtId="183" fontId="33" fillId="0" borderId="0" xfId="0" applyNumberFormat="1" applyFont="1" applyAlignment="1">
      <alignment horizontal="right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183" fontId="34" fillId="0" borderId="0" xfId="0" applyNumberFormat="1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/>
    </xf>
    <xf numFmtId="183" fontId="33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Continuous"/>
    </xf>
    <xf numFmtId="183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183" fontId="33" fillId="0" borderId="0" xfId="0" applyNumberFormat="1" applyFont="1" applyAlignment="1">
      <alignment horizontal="center"/>
    </xf>
    <xf numFmtId="183" fontId="33" fillId="0" borderId="0" xfId="0" applyNumberFormat="1" applyFont="1" applyAlignment="1">
      <alignment horizontal="center" wrapText="1"/>
    </xf>
    <xf numFmtId="183" fontId="33" fillId="0" borderId="0" xfId="0" applyNumberFormat="1" applyFont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top" wrapText="1"/>
    </xf>
    <xf numFmtId="183" fontId="34" fillId="0" borderId="0" xfId="0" applyNumberFormat="1" applyFont="1" applyAlignment="1">
      <alignment horizontal="center" vertical="top" wrapText="1"/>
    </xf>
    <xf numFmtId="183" fontId="34" fillId="0" borderId="0" xfId="0" applyNumberFormat="1" applyFont="1" applyAlignment="1">
      <alignment horizontal="center"/>
    </xf>
    <xf numFmtId="0" fontId="34" fillId="0" borderId="0" xfId="0" applyFont="1" applyAlignment="1">
      <alignment horizontal="center"/>
    </xf>
    <xf numFmtId="183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right" vertical="center"/>
    </xf>
    <xf numFmtId="183" fontId="33" fillId="0" borderId="0" xfId="0" applyNumberFormat="1" applyFont="1" applyAlignment="1">
      <alignment horizontal="right" vertical="center" wrapText="1"/>
    </xf>
    <xf numFmtId="0" fontId="33" fillId="0" borderId="0" xfId="0" applyFont="1" applyAlignment="1">
      <alignment horizontal="right" vertical="center" wrapText="1"/>
    </xf>
    <xf numFmtId="0" fontId="35" fillId="0" borderId="0" xfId="0" applyFont="1"/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31" fillId="0" borderId="0" xfId="0" applyFont="1" applyAlignment="1">
      <alignment horizontal="center"/>
    </xf>
    <xf numFmtId="43" fontId="31" fillId="0" borderId="0" xfId="11" applyFont="1" applyAlignment="1">
      <alignment horizontal="center"/>
    </xf>
    <xf numFmtId="0" fontId="36" fillId="0" borderId="0" xfId="0" applyFont="1" applyAlignment="1">
      <alignment vertical="center"/>
    </xf>
    <xf numFmtId="177" fontId="36" fillId="0" borderId="0" xfId="0" applyNumberFormat="1" applyFont="1"/>
    <xf numFmtId="0" fontId="36" fillId="0" borderId="0" xfId="0" applyFont="1"/>
    <xf numFmtId="2" fontId="36" fillId="0" borderId="0" xfId="0" applyNumberFormat="1" applyFont="1" applyAlignment="1">
      <alignment vertical="center"/>
    </xf>
    <xf numFmtId="182" fontId="36" fillId="0" borderId="0" xfId="0" applyNumberFormat="1" applyFont="1"/>
    <xf numFmtId="0" fontId="33" fillId="0" borderId="0" xfId="0" applyFont="1" applyAlignment="1">
      <alignment horizontal="right" wrapText="1"/>
    </xf>
    <xf numFmtId="184" fontId="34" fillId="0" borderId="0" xfId="0" applyNumberFormat="1" applyFont="1" applyAlignment="1">
      <alignment horizontal="right" vertical="center"/>
    </xf>
    <xf numFmtId="183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14" fontId="31" fillId="0" borderId="0" xfId="0" applyNumberFormat="1" applyFont="1"/>
    <xf numFmtId="0" fontId="37" fillId="0" borderId="0" xfId="0" applyFont="1"/>
    <xf numFmtId="185" fontId="0" fillId="0" borderId="0" xfId="11" applyNumberFormat="1" applyFont="1"/>
    <xf numFmtId="185" fontId="31" fillId="0" borderId="0" xfId="11" applyNumberFormat="1" applyFont="1" applyAlignment="1">
      <alignment horizontal="center" vertical="center" wrapText="1"/>
    </xf>
    <xf numFmtId="43" fontId="0" fillId="0" borderId="0" xfId="0" applyNumberFormat="1"/>
    <xf numFmtId="43" fontId="31" fillId="0" borderId="0" xfId="11" applyFont="1" applyAlignment="1">
      <alignment horizontal="center" vertical="center" wrapText="1"/>
    </xf>
    <xf numFmtId="43" fontId="31" fillId="0" borderId="0" xfId="11" applyFont="1" applyAlignment="1">
      <alignment horizontal="right"/>
    </xf>
    <xf numFmtId="43" fontId="0" fillId="0" borderId="0" xfId="11" applyFont="1" applyAlignment="1">
      <alignment horizontal="right"/>
    </xf>
    <xf numFmtId="186" fontId="31" fillId="0" borderId="0" xfId="0" applyNumberFormat="1" applyFont="1" applyAlignment="1">
      <alignment horizontal="left"/>
    </xf>
    <xf numFmtId="177" fontId="7" fillId="0" borderId="43" xfId="1" applyNumberFormat="1" applyFont="1" applyBorder="1" applyAlignment="1">
      <alignment horizontal="right" vertical="center" wrapText="1" indent="1"/>
    </xf>
    <xf numFmtId="177" fontId="7" fillId="0" borderId="10" xfId="1" applyNumberFormat="1" applyFont="1" applyBorder="1" applyAlignment="1">
      <alignment horizontal="right" vertical="center" wrapText="1" indent="1"/>
    </xf>
    <xf numFmtId="177" fontId="7" fillId="0" borderId="11" xfId="1" applyNumberFormat="1" applyFont="1" applyBorder="1" applyAlignment="1">
      <alignment horizontal="right" vertical="center" wrapText="1" indent="1"/>
    </xf>
    <xf numFmtId="177" fontId="10" fillId="0" borderId="23" xfId="1" applyNumberFormat="1" applyFont="1" applyBorder="1" applyAlignment="1">
      <alignment horizontal="right" vertical="center" wrapText="1" indent="1"/>
    </xf>
    <xf numFmtId="177" fontId="10" fillId="0" borderId="36" xfId="1" applyNumberFormat="1" applyFont="1" applyBorder="1" applyAlignment="1">
      <alignment horizontal="right" vertical="center" wrapText="1" indent="1"/>
    </xf>
    <xf numFmtId="177" fontId="10" fillId="0" borderId="41" xfId="1" applyNumberFormat="1" applyFont="1" applyBorder="1" applyAlignment="1">
      <alignment horizontal="right" vertical="center" wrapText="1" indent="1"/>
    </xf>
    <xf numFmtId="0" fontId="7" fillId="0" borderId="72" xfId="1" applyFont="1" applyBorder="1" applyAlignment="1">
      <alignment horizontal="left" vertical="center" wrapText="1" indent="1"/>
    </xf>
    <xf numFmtId="0" fontId="7" fillId="0" borderId="35" xfId="1" applyFont="1" applyBorder="1" applyAlignment="1">
      <alignment horizontal="left" vertical="center" indent="1"/>
    </xf>
    <xf numFmtId="0" fontId="7" fillId="0" borderId="73" xfId="1" applyFont="1" applyBorder="1" applyAlignment="1">
      <alignment horizontal="left" vertical="center" indent="1"/>
    </xf>
    <xf numFmtId="0" fontId="7" fillId="0" borderId="49" xfId="1" applyFont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62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 textRotation="90" wrapText="1"/>
    </xf>
    <xf numFmtId="0" fontId="11" fillId="0" borderId="42" xfId="1" applyFont="1" applyBorder="1" applyAlignment="1">
      <alignment horizontal="center" vertical="center" textRotation="90" wrapText="1"/>
    </xf>
    <xf numFmtId="0" fontId="11" fillId="0" borderId="48" xfId="1" applyFont="1" applyBorder="1" applyAlignment="1">
      <alignment horizontal="center" vertical="center" textRotation="90" wrapText="1"/>
    </xf>
    <xf numFmtId="0" fontId="10" fillId="0" borderId="39" xfId="1" applyFont="1" applyBorder="1" applyAlignment="1">
      <alignment horizontal="left" vertical="center" wrapText="1" indent="1"/>
    </xf>
    <xf numFmtId="0" fontId="10" fillId="0" borderId="7" xfId="1" applyFont="1" applyBorder="1" applyAlignment="1">
      <alignment horizontal="left" vertical="center" indent="1"/>
    </xf>
    <xf numFmtId="0" fontId="10" fillId="0" borderId="40" xfId="1" applyFont="1" applyBorder="1" applyAlignment="1">
      <alignment horizontal="left" vertical="center" indent="1"/>
    </xf>
    <xf numFmtId="177" fontId="10" fillId="0" borderId="39" xfId="1" applyNumberFormat="1" applyFont="1" applyBorder="1" applyAlignment="1">
      <alignment horizontal="right" vertical="center" wrapText="1" indent="1"/>
    </xf>
    <xf numFmtId="177" fontId="10" fillId="0" borderId="7" xfId="1" applyNumberFormat="1" applyFont="1" applyBorder="1" applyAlignment="1">
      <alignment horizontal="right" vertical="center" wrapText="1" indent="1"/>
    </xf>
    <xf numFmtId="177" fontId="10" fillId="0" borderId="40" xfId="1" applyNumberFormat="1" applyFont="1" applyBorder="1" applyAlignment="1">
      <alignment horizontal="right" vertical="center" wrapText="1" indent="1"/>
    </xf>
    <xf numFmtId="0" fontId="14" fillId="0" borderId="57" xfId="1" applyFont="1" applyBorder="1" applyAlignment="1">
      <alignment horizontal="center" vertical="center" wrapText="1"/>
    </xf>
    <xf numFmtId="0" fontId="14" fillId="0" borderId="22" xfId="1" applyFont="1" applyBorder="1" applyAlignment="1">
      <alignment horizontal="center" vertical="center" wrapText="1"/>
    </xf>
    <xf numFmtId="0" fontId="14" fillId="0" borderId="58" xfId="1" applyFont="1" applyBorder="1" applyAlignment="1">
      <alignment horizontal="center" vertical="center" wrapText="1"/>
    </xf>
    <xf numFmtId="0" fontId="14" fillId="0" borderId="55" xfId="1" applyFont="1" applyBorder="1" applyAlignment="1">
      <alignment horizontal="center" vertical="center" wrapText="1"/>
    </xf>
    <xf numFmtId="0" fontId="14" fillId="0" borderId="19" xfId="1" applyFont="1" applyBorder="1" applyAlignment="1">
      <alignment horizontal="center" vertical="center" wrapText="1"/>
    </xf>
    <xf numFmtId="0" fontId="14" fillId="0" borderId="56" xfId="1" applyFont="1" applyBorder="1" applyAlignment="1">
      <alignment horizontal="center" vertical="center" wrapText="1"/>
    </xf>
    <xf numFmtId="0" fontId="10" fillId="0" borderId="25" xfId="1" applyFont="1" applyBorder="1" applyAlignment="1">
      <alignment horizontal="left" vertical="top" wrapText="1" indent="1"/>
    </xf>
    <xf numFmtId="0" fontId="10" fillId="0" borderId="22" xfId="1" applyFont="1" applyBorder="1" applyAlignment="1">
      <alignment horizontal="left" vertical="top" indent="1"/>
    </xf>
    <xf numFmtId="0" fontId="10" fillId="0" borderId="26" xfId="1" applyFont="1" applyBorder="1" applyAlignment="1">
      <alignment horizontal="left" vertical="top" indent="1"/>
    </xf>
    <xf numFmtId="177" fontId="7" fillId="0" borderId="45" xfId="1" applyNumberFormat="1" applyFont="1" applyBorder="1" applyAlignment="1">
      <alignment horizontal="right" vertical="center" wrapText="1" indent="1"/>
    </xf>
    <xf numFmtId="177" fontId="7" fillId="0" borderId="46" xfId="1" applyNumberFormat="1" applyFont="1" applyBorder="1" applyAlignment="1">
      <alignment horizontal="right" vertical="center" wrapText="1" indent="1"/>
    </xf>
    <xf numFmtId="177" fontId="7" fillId="0" borderId="74" xfId="1" applyNumberFormat="1" applyFont="1" applyBorder="1" applyAlignment="1">
      <alignment horizontal="right" vertical="center" wrapText="1" indent="1"/>
    </xf>
    <xf numFmtId="0" fontId="10" fillId="0" borderId="23" xfId="1" applyFont="1" applyBorder="1" applyAlignment="1">
      <alignment horizontal="left" vertical="center" wrapText="1" indent="1"/>
    </xf>
    <xf numFmtId="0" fontId="10" fillId="0" borderId="36" xfId="1" applyFont="1" applyBorder="1" applyAlignment="1">
      <alignment horizontal="left" vertical="center" indent="1"/>
    </xf>
    <xf numFmtId="0" fontId="10" fillId="0" borderId="41" xfId="1" applyFont="1" applyBorder="1" applyAlignment="1">
      <alignment horizontal="left" vertical="center" indent="1"/>
    </xf>
    <xf numFmtId="177" fontId="10" fillId="0" borderId="20" xfId="1" applyNumberFormat="1" applyFont="1" applyBorder="1" applyAlignment="1">
      <alignment horizontal="right" vertical="center" wrapText="1" indent="1"/>
    </xf>
    <xf numFmtId="0" fontId="7" fillId="0" borderId="59" xfId="1" applyFont="1" applyBorder="1" applyAlignment="1">
      <alignment horizontal="center" vertical="center" wrapText="1"/>
    </xf>
    <xf numFmtId="0" fontId="7" fillId="0" borderId="33" xfId="1" applyFont="1" applyBorder="1" applyAlignment="1">
      <alignment horizontal="center" vertical="center" wrapText="1"/>
    </xf>
    <xf numFmtId="0" fontId="7" fillId="0" borderId="31" xfId="1" applyFont="1" applyBorder="1" applyAlignment="1">
      <alignment horizontal="center" vertical="center" wrapText="1"/>
    </xf>
    <xf numFmtId="0" fontId="11" fillId="0" borderId="70" xfId="1" applyFont="1" applyBorder="1" applyAlignment="1">
      <alignment horizontal="center" vertical="top" wrapText="1"/>
    </xf>
    <xf numFmtId="0" fontId="11" fillId="0" borderId="65" xfId="1" applyFont="1" applyBorder="1" applyAlignment="1">
      <alignment horizontal="center" vertical="top"/>
    </xf>
    <xf numFmtId="0" fontId="11" fillId="0" borderId="66" xfId="1" applyFont="1" applyBorder="1" applyAlignment="1">
      <alignment horizontal="center" vertical="top"/>
    </xf>
    <xf numFmtId="0" fontId="11" fillId="0" borderId="65" xfId="1" applyFont="1" applyBorder="1" applyAlignment="1">
      <alignment horizontal="center" vertical="top" wrapText="1"/>
    </xf>
    <xf numFmtId="0" fontId="11" fillId="0" borderId="71" xfId="1" applyFont="1" applyBorder="1" applyAlignment="1">
      <alignment horizontal="center" vertical="top" wrapText="1"/>
    </xf>
    <xf numFmtId="0" fontId="11" fillId="0" borderId="25" xfId="1" applyFont="1" applyBorder="1" applyAlignment="1">
      <alignment horizontal="center" wrapText="1"/>
    </xf>
    <xf numFmtId="0" fontId="11" fillId="0" borderId="22" xfId="1" applyFont="1" applyBorder="1" applyAlignment="1">
      <alignment horizontal="center" wrapText="1"/>
    </xf>
    <xf numFmtId="0" fontId="11" fillId="0" borderId="58" xfId="1" applyFont="1" applyBorder="1" applyAlignment="1">
      <alignment horizontal="center" wrapText="1"/>
    </xf>
    <xf numFmtId="0" fontId="11" fillId="0" borderId="26" xfId="1" applyFont="1" applyBorder="1" applyAlignment="1">
      <alignment horizontal="center" wrapText="1"/>
    </xf>
    <xf numFmtId="0" fontId="11" fillId="0" borderId="57" xfId="1" applyFont="1" applyBorder="1" applyAlignment="1">
      <alignment horizontal="center" wrapText="1"/>
    </xf>
    <xf numFmtId="0" fontId="7" fillId="0" borderId="30" xfId="1" applyFont="1" applyBorder="1" applyAlignment="1">
      <alignment horizontal="center" vertical="center" wrapText="1"/>
    </xf>
    <xf numFmtId="0" fontId="7" fillId="0" borderId="6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top" wrapText="1"/>
    </xf>
    <xf numFmtId="0" fontId="8" fillId="0" borderId="53" xfId="1" applyFont="1" applyBorder="1" applyAlignment="1">
      <alignment horizontal="center" vertical="center" wrapText="1"/>
    </xf>
    <xf numFmtId="0" fontId="8" fillId="0" borderId="51" xfId="1" applyFont="1" applyBorder="1" applyAlignment="1">
      <alignment horizontal="center" vertical="center" wrapText="1"/>
    </xf>
    <xf numFmtId="0" fontId="8" fillId="0" borderId="31" xfId="1" applyFont="1" applyBorder="1" applyAlignment="1">
      <alignment horizontal="center" vertical="center" wrapText="1"/>
    </xf>
    <xf numFmtId="0" fontId="8" fillId="0" borderId="32" xfId="1" applyFont="1" applyBorder="1" applyAlignment="1">
      <alignment horizontal="center" vertical="center" wrapText="1"/>
    </xf>
    <xf numFmtId="0" fontId="11" fillId="0" borderId="55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0" borderId="56" xfId="1" applyFont="1" applyBorder="1" applyAlignment="1">
      <alignment horizontal="center" vertical="center" wrapText="1"/>
    </xf>
    <xf numFmtId="0" fontId="7" fillId="0" borderId="57" xfId="1" applyFont="1" applyBorder="1" applyAlignment="1">
      <alignment horizontal="left" vertical="center" wrapText="1" indent="1"/>
    </xf>
    <xf numFmtId="0" fontId="7" fillId="0" borderId="26" xfId="1" applyFont="1" applyBorder="1" applyAlignment="1">
      <alignment horizontal="left" vertical="center" wrapText="1" indent="1"/>
    </xf>
    <xf numFmtId="0" fontId="7" fillId="0" borderId="55" xfId="1" applyFont="1" applyBorder="1" applyAlignment="1">
      <alignment horizontal="left" vertical="center" wrapText="1" indent="1"/>
    </xf>
    <xf numFmtId="0" fontId="7" fillId="0" borderId="29" xfId="1" applyFont="1" applyBorder="1" applyAlignment="1">
      <alignment horizontal="left" vertical="center" wrapText="1" indent="1"/>
    </xf>
    <xf numFmtId="0" fontId="11" fillId="0" borderId="25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6" xfId="1" applyFont="1" applyBorder="1" applyAlignment="1">
      <alignment horizontal="center" vertical="center" wrapText="1"/>
    </xf>
    <xf numFmtId="0" fontId="11" fillId="0" borderId="28" xfId="1" applyFont="1" applyBorder="1" applyAlignment="1">
      <alignment horizontal="center" vertical="center" wrapText="1"/>
    </xf>
    <xf numFmtId="0" fontId="11" fillId="0" borderId="29" xfId="1" applyFont="1" applyBorder="1" applyAlignment="1">
      <alignment horizontal="center" vertical="center" wrapText="1"/>
    </xf>
    <xf numFmtId="0" fontId="9" fillId="0" borderId="30" xfId="1" applyFont="1" applyBorder="1" applyAlignment="1">
      <alignment horizontal="left" vertical="center" wrapText="1"/>
    </xf>
    <xf numFmtId="0" fontId="9" fillId="0" borderId="31" xfId="1" applyFont="1" applyBorder="1" applyAlignment="1">
      <alignment horizontal="left" vertical="center" wrapText="1"/>
    </xf>
    <xf numFmtId="178" fontId="7" fillId="0" borderId="52" xfId="1" applyNumberFormat="1" applyFont="1" applyBorder="1" applyAlignment="1">
      <alignment horizontal="center" vertical="center" wrapText="1"/>
    </xf>
    <xf numFmtId="178" fontId="7" fillId="0" borderId="77" xfId="1" applyNumberFormat="1" applyFont="1" applyBorder="1" applyAlignment="1">
      <alignment horizontal="center" vertical="center" wrapText="1"/>
    </xf>
    <xf numFmtId="177" fontId="7" fillId="0" borderId="30" xfId="1" applyNumberFormat="1" applyFont="1" applyBorder="1" applyAlignment="1">
      <alignment horizontal="right" vertical="center" wrapText="1" indent="1"/>
    </xf>
    <xf numFmtId="177" fontId="7" fillId="0" borderId="33" xfId="1" applyNumberFormat="1" applyFont="1" applyBorder="1" applyAlignment="1">
      <alignment horizontal="right" vertical="center" wrapText="1" indent="1"/>
    </xf>
    <xf numFmtId="177" fontId="7" fillId="0" borderId="60" xfId="1" applyNumberFormat="1" applyFont="1" applyBorder="1" applyAlignment="1">
      <alignment horizontal="right" vertical="center" wrapText="1" indent="1"/>
    </xf>
    <xf numFmtId="177" fontId="10" fillId="0" borderId="45" xfId="1" applyNumberFormat="1" applyFont="1" applyBorder="1" applyAlignment="1">
      <alignment horizontal="right" vertical="center" wrapText="1" indent="1"/>
    </xf>
    <xf numFmtId="177" fontId="10" fillId="0" borderId="46" xfId="1" applyNumberFormat="1" applyFont="1" applyBorder="1" applyAlignment="1">
      <alignment horizontal="right" vertical="center" wrapText="1" indent="1"/>
    </xf>
    <xf numFmtId="177" fontId="10" fillId="0" borderId="47" xfId="1" applyNumberFormat="1" applyFont="1" applyBorder="1" applyAlignment="1">
      <alignment horizontal="right" vertical="center" wrapText="1" indent="1"/>
    </xf>
    <xf numFmtId="0" fontId="7" fillId="0" borderId="32" xfId="1" applyFont="1" applyBorder="1" applyAlignment="1">
      <alignment horizontal="left" vertical="center" wrapText="1" indent="1"/>
    </xf>
    <xf numFmtId="0" fontId="7" fillId="0" borderId="32" xfId="1" applyFont="1" applyBorder="1" applyAlignment="1">
      <alignment horizontal="left" vertical="center" indent="1"/>
    </xf>
    <xf numFmtId="177" fontId="7" fillId="0" borderId="31" xfId="1" applyNumberFormat="1" applyFont="1" applyBorder="1" applyAlignment="1">
      <alignment horizontal="right" vertical="center" wrapText="1" indent="1"/>
    </xf>
    <xf numFmtId="177" fontId="10" fillId="0" borderId="25" xfId="1" applyNumberFormat="1" applyFont="1" applyBorder="1" applyAlignment="1">
      <alignment horizontal="right" vertical="center" wrapText="1" indent="1"/>
    </xf>
    <xf numFmtId="177" fontId="10" fillId="0" borderId="22" xfId="1" applyNumberFormat="1" applyFont="1" applyBorder="1" applyAlignment="1">
      <alignment horizontal="right" vertical="center" wrapText="1" indent="1"/>
    </xf>
    <xf numFmtId="177" fontId="10" fillId="0" borderId="58" xfId="1" applyNumberFormat="1" applyFont="1" applyBorder="1" applyAlignment="1">
      <alignment horizontal="right" vertical="center" wrapText="1" indent="1"/>
    </xf>
    <xf numFmtId="177" fontId="10" fillId="0" borderId="34" xfId="1" applyNumberFormat="1" applyFont="1" applyBorder="1" applyAlignment="1">
      <alignment horizontal="right" vertical="center" wrapText="1" indent="1"/>
    </xf>
    <xf numFmtId="177" fontId="10" fillId="0" borderId="0" xfId="1" applyNumberFormat="1" applyFont="1" applyAlignment="1">
      <alignment horizontal="right" vertical="center" wrapText="1" indent="1"/>
    </xf>
    <xf numFmtId="177" fontId="10" fillId="0" borderId="5" xfId="1" applyNumberFormat="1" applyFont="1" applyBorder="1" applyAlignment="1">
      <alignment horizontal="right" vertical="center" wrapText="1" indent="1"/>
    </xf>
    <xf numFmtId="177" fontId="10" fillId="0" borderId="28" xfId="1" applyNumberFormat="1" applyFont="1" applyBorder="1" applyAlignment="1">
      <alignment horizontal="right" vertical="center" wrapText="1" indent="1"/>
    </xf>
    <xf numFmtId="177" fontId="10" fillId="0" borderId="19" xfId="1" applyNumberFormat="1" applyFont="1" applyBorder="1" applyAlignment="1">
      <alignment horizontal="right" vertical="center" wrapText="1" indent="1"/>
    </xf>
    <xf numFmtId="177" fontId="10" fillId="0" borderId="56" xfId="1" applyNumberFormat="1" applyFont="1" applyBorder="1" applyAlignment="1">
      <alignment horizontal="right" vertical="center" wrapText="1" indent="1"/>
    </xf>
    <xf numFmtId="0" fontId="10" fillId="0" borderId="36" xfId="1" applyFont="1" applyBorder="1" applyAlignment="1">
      <alignment horizontal="left" vertical="center" wrapText="1" indent="1"/>
    </xf>
    <xf numFmtId="0" fontId="10" fillId="0" borderId="41" xfId="1" applyFont="1" applyBorder="1" applyAlignment="1">
      <alignment horizontal="left" vertical="center" wrapText="1" indent="1"/>
    </xf>
    <xf numFmtId="0" fontId="10" fillId="0" borderId="43" xfId="1" applyFont="1" applyBorder="1" applyAlignment="1">
      <alignment horizontal="left" vertical="center" indent="1"/>
    </xf>
    <xf numFmtId="0" fontId="10" fillId="0" borderId="10" xfId="1" applyFont="1" applyBorder="1" applyAlignment="1">
      <alignment horizontal="left" vertical="center" indent="1"/>
    </xf>
    <xf numFmtId="0" fontId="10" fillId="0" borderId="44" xfId="1" applyFont="1" applyBorder="1" applyAlignment="1">
      <alignment horizontal="left" vertical="center" indent="1"/>
    </xf>
    <xf numFmtId="0" fontId="10" fillId="0" borderId="23" xfId="1" applyFont="1" applyBorder="1" applyAlignment="1">
      <alignment horizontal="left" vertical="center" indent="1"/>
    </xf>
    <xf numFmtId="170" fontId="7" fillId="0" borderId="59" xfId="2" applyNumberFormat="1" applyFont="1" applyBorder="1" applyAlignment="1">
      <alignment horizontal="right" vertical="center" wrapText="1" indent="1"/>
    </xf>
    <xf numFmtId="170" fontId="7" fillId="0" borderId="33" xfId="2" applyNumberFormat="1" applyFont="1" applyBorder="1" applyAlignment="1">
      <alignment horizontal="right" vertical="center" wrapText="1" indent="1"/>
    </xf>
    <xf numFmtId="170" fontId="7" fillId="0" borderId="31" xfId="2" applyNumberFormat="1" applyFont="1" applyBorder="1" applyAlignment="1">
      <alignment horizontal="right" vertical="center" wrapText="1" indent="1"/>
    </xf>
    <xf numFmtId="0" fontId="7" fillId="0" borderId="4" xfId="2" applyFont="1" applyBorder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7" fillId="0" borderId="5" xfId="2" applyFont="1" applyBorder="1" applyAlignment="1">
      <alignment horizontal="center" vertical="center" wrapText="1"/>
    </xf>
    <xf numFmtId="0" fontId="10" fillId="0" borderId="64" xfId="2" applyFont="1" applyBorder="1" applyAlignment="1">
      <alignment horizontal="center" vertical="center" wrapText="1"/>
    </xf>
    <xf numFmtId="0" fontId="10" fillId="0" borderId="65" xfId="2" applyFont="1" applyBorder="1" applyAlignment="1">
      <alignment horizontal="center" vertical="center" wrapText="1"/>
    </xf>
    <xf numFmtId="0" fontId="10" fillId="0" borderId="66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4" fillId="0" borderId="53" xfId="1" applyFont="1" applyBorder="1" applyAlignment="1">
      <alignment horizontal="center" vertical="center" wrapText="1"/>
    </xf>
    <xf numFmtId="0" fontId="14" fillId="0" borderId="51" xfId="1" applyFont="1" applyBorder="1" applyAlignment="1">
      <alignment horizontal="center" vertical="center" wrapText="1"/>
    </xf>
    <xf numFmtId="0" fontId="14" fillId="0" borderId="31" xfId="1" applyFont="1" applyBorder="1" applyAlignment="1">
      <alignment horizontal="center" vertical="center" wrapText="1"/>
    </xf>
    <xf numFmtId="0" fontId="14" fillId="0" borderId="32" xfId="1" applyFont="1" applyBorder="1" applyAlignment="1">
      <alignment horizontal="center" vertical="center" wrapText="1"/>
    </xf>
    <xf numFmtId="14" fontId="13" fillId="0" borderId="81" xfId="0" applyNumberFormat="1" applyFont="1" applyBorder="1" applyAlignment="1">
      <alignment horizontal="left" vertical="center"/>
    </xf>
    <xf numFmtId="14" fontId="13" fillId="0" borderId="36" xfId="0" applyNumberFormat="1" applyFont="1" applyBorder="1" applyAlignment="1">
      <alignment horizontal="left" vertical="center"/>
    </xf>
    <xf numFmtId="14" fontId="13" fillId="0" borderId="41" xfId="0" applyNumberFormat="1" applyFont="1" applyBorder="1" applyAlignment="1">
      <alignment horizontal="left" vertical="center"/>
    </xf>
    <xf numFmtId="0" fontId="16" fillId="0" borderId="32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22" fillId="0" borderId="49" xfId="0" applyFont="1" applyBorder="1" applyAlignment="1">
      <alignment horizontal="center" vertical="center" wrapText="1"/>
    </xf>
    <xf numFmtId="0" fontId="22" fillId="0" borderId="27" xfId="0" applyFont="1" applyBorder="1" applyAlignment="1">
      <alignment horizontal="center" vertical="center" wrapText="1"/>
    </xf>
    <xf numFmtId="14" fontId="22" fillId="4" borderId="59" xfId="0" applyNumberFormat="1" applyFont="1" applyFill="1" applyBorder="1" applyAlignment="1">
      <alignment horizontal="center" vertical="center"/>
    </xf>
    <xf numFmtId="14" fontId="22" fillId="4" borderId="33" xfId="0" applyNumberFormat="1" applyFont="1" applyFill="1" applyBorder="1" applyAlignment="1">
      <alignment horizontal="center" vertical="center"/>
    </xf>
    <xf numFmtId="0" fontId="16" fillId="0" borderId="61" xfId="0" applyFont="1" applyBorder="1" applyAlignment="1">
      <alignment horizontal="center" vertical="center" wrapText="1"/>
    </xf>
    <xf numFmtId="0" fontId="16" fillId="0" borderId="61" xfId="0" applyFont="1" applyBorder="1" applyAlignment="1">
      <alignment horizontal="center" vertical="center"/>
    </xf>
    <xf numFmtId="0" fontId="14" fillId="0" borderId="78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6" fillId="0" borderId="59" xfId="0" applyFont="1" applyBorder="1" applyAlignment="1">
      <alignment horizontal="left" vertical="center" indent="1"/>
    </xf>
    <xf numFmtId="0" fontId="16" fillId="0" borderId="31" xfId="0" applyFont="1" applyBorder="1" applyAlignment="1">
      <alignment horizontal="left" vertical="center" indent="1"/>
    </xf>
    <xf numFmtId="0" fontId="16" fillId="0" borderId="30" xfId="0" applyFont="1" applyBorder="1" applyAlignment="1">
      <alignment horizontal="left" vertical="center" wrapText="1"/>
    </xf>
    <xf numFmtId="0" fontId="16" fillId="0" borderId="33" xfId="0" applyFont="1" applyBorder="1" applyAlignment="1">
      <alignment horizontal="left" vertical="center" wrapText="1"/>
    </xf>
    <xf numFmtId="0" fontId="16" fillId="0" borderId="31" xfId="0" applyFont="1" applyBorder="1" applyAlignment="1">
      <alignment horizontal="left" vertical="center" wrapText="1"/>
    </xf>
    <xf numFmtId="0" fontId="16" fillId="0" borderId="57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indent="1"/>
    </xf>
    <xf numFmtId="0" fontId="16" fillId="0" borderId="55" xfId="0" applyFont="1" applyBorder="1" applyAlignment="1">
      <alignment horizontal="left" vertical="center" indent="1"/>
    </xf>
    <xf numFmtId="0" fontId="16" fillId="0" borderId="29" xfId="0" applyFont="1" applyBorder="1" applyAlignment="1">
      <alignment horizontal="left" vertical="center" indent="1"/>
    </xf>
    <xf numFmtId="0" fontId="16" fillId="0" borderId="25" xfId="0" applyFont="1" applyBorder="1" applyAlignment="1">
      <alignment horizontal="left" vertical="center" wrapText="1" indent="1"/>
    </xf>
    <xf numFmtId="0" fontId="16" fillId="0" borderId="22" xfId="0" applyFont="1" applyBorder="1" applyAlignment="1">
      <alignment horizontal="left" vertical="center" wrapText="1" indent="1"/>
    </xf>
    <xf numFmtId="0" fontId="16" fillId="0" borderId="26" xfId="0" applyFont="1" applyBorder="1" applyAlignment="1">
      <alignment horizontal="left" vertical="center" wrapText="1" indent="1"/>
    </xf>
    <xf numFmtId="0" fontId="16" fillId="0" borderId="28" xfId="0" applyFont="1" applyBorder="1" applyAlignment="1">
      <alignment horizontal="left" vertical="center" wrapText="1" indent="1"/>
    </xf>
    <xf numFmtId="0" fontId="16" fillId="0" borderId="19" xfId="0" applyFont="1" applyBorder="1" applyAlignment="1">
      <alignment horizontal="left" vertical="center" wrapText="1" indent="1"/>
    </xf>
    <xf numFmtId="0" fontId="16" fillId="0" borderId="29" xfId="0" applyFont="1" applyBorder="1" applyAlignment="1">
      <alignment horizontal="left" vertical="center" wrapText="1" indent="1"/>
    </xf>
    <xf numFmtId="0" fontId="26" fillId="0" borderId="65" xfId="4" applyFont="1" applyBorder="1" applyAlignment="1">
      <alignment horizontal="center" wrapText="1"/>
    </xf>
    <xf numFmtId="0" fontId="26" fillId="0" borderId="66" xfId="4" applyFont="1" applyBorder="1" applyAlignment="1">
      <alignment horizontal="center" wrapText="1"/>
    </xf>
    <xf numFmtId="0" fontId="9" fillId="0" borderId="0" xfId="4" applyFont="1" applyAlignment="1">
      <alignment horizontal="center"/>
    </xf>
    <xf numFmtId="0" fontId="9" fillId="0" borderId="5" xfId="4" applyFont="1" applyBorder="1" applyAlignment="1">
      <alignment horizontal="center"/>
    </xf>
    <xf numFmtId="0" fontId="9" fillId="0" borderId="59" xfId="0" applyFont="1" applyBorder="1" applyAlignment="1">
      <alignment horizontal="right" vertical="center" indent="1"/>
    </xf>
    <xf numFmtId="0" fontId="9" fillId="0" borderId="33" xfId="0" applyFont="1" applyBorder="1" applyAlignment="1">
      <alignment horizontal="right" vertical="center" indent="1"/>
    </xf>
    <xf numFmtId="0" fontId="9" fillId="0" borderId="31" xfId="0" applyFont="1" applyBorder="1" applyAlignment="1">
      <alignment horizontal="right" vertical="center" indent="1"/>
    </xf>
    <xf numFmtId="0" fontId="25" fillId="5" borderId="0" xfId="4" applyFont="1" applyFill="1" applyAlignment="1">
      <alignment horizontal="center" vertical="top" wrapText="1"/>
    </xf>
    <xf numFmtId="0" fontId="25" fillId="5" borderId="65" xfId="4" applyFont="1" applyFill="1" applyBorder="1" applyAlignment="1">
      <alignment horizontal="center" vertical="top" wrapText="1"/>
    </xf>
    <xf numFmtId="0" fontId="9" fillId="0" borderId="57" xfId="4" applyFont="1" applyBorder="1" applyAlignment="1">
      <alignment horizontal="center" vertical="center" wrapText="1"/>
    </xf>
    <xf numFmtId="0" fontId="9" fillId="0" borderId="22" xfId="4" applyFont="1" applyBorder="1" applyAlignment="1">
      <alignment horizontal="center" vertical="center" wrapText="1"/>
    </xf>
    <xf numFmtId="0" fontId="9" fillId="0" borderId="22" xfId="5" applyFont="1" applyBorder="1" applyAlignment="1">
      <alignment horizontal="center" vertical="center" wrapText="1"/>
    </xf>
    <xf numFmtId="0" fontId="9" fillId="0" borderId="58" xfId="5" applyFont="1" applyBorder="1" applyAlignment="1">
      <alignment horizontal="center" vertical="center" wrapText="1"/>
    </xf>
    <xf numFmtId="0" fontId="26" fillId="5" borderId="64" xfId="4" applyFont="1" applyFill="1" applyBorder="1" applyAlignment="1">
      <alignment horizontal="center" wrapText="1"/>
    </xf>
    <xf numFmtId="0" fontId="26" fillId="5" borderId="65" xfId="4" applyFont="1" applyFill="1" applyBorder="1" applyAlignment="1">
      <alignment horizontal="center" wrapText="1"/>
    </xf>
    <xf numFmtId="0" fontId="9" fillId="5" borderId="4" xfId="4" applyFont="1" applyFill="1" applyBorder="1" applyAlignment="1">
      <alignment horizontal="center" wrapText="1"/>
    </xf>
    <xf numFmtId="0" fontId="9" fillId="5" borderId="0" xfId="4" applyFont="1" applyFill="1" applyAlignment="1">
      <alignment horizontal="center" wrapText="1"/>
    </xf>
    <xf numFmtId="14" fontId="22" fillId="8" borderId="59" xfId="0" applyNumberFormat="1" applyFont="1" applyFill="1" applyBorder="1" applyAlignment="1">
      <alignment horizontal="center" vertical="center"/>
    </xf>
    <xf numFmtId="14" fontId="22" fillId="8" borderId="33" xfId="0" applyNumberFormat="1" applyFont="1" applyFill="1" applyBorder="1" applyAlignment="1">
      <alignment horizontal="center" vertical="center"/>
    </xf>
    <xf numFmtId="14" fontId="22" fillId="6" borderId="59" xfId="0" applyNumberFormat="1" applyFont="1" applyFill="1" applyBorder="1" applyAlignment="1">
      <alignment horizontal="center" vertical="center"/>
    </xf>
    <xf numFmtId="14" fontId="22" fillId="6" borderId="33" xfId="0" applyNumberFormat="1" applyFont="1" applyFill="1" applyBorder="1" applyAlignment="1">
      <alignment horizontal="center" vertical="center"/>
    </xf>
    <xf numFmtId="14" fontId="22" fillId="4" borderId="31" xfId="0" applyNumberFormat="1" applyFont="1" applyFill="1" applyBorder="1" applyAlignment="1">
      <alignment horizontal="center" vertical="center"/>
    </xf>
    <xf numFmtId="14" fontId="13" fillId="0" borderId="9" xfId="0" applyNumberFormat="1" applyFont="1" applyBorder="1" applyAlignment="1">
      <alignment horizontal="left" vertical="center"/>
    </xf>
    <xf numFmtId="14" fontId="13" fillId="0" borderId="10" xfId="0" applyNumberFormat="1" applyFont="1" applyBorder="1" applyAlignment="1">
      <alignment horizontal="left" vertical="center"/>
    </xf>
    <xf numFmtId="14" fontId="13" fillId="0" borderId="44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0" fontId="3" fillId="0" borderId="38" xfId="0" applyFont="1" applyBorder="1" applyAlignment="1">
      <alignment horizontal="right" vertical="center"/>
    </xf>
    <xf numFmtId="173" fontId="3" fillId="0" borderId="24" xfId="0" applyNumberFormat="1" applyFont="1" applyBorder="1" applyAlignment="1">
      <alignment horizontal="center" vertical="center"/>
    </xf>
    <xf numFmtId="173" fontId="3" fillId="0" borderId="38" xfId="0" applyNumberFormat="1" applyFont="1" applyBorder="1" applyAlignment="1">
      <alignment horizontal="center" vertical="center"/>
    </xf>
    <xf numFmtId="186" fontId="0" fillId="0" borderId="0" xfId="0" applyNumberFormat="1" applyAlignment="1">
      <alignment horizontal="left"/>
    </xf>
  </cellXfs>
  <cellStyles count="12">
    <cellStyle name="Binlik Ayracı_menfez" xfId="3" xr:uid="{00433219-8341-468A-9151-ECB009FB19D7}"/>
    <cellStyle name="Comma" xfId="11" builtinId="3"/>
    <cellStyle name="Comma 2" xfId="10" xr:uid="{C2A1C35E-CF8E-4859-B6AD-E59E82F41F67}"/>
    <cellStyle name="Normal" xfId="0" builtinId="0"/>
    <cellStyle name="Normal 2" xfId="2" xr:uid="{00000000-0005-0000-0000-000001000000}"/>
    <cellStyle name="Normal 3" xfId="7" xr:uid="{3335504F-E56A-494B-9A67-277F36B7928E}"/>
    <cellStyle name="Normal 5" xfId="9" xr:uid="{1162EF8E-0EE0-40C3-BF90-701A64B598AC}"/>
    <cellStyle name="Normal_KBJANO1-14111" xfId="5" xr:uid="{6FB5D6EB-4C8B-4B94-B4E4-0BEED4D2251E}"/>
    <cellStyle name="Normal_MTT HAK-KPK" xfId="1" xr:uid="{00000000-0005-0000-0000-000002000000}"/>
    <cellStyle name="Normal_Sayfa3" xfId="4" xr:uid="{63619D4C-9E65-475D-9983-63D528B96C51}"/>
    <cellStyle name="Percent" xfId="6" builtinId="5"/>
    <cellStyle name="Virgül 2" xfId="8" xr:uid="{CFC53690-64EE-443A-99FD-773F7CC5D3B6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3" formatCode="h:mm;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32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tyles" Target="styles.xml"/><Relationship Id="rId30" Type="http://schemas.microsoft.com/office/2017/06/relationships/rdRichValue" Target="richData/rdrichvalue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Spin" dx="22" fmlaLink="$P$2" max="300" min="1" page="10" val="129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71716</xdr:colOff>
      <xdr:row>0</xdr:row>
      <xdr:rowOff>90208</xdr:rowOff>
    </xdr:from>
    <xdr:to>
      <xdr:col>1</xdr:col>
      <xdr:colOff>648219</xdr:colOff>
      <xdr:row>1</xdr:row>
      <xdr:rowOff>209512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716" y="90208"/>
          <a:ext cx="1159209" cy="5373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76200</xdr:colOff>
          <xdr:row>4</xdr:row>
          <xdr:rowOff>219075</xdr:rowOff>
        </xdr:from>
        <xdr:to>
          <xdr:col>46</xdr:col>
          <xdr:colOff>504825</xdr:colOff>
          <xdr:row>6</xdr:row>
          <xdr:rowOff>390525</xdr:rowOff>
        </xdr:to>
        <xdr:sp macro="" textlink="">
          <xdr:nvSpPr>
            <xdr:cNvPr id="1030" name="Spinner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20623</xdr:colOff>
      <xdr:row>0</xdr:row>
      <xdr:rowOff>17725</xdr:rowOff>
    </xdr:from>
    <xdr:to>
      <xdr:col>1</xdr:col>
      <xdr:colOff>866774</xdr:colOff>
      <xdr:row>1</xdr:row>
      <xdr:rowOff>258998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70743F-E995-40ED-B529-8094499321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3" y="17725"/>
          <a:ext cx="1417651" cy="66989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38100</xdr:rowOff>
    </xdr:from>
    <xdr:to>
      <xdr:col>1</xdr:col>
      <xdr:colOff>476250</xdr:colOff>
      <xdr:row>1</xdr:row>
      <xdr:rowOff>292290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38100"/>
          <a:ext cx="876300" cy="444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eb-subc-follow.xlsx" TargetMode="External"/><Relationship Id="rId1" Type="http://schemas.openxmlformats.org/officeDocument/2006/relationships/externalLinkPath" Target="eb-subc-follo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A\DataServer\Teknik%20Ofis\00_SPP2%20Taseron%20Sozlesmeleri\085_Babek%20Albandov\ipcs\6\85-6.xlsx" TargetMode="External"/><Relationship Id="rId1" Type="http://schemas.openxmlformats.org/officeDocument/2006/relationships/externalLinkPath" Target="file:///\\DATA\DataServer\Teknik%20Ofis\00_SPP2%20Taseron%20Sozlesmeleri\085_Babek%20Albandov\ipcs\6\85-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A\DataServer\Teknik%20Ofis\00_SPP2%20Taseron%20Sozlesmeleri\094_Abdullayeva%20Xan&#305;m%20(Rasim)\ipcs\1\94-1.xlsx" TargetMode="External"/><Relationship Id="rId1" Type="http://schemas.openxmlformats.org/officeDocument/2006/relationships/externalLinkPath" Target="file:///\\DATA\DataServer\Teknik%20Ofis\00_SPP2%20Taseron%20Sozlesmeleri\094_Abdullayeva%20Xan&#305;m%20(Rasim)\ipcs\1\94-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d0f35a67bc0854e0/Desktop/ipc/31/all/31-9.xlsx" TargetMode="External"/><Relationship Id="rId1" Type="http://schemas.openxmlformats.org/officeDocument/2006/relationships/externalLinkPath" Target="31/all/31-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config"/>
      <sheetName val="vehicle-record"/>
      <sheetName val="notes"/>
      <sheetName val="ipc_files"/>
    </sheetNames>
    <sheetDataSet>
      <sheetData sheetId="0" refreshError="1"/>
      <sheetData sheetId="1">
        <row r="4">
          <cell r="B4" t="str">
            <v>Technical Office Cheif 
Texniki Şöbə Şefi</v>
          </cell>
          <cell r="C4" t="str">
            <v>Mehmet Özgün DEDEKARGINOĞLU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PC Cover"/>
      <sheetName val="Prices"/>
      <sheetName val="77SN951"/>
      <sheetName val="Mazot"/>
    </sheetNames>
    <sheetDataSet>
      <sheetData sheetId="0"/>
      <sheetData sheetId="1"/>
      <sheetData sheetId="2">
        <row r="10">
          <cell r="E10">
            <v>0.29166666666666669</v>
          </cell>
          <cell r="F10">
            <v>0.75</v>
          </cell>
        </row>
        <row r="11">
          <cell r="E11">
            <v>0.29166666666666669</v>
          </cell>
          <cell r="F11">
            <v>0.875</v>
          </cell>
        </row>
        <row r="12">
          <cell r="E12">
            <v>0.29166666666666669</v>
          </cell>
          <cell r="F12">
            <v>0.79166666666666674</v>
          </cell>
        </row>
        <row r="13">
          <cell r="E13">
            <v>0.29166666666666669</v>
          </cell>
          <cell r="F13">
            <v>0.83333333333333326</v>
          </cell>
        </row>
        <row r="14">
          <cell r="E14">
            <v>0.29166666666666669</v>
          </cell>
          <cell r="F14">
            <v>0.79166666666666674</v>
          </cell>
        </row>
        <row r="15">
          <cell r="E15">
            <v>0.29166666666666669</v>
          </cell>
          <cell r="F15">
            <v>0.79166666666666674</v>
          </cell>
        </row>
        <row r="16">
          <cell r="E16">
            <v>0.29166666666666669</v>
          </cell>
          <cell r="F16">
            <v>0.875</v>
          </cell>
        </row>
        <row r="17">
          <cell r="E17">
            <v>0.29166666666666669</v>
          </cell>
          <cell r="F17">
            <v>0.83333333333333326</v>
          </cell>
        </row>
        <row r="18">
          <cell r="E18" t="str">
            <v/>
          </cell>
          <cell r="F18" t="str">
            <v/>
          </cell>
        </row>
        <row r="19">
          <cell r="E19">
            <v>0.29166666666666669</v>
          </cell>
          <cell r="F19">
            <v>0.79166666666666674</v>
          </cell>
        </row>
        <row r="20">
          <cell r="E20">
            <v>0.29166666666666669</v>
          </cell>
          <cell r="F20">
            <v>0.75</v>
          </cell>
        </row>
        <row r="21">
          <cell r="E21">
            <v>0.29166666666666669</v>
          </cell>
          <cell r="F21">
            <v>0.875</v>
          </cell>
        </row>
        <row r="22">
          <cell r="E22">
            <v>0.29166666666666669</v>
          </cell>
          <cell r="F22">
            <v>0.875</v>
          </cell>
        </row>
        <row r="23">
          <cell r="E23">
            <v>0.29166666666666669</v>
          </cell>
          <cell r="F23">
            <v>0.95833333333333326</v>
          </cell>
        </row>
        <row r="24">
          <cell r="E24">
            <v>0.29166666666666669</v>
          </cell>
          <cell r="F24">
            <v>0.83333333333333326</v>
          </cell>
        </row>
        <row r="25">
          <cell r="E25">
            <v>0.29166666666666669</v>
          </cell>
          <cell r="F25">
            <v>0.79166666666666674</v>
          </cell>
        </row>
        <row r="26">
          <cell r="E26">
            <v>0.29166666666666669</v>
          </cell>
          <cell r="F26">
            <v>0.83333333333333326</v>
          </cell>
        </row>
        <row r="27">
          <cell r="E27">
            <v>0.29166666666666669</v>
          </cell>
          <cell r="F27">
            <v>0.91666666666666674</v>
          </cell>
        </row>
        <row r="28">
          <cell r="E28">
            <v>0.29166666666666669</v>
          </cell>
          <cell r="F28">
            <v>0.79166666666666674</v>
          </cell>
        </row>
        <row r="29">
          <cell r="E29">
            <v>0.29166666666666669</v>
          </cell>
          <cell r="F29">
            <v>0.75</v>
          </cell>
        </row>
        <row r="30">
          <cell r="E30">
            <v>0.29166666666666669</v>
          </cell>
          <cell r="F30">
            <v>0.83333333333333326</v>
          </cell>
        </row>
        <row r="31">
          <cell r="E31">
            <v>0.29166666666666669</v>
          </cell>
          <cell r="F31">
            <v>0.79166666666666674</v>
          </cell>
        </row>
        <row r="32">
          <cell r="E32">
            <v>0.29166666666666669</v>
          </cell>
          <cell r="F32">
            <v>0.875</v>
          </cell>
        </row>
        <row r="33">
          <cell r="E33">
            <v>0.29166666666666669</v>
          </cell>
          <cell r="F33">
            <v>0.83333333333333326</v>
          </cell>
        </row>
        <row r="34">
          <cell r="E34">
            <v>0.29166666666666669</v>
          </cell>
          <cell r="F34">
            <v>0.79166666666666674</v>
          </cell>
        </row>
        <row r="35">
          <cell r="E35">
            <v>0.29166666666666669</v>
          </cell>
          <cell r="F35">
            <v>0.83333333333333326</v>
          </cell>
        </row>
        <row r="36">
          <cell r="E36">
            <v>0.29166666666666669</v>
          </cell>
          <cell r="F36">
            <v>0.83333333333333326</v>
          </cell>
        </row>
        <row r="37">
          <cell r="E37">
            <v>0.29166666666666669</v>
          </cell>
          <cell r="F37">
            <v>0.75</v>
          </cell>
        </row>
        <row r="38">
          <cell r="E38">
            <v>0.29166666666666669</v>
          </cell>
          <cell r="F38">
            <v>0.91666666666666674</v>
          </cell>
        </row>
        <row r="39">
          <cell r="E39">
            <v>0.29166666666666669</v>
          </cell>
          <cell r="F39">
            <v>0.75</v>
          </cell>
        </row>
        <row r="40">
          <cell r="E40" t="str">
            <v/>
          </cell>
          <cell r="F40" t="str">
            <v/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PC Cover"/>
      <sheetName val="Prices"/>
      <sheetName val="54 BH 706"/>
      <sheetName val="54 BM 823"/>
      <sheetName val="Mazot"/>
    </sheetNames>
    <sheetDataSet>
      <sheetData sheetId="0"/>
      <sheetData sheetId="1"/>
      <sheetData sheetId="2"/>
      <sheetData sheetId="3">
        <row r="10">
          <cell r="E10"/>
          <cell r="F10"/>
        </row>
        <row r="11">
          <cell r="E11"/>
          <cell r="F11"/>
        </row>
        <row r="12">
          <cell r="E12">
            <v>0.29166666666666669</v>
          </cell>
          <cell r="F12">
            <v>0.75</v>
          </cell>
        </row>
        <row r="13">
          <cell r="E13">
            <v>0.29166666666666669</v>
          </cell>
          <cell r="F13">
            <v>0.75</v>
          </cell>
        </row>
        <row r="14">
          <cell r="E14">
            <v>0.29166666666666669</v>
          </cell>
          <cell r="F14">
            <v>0.75</v>
          </cell>
        </row>
        <row r="15">
          <cell r="E15">
            <v>0.29166666666666669</v>
          </cell>
          <cell r="F15">
            <v>0.75</v>
          </cell>
        </row>
        <row r="16">
          <cell r="E16">
            <v>0.29166666666666669</v>
          </cell>
          <cell r="F16">
            <v>0.75</v>
          </cell>
        </row>
        <row r="17">
          <cell r="E17">
            <v>0.29166666666666669</v>
          </cell>
          <cell r="F17">
            <v>0.75</v>
          </cell>
        </row>
        <row r="18">
          <cell r="E18">
            <v>0.29166666666666669</v>
          </cell>
          <cell r="F18">
            <v>0.75</v>
          </cell>
        </row>
        <row r="19">
          <cell r="E19">
            <v>0.29166666666666669</v>
          </cell>
          <cell r="F19">
            <v>0.75</v>
          </cell>
        </row>
        <row r="20">
          <cell r="E20">
            <v>0.29166666666666669</v>
          </cell>
          <cell r="F20">
            <v>0.75</v>
          </cell>
        </row>
        <row r="21">
          <cell r="E21">
            <v>0.29166666666666669</v>
          </cell>
          <cell r="F21">
            <v>0.75</v>
          </cell>
        </row>
        <row r="22">
          <cell r="E22">
            <v>0.29166666666666669</v>
          </cell>
          <cell r="F22">
            <v>0.75</v>
          </cell>
        </row>
        <row r="23">
          <cell r="E23">
            <v>0.29166666666666669</v>
          </cell>
          <cell r="F23">
            <v>0.75</v>
          </cell>
        </row>
        <row r="24">
          <cell r="E24">
            <v>0.29166666666666669</v>
          </cell>
          <cell r="F24">
            <v>0.75</v>
          </cell>
        </row>
        <row r="25">
          <cell r="E25">
            <v>0.29166666666666669</v>
          </cell>
          <cell r="F25">
            <v>0.75</v>
          </cell>
        </row>
        <row r="26">
          <cell r="E26">
            <v>0.29166666666666669</v>
          </cell>
          <cell r="F26">
            <v>0.75</v>
          </cell>
        </row>
        <row r="27">
          <cell r="E27">
            <v>0.29166666666666669</v>
          </cell>
          <cell r="F27">
            <v>0.75</v>
          </cell>
        </row>
        <row r="28">
          <cell r="E28">
            <v>0.29166666666666669</v>
          </cell>
          <cell r="F28">
            <v>0.75</v>
          </cell>
        </row>
        <row r="29">
          <cell r="E29">
            <v>0.29166666666666669</v>
          </cell>
          <cell r="F29">
            <v>0.75</v>
          </cell>
        </row>
        <row r="30">
          <cell r="E30">
            <v>0.29166666666666669</v>
          </cell>
          <cell r="F30">
            <v>0.75</v>
          </cell>
        </row>
        <row r="31">
          <cell r="E31">
            <v>0.29166666666666669</v>
          </cell>
          <cell r="F31">
            <v>0.75</v>
          </cell>
        </row>
        <row r="32">
          <cell r="E32">
            <v>0.29166666666666669</v>
          </cell>
          <cell r="F32">
            <v>0.75</v>
          </cell>
        </row>
        <row r="33">
          <cell r="E33">
            <v>0.29166666666666669</v>
          </cell>
          <cell r="F33">
            <v>0.75</v>
          </cell>
        </row>
        <row r="34">
          <cell r="E34">
            <v>0.29166666666666669</v>
          </cell>
          <cell r="F34">
            <v>0.75</v>
          </cell>
        </row>
        <row r="35">
          <cell r="E35">
            <v>0.29166666666666669</v>
          </cell>
          <cell r="F35">
            <v>0.75</v>
          </cell>
        </row>
        <row r="36">
          <cell r="E36">
            <v>0.29166666666666669</v>
          </cell>
          <cell r="F36">
            <v>0.75</v>
          </cell>
        </row>
        <row r="37">
          <cell r="E37">
            <v>0.29166666666666669</v>
          </cell>
          <cell r="F37">
            <v>0.75</v>
          </cell>
        </row>
        <row r="38">
          <cell r="E38">
            <v>0.29166666666666669</v>
          </cell>
          <cell r="F38">
            <v>0.75</v>
          </cell>
        </row>
        <row r="39">
          <cell r="E39">
            <v>0.29166666666666669</v>
          </cell>
          <cell r="F39">
            <v>0.75</v>
          </cell>
        </row>
        <row r="40">
          <cell r="E40"/>
          <cell r="F40"/>
        </row>
      </sheetData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PC Cover"/>
      <sheetName val="Prices"/>
      <sheetName val="MAZOT (2)"/>
      <sheetName val="90YN163"/>
      <sheetName val="99FO779"/>
      <sheetName val="99CN447"/>
      <sheetName val="99OR961"/>
      <sheetName val="99UK314"/>
      <sheetName val="99HZ395"/>
      <sheetName val="77VL420"/>
      <sheetName val="77AT386"/>
      <sheetName val="90SL686"/>
      <sheetName val="55CB633"/>
      <sheetName val="99BT339"/>
      <sheetName val="50DK730"/>
      <sheetName val="99MN472"/>
      <sheetName val="99LM412"/>
      <sheetName val="50BD165"/>
      <sheetName val="77QE133"/>
      <sheetName val="90VS316"/>
      <sheetName val="99EM163"/>
      <sheetName val="53BB774"/>
      <sheetName val="77GR998"/>
      <sheetName val="90PY548"/>
      <sheetName val="01CC689"/>
      <sheetName val="77UR032"/>
      <sheetName val="99KL663"/>
      <sheetName val="90LS143"/>
      <sheetName val="50BN724"/>
      <sheetName val="90OE402"/>
      <sheetName val="50EF902"/>
      <sheetName val="10RN527"/>
      <sheetName val="50CN929"/>
      <sheetName val="77TG971"/>
      <sheetName val="77SR538"/>
      <sheetName val="21BF442"/>
      <sheetName val="90EC344"/>
      <sheetName val="50FB264"/>
      <sheetName val="99GZ612"/>
      <sheetName val="77DK884"/>
      <sheetName val="53BD338"/>
      <sheetName val="17BE358"/>
      <sheetName val="DAĞITIM (2)"/>
      <sheetName val="99LT168"/>
      <sheetName val="99FB123"/>
      <sheetName val="90OV187"/>
      <sheetName val="77UG347"/>
      <sheetName val="90ZP408"/>
      <sheetName val="66CC029"/>
      <sheetName val="77GM723"/>
      <sheetName val="99DX531"/>
      <sheetName val="15BZ942"/>
      <sheetName val="77ET143"/>
      <sheetName val="52BK688"/>
      <sheetName val="77RN868"/>
      <sheetName val="99TV366"/>
    </sheetNames>
    <sheetDataSet>
      <sheetData sheetId="0"/>
      <sheetData sheetId="1">
        <row r="156">
          <cell r="C156" t="str">
            <v>SERVIS - 99LT168 - Baku</v>
          </cell>
          <cell r="D156">
            <v>2200</v>
          </cell>
          <cell r="E156"/>
          <cell r="F156">
            <v>30</v>
          </cell>
        </row>
        <row r="157">
          <cell r="C157" t="str">
            <v>SERVIS - 99FB123 - Baku</v>
          </cell>
          <cell r="D157">
            <v>2200</v>
          </cell>
          <cell r="E157"/>
          <cell r="F157">
            <v>30</v>
          </cell>
        </row>
        <row r="158">
          <cell r="C158" t="str">
            <v>SERVIS - 90OV187 - Baku</v>
          </cell>
          <cell r="D158">
            <v>2200</v>
          </cell>
          <cell r="E158"/>
          <cell r="F158">
            <v>30</v>
          </cell>
        </row>
        <row r="159">
          <cell r="C159" t="str">
            <v>SERVIS - 77UG347 - Sumqayıt</v>
          </cell>
          <cell r="D159">
            <v>1950</v>
          </cell>
          <cell r="E159"/>
          <cell r="F159">
            <v>30</v>
          </cell>
        </row>
        <row r="160">
          <cell r="C160" t="str">
            <v>SERVIS - 99HZ395 - Sumqayıt</v>
          </cell>
          <cell r="D160">
            <v>1950</v>
          </cell>
          <cell r="E160"/>
          <cell r="F160">
            <v>30</v>
          </cell>
        </row>
        <row r="161">
          <cell r="C161" t="str">
            <v>SERVIS - 90PZ408 - Sahə</v>
          </cell>
          <cell r="D161">
            <v>1550</v>
          </cell>
          <cell r="E161"/>
          <cell r="F161">
            <v>28</v>
          </cell>
        </row>
        <row r="162">
          <cell r="C162" t="str">
            <v>SERVIS - 66CC029 - Sahə</v>
          </cell>
          <cell r="D162">
            <v>1550</v>
          </cell>
          <cell r="E162"/>
          <cell r="F162">
            <v>28</v>
          </cell>
        </row>
        <row r="163">
          <cell r="C163" t="str">
            <v>ZİBİL MAŞINI - 77QK725</v>
          </cell>
          <cell r="D163">
            <v>7700</v>
          </cell>
          <cell r="E163"/>
          <cell r="F163">
            <v>28</v>
          </cell>
        </row>
        <row r="164">
          <cell r="C164" t="str">
            <v>ZİBİL MAŞINI - 77VL420</v>
          </cell>
          <cell r="D164">
            <v>7700</v>
          </cell>
          <cell r="E164"/>
          <cell r="F164">
            <v>28</v>
          </cell>
        </row>
        <row r="165">
          <cell r="C165" t="str">
            <v>SERVIS - 77AT386 - Satınalma</v>
          </cell>
          <cell r="D165">
            <v>1400</v>
          </cell>
          <cell r="E165"/>
          <cell r="F165">
            <v>30</v>
          </cell>
        </row>
        <row r="166">
          <cell r="C166" t="str">
            <v>SERVIS - 90SL686 - Aeroport</v>
          </cell>
          <cell r="D166">
            <v>1650</v>
          </cell>
          <cell r="E166"/>
          <cell r="F166">
            <v>28</v>
          </cell>
        </row>
        <row r="167">
          <cell r="C167" t="str">
            <v>SERVIS - 55CB633 - Sahə</v>
          </cell>
          <cell r="D167">
            <v>1550</v>
          </cell>
          <cell r="E167"/>
          <cell r="F167">
            <v>28</v>
          </cell>
        </row>
        <row r="168">
          <cell r="C168" t="str">
            <v>SERVIS - 77GM723 - Sahə</v>
          </cell>
          <cell r="D168">
            <v>1550</v>
          </cell>
          <cell r="E168"/>
          <cell r="F168">
            <v>28</v>
          </cell>
        </row>
        <row r="169">
          <cell r="C169" t="str">
            <v>SERVIS - 99DX531 - Sahə</v>
          </cell>
          <cell r="D169">
            <v>1550</v>
          </cell>
          <cell r="E169"/>
          <cell r="F169">
            <v>28</v>
          </cell>
        </row>
        <row r="170">
          <cell r="C170" t="str">
            <v>SERVIS - 15BZ942 - Sahə</v>
          </cell>
          <cell r="D170">
            <v>1550</v>
          </cell>
          <cell r="E170"/>
          <cell r="F170">
            <v>28</v>
          </cell>
        </row>
        <row r="171">
          <cell r="C171" t="str">
            <v>SERVIS - 99BT339 - Sahə</v>
          </cell>
          <cell r="D171">
            <v>1550</v>
          </cell>
          <cell r="E171"/>
          <cell r="F171">
            <v>28</v>
          </cell>
        </row>
        <row r="172">
          <cell r="C172" t="str">
            <v>SERVIS - 99BT339 - Sahə</v>
          </cell>
          <cell r="D172">
            <v>1550</v>
          </cell>
          <cell r="E172"/>
          <cell r="F172">
            <v>28</v>
          </cell>
        </row>
        <row r="173">
          <cell r="C173" t="str">
            <v>SERVIS - 77ET143 - Sahə</v>
          </cell>
          <cell r="D173">
            <v>1550</v>
          </cell>
          <cell r="E173"/>
          <cell r="F173">
            <v>28</v>
          </cell>
        </row>
        <row r="174">
          <cell r="C174" t="str">
            <v>SERVIS - 50DK730 - Sahə</v>
          </cell>
          <cell r="D174">
            <v>1550</v>
          </cell>
          <cell r="E174"/>
          <cell r="F174">
            <v>28</v>
          </cell>
        </row>
        <row r="175">
          <cell r="C175" t="str">
            <v>SERVIS - 99MN472 - Sahə</v>
          </cell>
          <cell r="D175">
            <v>1550</v>
          </cell>
          <cell r="E175"/>
          <cell r="F175">
            <v>28</v>
          </cell>
        </row>
        <row r="176">
          <cell r="C176" t="str">
            <v>SERVIS - 52BK688 - Sahə</v>
          </cell>
          <cell r="D176">
            <v>1550</v>
          </cell>
          <cell r="E176"/>
          <cell r="F176">
            <v>28</v>
          </cell>
        </row>
        <row r="177">
          <cell r="C177" t="str">
            <v>SERVIS - 10RN527 - Sahə</v>
          </cell>
          <cell r="D177">
            <v>1550</v>
          </cell>
          <cell r="E177"/>
          <cell r="F177">
            <v>28</v>
          </cell>
        </row>
        <row r="178">
          <cell r="C178" t="str">
            <v>SERVIS - 77RN868 - Baku</v>
          </cell>
          <cell r="D178">
            <v>2200</v>
          </cell>
          <cell r="E178"/>
          <cell r="F178">
            <v>30</v>
          </cell>
        </row>
        <row r="179">
          <cell r="C179" t="str">
            <v>VAQON - 99LM412 - Sahə</v>
          </cell>
          <cell r="D179">
            <v>1550</v>
          </cell>
          <cell r="E179"/>
          <cell r="F179">
            <v>28</v>
          </cell>
        </row>
        <row r="180">
          <cell r="C180" t="str">
            <v>SERVIS - 99TV366 - Sahə</v>
          </cell>
          <cell r="D180">
            <v>1550</v>
          </cell>
          <cell r="E180"/>
          <cell r="F180">
            <v>28</v>
          </cell>
        </row>
        <row r="181">
          <cell r="C181" t="str">
            <v>SERVIS - 50BD165 - Sahə</v>
          </cell>
          <cell r="D181">
            <v>1550</v>
          </cell>
          <cell r="E181"/>
          <cell r="F181">
            <v>28</v>
          </cell>
        </row>
        <row r="182">
          <cell r="C182" t="str">
            <v>SERVIS - 77QE133 - Baku</v>
          </cell>
          <cell r="D182">
            <v>2200</v>
          </cell>
          <cell r="E182"/>
          <cell r="F182">
            <v>30</v>
          </cell>
        </row>
        <row r="183">
          <cell r="C183" t="str">
            <v>SERVIS - 90VS316 - Sahə</v>
          </cell>
          <cell r="D183">
            <v>1550</v>
          </cell>
          <cell r="E183"/>
          <cell r="F183">
            <v>28</v>
          </cell>
        </row>
        <row r="184">
          <cell r="C184" t="str">
            <v>SERVIS - 99EM163 - Sahə</v>
          </cell>
          <cell r="D184">
            <v>1550</v>
          </cell>
          <cell r="E184"/>
          <cell r="F184">
            <v>28</v>
          </cell>
        </row>
        <row r="185">
          <cell r="C185" t="str">
            <v>SERVIS - 53BB774 - Sahə</v>
          </cell>
          <cell r="D185">
            <v>1550</v>
          </cell>
          <cell r="E185"/>
          <cell r="F185">
            <v>28</v>
          </cell>
        </row>
        <row r="186">
          <cell r="C186" t="str">
            <v>SERVIS - 77GR998 - Sahə</v>
          </cell>
          <cell r="D186">
            <v>1550</v>
          </cell>
          <cell r="E186"/>
          <cell r="F186">
            <v>28</v>
          </cell>
        </row>
        <row r="187">
          <cell r="C187" t="str">
            <v>SERVIS - 77GR998 - Sahə</v>
          </cell>
          <cell r="D187">
            <v>1550</v>
          </cell>
          <cell r="E187"/>
          <cell r="F187">
            <v>28</v>
          </cell>
        </row>
        <row r="188">
          <cell r="C188" t="str">
            <v>SERVIS - 90PY548 - Satınalma</v>
          </cell>
          <cell r="D188">
            <v>1200</v>
          </cell>
          <cell r="E188"/>
          <cell r="F188">
            <v>30</v>
          </cell>
        </row>
        <row r="189">
          <cell r="C189" t="str">
            <v>SERVIS - 01CC689 - Sahə</v>
          </cell>
          <cell r="D189">
            <v>1550</v>
          </cell>
          <cell r="E189"/>
          <cell r="F189">
            <v>28</v>
          </cell>
        </row>
        <row r="190">
          <cell r="C190" t="str">
            <v>SERVIS - 77UR032 - Sahə</v>
          </cell>
          <cell r="D190">
            <v>1550</v>
          </cell>
          <cell r="E190"/>
          <cell r="F190">
            <v>28</v>
          </cell>
        </row>
        <row r="191">
          <cell r="C191" t="str">
            <v>SERVIS - 99KL663 - Sahə</v>
          </cell>
          <cell r="D191">
            <v>1550</v>
          </cell>
          <cell r="E191"/>
          <cell r="F191">
            <v>28</v>
          </cell>
        </row>
        <row r="192">
          <cell r="C192" t="str">
            <v>SERVIS - 90LS143 - Sahə</v>
          </cell>
          <cell r="D192">
            <v>1550</v>
          </cell>
          <cell r="E192"/>
          <cell r="F192">
            <v>28</v>
          </cell>
        </row>
        <row r="193">
          <cell r="C193" t="str">
            <v>SERVIS - 50BN724 - Sahə</v>
          </cell>
          <cell r="D193">
            <v>1850</v>
          </cell>
          <cell r="E193"/>
          <cell r="F193">
            <v>28</v>
          </cell>
        </row>
        <row r="194">
          <cell r="C194" t="str">
            <v>SERVIS - 90OE402 - Baku</v>
          </cell>
          <cell r="D194">
            <v>2200</v>
          </cell>
          <cell r="E194"/>
          <cell r="F194">
            <v>30</v>
          </cell>
        </row>
        <row r="195">
          <cell r="C195" t="str">
            <v>SERVIS - 50EF902 - Sahə</v>
          </cell>
          <cell r="D195">
            <v>1750</v>
          </cell>
          <cell r="E195"/>
          <cell r="F195">
            <v>28</v>
          </cell>
        </row>
        <row r="196">
          <cell r="C196" t="str">
            <v>SERVIS - 10RN527 - Sahə</v>
          </cell>
          <cell r="D196">
            <v>1750</v>
          </cell>
          <cell r="E196"/>
          <cell r="F196">
            <v>28</v>
          </cell>
        </row>
        <row r="197">
          <cell r="C197" t="str">
            <v>SERVIS - 50CN929 - Sahə</v>
          </cell>
          <cell r="D197">
            <v>1550</v>
          </cell>
          <cell r="E197"/>
          <cell r="F197">
            <v>28</v>
          </cell>
        </row>
        <row r="198">
          <cell r="C198" t="str">
            <v>SERVIS - 77TG971 - Sahə</v>
          </cell>
          <cell r="D198">
            <v>1550</v>
          </cell>
          <cell r="E198"/>
          <cell r="F198">
            <v>28</v>
          </cell>
        </row>
        <row r="199">
          <cell r="C199" t="str">
            <v>SERVIS - 77SR538 - Baku</v>
          </cell>
          <cell r="D199">
            <v>2200</v>
          </cell>
          <cell r="E199"/>
          <cell r="F199">
            <v>30</v>
          </cell>
        </row>
        <row r="200">
          <cell r="C200" t="str">
            <v>SERVIS - 99UK314 - Aeroport</v>
          </cell>
          <cell r="D200">
            <v>1650</v>
          </cell>
          <cell r="E200"/>
          <cell r="F200">
            <v>28</v>
          </cell>
        </row>
        <row r="201">
          <cell r="C201" t="str">
            <v>SERVIS - 99OR961 - Sahə</v>
          </cell>
          <cell r="D201">
            <v>1550</v>
          </cell>
          <cell r="E201"/>
          <cell r="F201">
            <v>28</v>
          </cell>
        </row>
        <row r="202">
          <cell r="C202" t="str">
            <v>SERVIS - 99CN447 - Sahə</v>
          </cell>
          <cell r="D202">
            <v>1550</v>
          </cell>
          <cell r="E202"/>
          <cell r="F202">
            <v>28</v>
          </cell>
        </row>
        <row r="203">
          <cell r="C203" t="str">
            <v>SERVIS - 99FO779 - Sahə</v>
          </cell>
          <cell r="D203">
            <v>1850</v>
          </cell>
          <cell r="E203"/>
          <cell r="F203">
            <v>28</v>
          </cell>
        </row>
        <row r="204">
          <cell r="C204" t="str">
            <v>SERVIS - 90YN163 - Satınalma</v>
          </cell>
          <cell r="D204">
            <v>1200</v>
          </cell>
          <cell r="E204"/>
          <cell r="F204">
            <v>30</v>
          </cell>
        </row>
        <row r="205">
          <cell r="C205" t="str">
            <v>SERVIS - 21BF442 - Sahə</v>
          </cell>
          <cell r="D205">
            <v>1550</v>
          </cell>
          <cell r="E205"/>
          <cell r="F205">
            <v>28</v>
          </cell>
        </row>
        <row r="206">
          <cell r="C206" t="str">
            <v>SERVIS - 90EC344 - Sahə</v>
          </cell>
          <cell r="D206">
            <v>1750</v>
          </cell>
          <cell r="E206"/>
          <cell r="F206">
            <v>28</v>
          </cell>
        </row>
        <row r="207">
          <cell r="C207" t="str">
            <v>Pick-up - 50FB264 -  Kamyonet</v>
          </cell>
          <cell r="D207">
            <v>1850</v>
          </cell>
          <cell r="E207"/>
          <cell r="F207">
            <v>28</v>
          </cell>
        </row>
        <row r="208">
          <cell r="C208" t="str">
            <v>SERVIS - 99GZ612 - Sahə</v>
          </cell>
          <cell r="D208">
            <v>1750</v>
          </cell>
          <cell r="E208"/>
          <cell r="F208">
            <v>28</v>
          </cell>
        </row>
        <row r="209">
          <cell r="C209" t="str">
            <v>SERVIS - 17BE358 - Sahə</v>
          </cell>
          <cell r="D209">
            <v>1550</v>
          </cell>
          <cell r="E209"/>
          <cell r="F209">
            <v>28</v>
          </cell>
        </row>
        <row r="210">
          <cell r="C210" t="str">
            <v>SERVIS - 53BD338 - Sahə</v>
          </cell>
          <cell r="D210">
            <v>1550</v>
          </cell>
          <cell r="E210"/>
          <cell r="F210">
            <v>28</v>
          </cell>
        </row>
        <row r="211">
          <cell r="C211" t="str">
            <v>Çift Kabin - 77DK884 - Pick-up</v>
          </cell>
          <cell r="D211">
            <v>2700</v>
          </cell>
          <cell r="E211"/>
          <cell r="F211">
            <v>28</v>
          </cell>
        </row>
        <row r="212">
          <cell r="C212" t="str">
            <v>SERVIS - 77PV619 - Satınalma</v>
          </cell>
          <cell r="D212">
            <v>1200</v>
          </cell>
          <cell r="E212"/>
          <cell r="F212">
            <v>30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0"/>
  <sheetViews>
    <sheetView showGridLines="0" showZeros="0" tabSelected="1" view="pageBreakPreview" zoomScale="70" zoomScaleNormal="70" zoomScaleSheetLayoutView="70" workbookViewId="0">
      <selection activeCell="O2" sqref="O2"/>
    </sheetView>
  </sheetViews>
  <sheetFormatPr defaultColWidth="9.28515625" defaultRowHeight="15" x14ac:dyDescent="0.25"/>
  <cols>
    <col min="1" max="1" width="8.7109375" customWidth="1"/>
    <col min="2" max="3" width="10.42578125" customWidth="1"/>
    <col min="4" max="9" width="9.7109375" customWidth="1"/>
    <col min="10" max="11" width="14.7109375" customWidth="1"/>
    <col min="12" max="12" width="12.42578125" customWidth="1"/>
    <col min="13" max="13" width="13.5703125" bestFit="1" customWidth="1"/>
    <col min="14" max="14" width="22.42578125" bestFit="1" customWidth="1"/>
    <col min="15" max="15" width="22" customWidth="1"/>
    <col min="16" max="16" width="9.28515625" hidden="1" customWidth="1"/>
    <col min="18" max="18" width="0" hidden="1" customWidth="1"/>
  </cols>
  <sheetData>
    <row r="1" spans="1:19" ht="31.9" customHeight="1" thickTop="1" thickBot="1" x14ac:dyDescent="0.3">
      <c r="A1" s="53"/>
      <c r="B1" s="58"/>
      <c r="C1" s="278" t="s">
        <v>67</v>
      </c>
      <c r="D1" s="279"/>
      <c r="E1" s="279"/>
      <c r="F1" s="279"/>
      <c r="G1" s="279"/>
      <c r="H1" s="279"/>
      <c r="I1" s="279"/>
      <c r="J1" s="70" t="s">
        <v>15</v>
      </c>
      <c r="K1" s="296" t="str">
        <f>"KLN-SPP2-"&amp;_xlfn.XLOOKUP(R1,log_contracts!B:B,log_contracts!C:C)&amp;"-"&amp;TEXT(R1,"000")</f>
        <v>KLN-SPP2-EQ-051</v>
      </c>
      <c r="L1" s="297"/>
      <c r="N1" t="s">
        <v>171</v>
      </c>
      <c r="O1" s="203">
        <v>51</v>
      </c>
      <c r="R1">
        <f>IF(O1="",_xlfn.XLOOKUP(P2,log_ipcs!A:A,log_ipcs!C:C,,0),O1)</f>
        <v>51</v>
      </c>
    </row>
    <row r="2" spans="1:19" ht="31.9" customHeight="1" thickBot="1" x14ac:dyDescent="0.4">
      <c r="A2" s="59"/>
      <c r="B2" s="60"/>
      <c r="C2" s="280"/>
      <c r="D2" s="281"/>
      <c r="E2" s="281"/>
      <c r="F2" s="281"/>
      <c r="G2" s="281"/>
      <c r="H2" s="281"/>
      <c r="I2" s="281"/>
      <c r="J2" s="61" t="s">
        <v>16</v>
      </c>
      <c r="K2" s="263">
        <f>R2</f>
        <v>5</v>
      </c>
      <c r="L2" s="276"/>
      <c r="N2" t="s">
        <v>173</v>
      </c>
      <c r="O2" s="204">
        <v>5</v>
      </c>
      <c r="P2" s="203">
        <v>129</v>
      </c>
      <c r="R2" s="202">
        <f>IF(O2="",_xlfn.XLOOKUP(P2,log_ipcs!A:A,log_ipcs!D:D,,0),O2)</f>
        <v>5</v>
      </c>
      <c r="S2" cm="1">
        <f t="array" ref="S2:S5">_xlfn._xlws.FILTER(log_ipcs!D:D,log_ipcs!C:C=contract_no)</f>
        <v>1</v>
      </c>
    </row>
    <row r="3" spans="1:19" ht="31.9" customHeight="1" x14ac:dyDescent="0.25">
      <c r="A3" s="282" t="s">
        <v>68</v>
      </c>
      <c r="B3" s="283"/>
      <c r="C3" s="283"/>
      <c r="D3" s="283"/>
      <c r="E3" s="283"/>
      <c r="F3" s="283"/>
      <c r="G3" s="283"/>
      <c r="H3" s="283"/>
      <c r="I3" s="283"/>
      <c r="J3" s="283"/>
      <c r="K3" s="283"/>
      <c r="L3" s="284"/>
      <c r="S3">
        <v>2</v>
      </c>
    </row>
    <row r="4" spans="1:19" ht="31.9" customHeight="1" x14ac:dyDescent="0.35">
      <c r="A4" s="285" t="s">
        <v>58</v>
      </c>
      <c r="B4" s="286"/>
      <c r="C4" s="289" t="s">
        <v>160</v>
      </c>
      <c r="D4" s="290"/>
      <c r="E4" s="290"/>
      <c r="F4" s="290"/>
      <c r="G4" s="290"/>
      <c r="H4" s="290"/>
      <c r="I4" s="291"/>
      <c r="J4" s="294" t="s">
        <v>26</v>
      </c>
      <c r="K4" s="295"/>
      <c r="L4" s="54" t="e">
        <f>VLOOKUP(TEXT(O1,"000")&amp;"-"&amp;TEXT(O2,"000"),log_ipcs!B:F,4,0)</f>
        <v>#N/A</v>
      </c>
      <c r="N4" s="172" t="e">
        <f>IF(L6&gt;L4,"ERROR","")</f>
        <v>#N/A</v>
      </c>
      <c r="S4">
        <v>3</v>
      </c>
    </row>
    <row r="5" spans="1:19" ht="31.9" customHeight="1" x14ac:dyDescent="0.25">
      <c r="A5" s="287"/>
      <c r="B5" s="288"/>
      <c r="C5" s="292"/>
      <c r="D5" s="283"/>
      <c r="E5" s="283"/>
      <c r="F5" s="283"/>
      <c r="G5" s="283"/>
      <c r="H5" s="283"/>
      <c r="I5" s="293"/>
      <c r="J5" s="294" t="s">
        <v>27</v>
      </c>
      <c r="K5" s="295"/>
      <c r="L5" s="54" t="e">
        <f>VLOOKUP(TEXT(O1,"000")&amp;"-"&amp;TEXT(O2,"000"),log_ipcs!B:F,5,0)</f>
        <v>#N/A</v>
      </c>
      <c r="S5">
        <v>4</v>
      </c>
    </row>
    <row r="6" spans="1:19" ht="31.5" customHeight="1" x14ac:dyDescent="0.25">
      <c r="A6" s="285" t="s">
        <v>59</v>
      </c>
      <c r="B6" s="286"/>
      <c r="C6" s="289" t="str">
        <f>_xlfn.XLOOKUP(R1,log_contracts!B:B,log_contracts!E:E,,0)</f>
        <v>INTERMAK GROUP MMC</v>
      </c>
      <c r="D6" s="290"/>
      <c r="E6" s="290"/>
      <c r="F6" s="290"/>
      <c r="G6" s="290"/>
      <c r="H6" s="290"/>
      <c r="I6" s="291"/>
      <c r="J6" s="294" t="s">
        <v>28</v>
      </c>
      <c r="K6" s="295"/>
      <c r="L6" s="54" cm="1">
        <f t="array" ref="L6">_xlfn.XLOOKUP(R1,_xlfn._TRO_TRAILING(log_contracts!B:B),_xlfn._TRO_TRAILING(log_contracts!H:H),,0)</f>
        <v>45761</v>
      </c>
    </row>
    <row r="7" spans="1:19" ht="31.9" customHeight="1" x14ac:dyDescent="0.25">
      <c r="A7" s="287"/>
      <c r="B7" s="288"/>
      <c r="C7" s="292"/>
      <c r="D7" s="283"/>
      <c r="E7" s="283"/>
      <c r="F7" s="283"/>
      <c r="G7" s="283"/>
      <c r="H7" s="283"/>
      <c r="I7" s="293"/>
      <c r="J7" s="294" t="s">
        <v>29</v>
      </c>
      <c r="K7" s="295"/>
      <c r="L7" s="54"/>
    </row>
    <row r="8" spans="1:19" ht="31.9" customHeight="1" x14ac:dyDescent="0.25">
      <c r="A8" s="285" t="s">
        <v>60</v>
      </c>
      <c r="B8" s="286"/>
      <c r="C8" s="289" t="str">
        <f>_xlfn.XLOOKUP(R1,log_contracts!B:B,log_contracts!F:F,,0)</f>
        <v>Rental Vehicle
Kiralıq Vasitə</v>
      </c>
      <c r="D8" s="290"/>
      <c r="E8" s="290"/>
      <c r="F8" s="290"/>
      <c r="G8" s="290"/>
      <c r="H8" s="290"/>
      <c r="I8" s="291"/>
      <c r="J8" s="294" t="s">
        <v>30</v>
      </c>
      <c r="K8" s="295"/>
      <c r="L8" s="55" t="s">
        <v>46</v>
      </c>
    </row>
    <row r="9" spans="1:19" ht="31.9" customHeight="1" x14ac:dyDescent="0.25">
      <c r="A9" s="287"/>
      <c r="B9" s="288"/>
      <c r="C9" s="292"/>
      <c r="D9" s="283"/>
      <c r="E9" s="283"/>
      <c r="F9" s="283"/>
      <c r="G9" s="283"/>
      <c r="H9" s="283"/>
      <c r="I9" s="293"/>
      <c r="J9" s="294" t="s">
        <v>31</v>
      </c>
      <c r="K9" s="295"/>
      <c r="L9" s="56"/>
    </row>
    <row r="10" spans="1:19" ht="31.9" customHeight="1" x14ac:dyDescent="0.25">
      <c r="A10" s="246" t="s">
        <v>61</v>
      </c>
      <c r="B10" s="247"/>
      <c r="C10" s="247"/>
      <c r="D10" s="247"/>
      <c r="E10" s="247"/>
      <c r="F10" s="247"/>
      <c r="G10" s="247"/>
      <c r="H10" s="247"/>
      <c r="I10" s="247"/>
      <c r="J10" s="247"/>
      <c r="K10" s="247"/>
      <c r="L10" s="248"/>
    </row>
    <row r="11" spans="1:19" ht="31.9" customHeight="1" x14ac:dyDescent="0.25">
      <c r="A11" s="249"/>
      <c r="B11" s="250"/>
      <c r="C11" s="250"/>
      <c r="D11" s="250"/>
      <c r="E11" s="250"/>
      <c r="F11" s="250"/>
      <c r="G11" s="250"/>
      <c r="H11" s="250"/>
      <c r="I11" s="250"/>
      <c r="J11" s="250"/>
      <c r="K11" s="250"/>
      <c r="L11" s="251"/>
    </row>
    <row r="12" spans="1:19" ht="31.9" customHeight="1" x14ac:dyDescent="0.25">
      <c r="A12" s="63" t="s">
        <v>18</v>
      </c>
      <c r="B12" s="252" t="e">
        <f>"Cumulative Value Of The Works Executed as of " &amp; TEXT(L5," DD/MMM/YYYY") &amp;CHAR(10)&amp;TEXT(L5,"DD/MMM/YYYY") &amp; "cu il tarixindən etibarən görülmüş işlərin ümumi dəyəri:"</f>
        <v>#N/A</v>
      </c>
      <c r="C12" s="253"/>
      <c r="D12" s="253"/>
      <c r="E12" s="253"/>
      <c r="F12" s="253"/>
      <c r="G12" s="253"/>
      <c r="H12" s="253"/>
      <c r="I12" s="254"/>
      <c r="J12" s="255">
        <f ca="1">view_calc!I143</f>
        <v>30267.023000000001</v>
      </c>
      <c r="K12" s="256"/>
      <c r="L12" s="257"/>
      <c r="M12" s="207" t="e">
        <f ca="1">SUMIFS(
INDIRECT("'[S2 Subcon IPC Log.xlsx]Subcon IPC Log'!"&amp;"$O:$O"),
INDIRECT("'[S2 Subcon IPC Log.xlsx]Subcon IPC Log'!"&amp;"$C:$C"),
K1,
INDIRECT("'[S2 Subcon IPC Log.xlsx]Subcon IPC Log'!"&amp;"$D:$D"),
"&lt;="&amp;K2)</f>
        <v>#REF!</v>
      </c>
      <c r="N12" s="207" t="e">
        <f ca="1">ROUND(M12,1)=ROUND(J12,1)</f>
        <v>#REF!</v>
      </c>
      <c r="O12" s="208" t="e">
        <f ca="1">ROUND(J12-M12,1)</f>
        <v>#REF!</v>
      </c>
      <c r="P12" s="209"/>
      <c r="Q12" s="209"/>
    </row>
    <row r="13" spans="1:19" ht="31.9" customHeight="1" x14ac:dyDescent="0.25">
      <c r="A13" s="64" t="s">
        <v>19</v>
      </c>
      <c r="B13" s="258" t="s">
        <v>32</v>
      </c>
      <c r="C13" s="259"/>
      <c r="D13" s="259"/>
      <c r="E13" s="259"/>
      <c r="F13" s="259"/>
      <c r="G13" s="259"/>
      <c r="H13" s="259"/>
      <c r="I13" s="260"/>
      <c r="J13" s="228" cm="1">
        <f t="array" aca="1" ref="J13" ca="1">SUM(_xlfn.ANCHORARRAY(view_calc!D6)*_xlfn.ANCHORARRAY(view_calc!G6),IFERROR(_xlfn.ANCHORARRAY(view_calc!D79)*_xlfn.ANCHORARRAY(view_calc!G79),0))</f>
        <v>30267.023000000001</v>
      </c>
      <c r="K13" s="229"/>
      <c r="L13" s="261"/>
      <c r="M13" s="207"/>
      <c r="N13" s="207"/>
      <c r="O13" s="209"/>
      <c r="P13" s="209"/>
      <c r="Q13" s="209"/>
    </row>
    <row r="14" spans="1:19" ht="31.9" customHeight="1" x14ac:dyDescent="0.25">
      <c r="A14" s="62" t="s">
        <v>33</v>
      </c>
      <c r="B14" s="231" t="s">
        <v>713</v>
      </c>
      <c r="C14" s="232"/>
      <c r="D14" s="232"/>
      <c r="E14" s="232"/>
      <c r="F14" s="232"/>
      <c r="G14" s="232"/>
      <c r="H14" s="232"/>
      <c r="I14" s="233"/>
      <c r="J14" s="225">
        <f ca="1">J12-J13</f>
        <v>0</v>
      </c>
      <c r="K14" s="226"/>
      <c r="L14" s="227"/>
      <c r="M14" s="210" t="e">
        <f ca="1">SUMIFS(
INDIRECT("'[S2 Subcon IPC Log.xlsx]Subcon IPC Log'!"&amp;"$O:$O"),
INDIRECT("'[S2 Subcon IPC Log.xlsx]Subcon IPC Log'!"&amp;"$C:$C"),
K1,
INDIRECT("'[S2 Subcon IPC Log.xlsx]Subcon IPC Log'!"&amp;"$D:$D"),
K2)</f>
        <v>#REF!</v>
      </c>
      <c r="N14" s="207" t="e">
        <f ca="1">IF(J14="","",ROUND(M14,1)=ROUND(J14,1))</f>
        <v>#REF!</v>
      </c>
      <c r="O14" s="211" t="e">
        <f ca="1">J14-M14</f>
        <v>#REF!</v>
      </c>
      <c r="P14" s="209"/>
      <c r="Q14" s="209"/>
    </row>
    <row r="15" spans="1:19" ht="31.9" customHeight="1" x14ac:dyDescent="0.25">
      <c r="A15" s="234" t="s">
        <v>20</v>
      </c>
      <c r="B15" s="237" t="s">
        <v>47</v>
      </c>
      <c r="C15" s="240" t="s">
        <v>48</v>
      </c>
      <c r="D15" s="241"/>
      <c r="E15" s="242"/>
      <c r="F15" s="243"/>
      <c r="G15" s="244"/>
      <c r="H15" s="244"/>
      <c r="I15" s="245"/>
      <c r="J15" s="307">
        <f>F22</f>
        <v>0</v>
      </c>
      <c r="K15" s="308"/>
      <c r="L15" s="309"/>
      <c r="M15" s="209"/>
      <c r="N15" s="209"/>
      <c r="O15" s="209"/>
      <c r="P15" s="209"/>
      <c r="Q15" s="209"/>
    </row>
    <row r="16" spans="1:19" ht="66" customHeight="1" x14ac:dyDescent="0.25">
      <c r="A16" s="235"/>
      <c r="B16" s="238"/>
      <c r="C16" s="258" t="s">
        <v>49</v>
      </c>
      <c r="D16" s="316"/>
      <c r="E16" s="317"/>
      <c r="F16" s="228"/>
      <c r="G16" s="229"/>
      <c r="H16" s="229"/>
      <c r="I16" s="230"/>
      <c r="J16" s="310"/>
      <c r="K16" s="311"/>
      <c r="L16" s="312"/>
    </row>
    <row r="17" spans="1:15" ht="31.9" customHeight="1" x14ac:dyDescent="0.25">
      <c r="A17" s="235"/>
      <c r="B17" s="238"/>
      <c r="C17" s="258" t="s">
        <v>50</v>
      </c>
      <c r="D17" s="259"/>
      <c r="E17" s="260"/>
      <c r="F17" s="228"/>
      <c r="G17" s="229"/>
      <c r="H17" s="229"/>
      <c r="I17" s="230"/>
      <c r="J17" s="310"/>
      <c r="K17" s="311"/>
      <c r="L17" s="312"/>
      <c r="O17" s="155"/>
    </row>
    <row r="18" spans="1:15" ht="31.9" customHeight="1" x14ac:dyDescent="0.25">
      <c r="A18" s="235"/>
      <c r="B18" s="238"/>
      <c r="C18" s="258" t="s">
        <v>51</v>
      </c>
      <c r="D18" s="259"/>
      <c r="E18" s="260"/>
      <c r="F18" s="228"/>
      <c r="G18" s="229"/>
      <c r="H18" s="229"/>
      <c r="I18" s="230"/>
      <c r="J18" s="310"/>
      <c r="K18" s="311"/>
      <c r="L18" s="312"/>
    </row>
    <row r="19" spans="1:15" ht="31.9" customHeight="1" x14ac:dyDescent="0.25">
      <c r="A19" s="235"/>
      <c r="B19" s="238"/>
      <c r="C19" s="258" t="s">
        <v>52</v>
      </c>
      <c r="D19" s="259"/>
      <c r="E19" s="260"/>
      <c r="F19" s="228"/>
      <c r="G19" s="229"/>
      <c r="H19" s="229"/>
      <c r="I19" s="230"/>
      <c r="J19" s="310"/>
      <c r="K19" s="311"/>
      <c r="L19" s="312"/>
    </row>
    <row r="20" spans="1:15" ht="31.9" customHeight="1" x14ac:dyDescent="0.25">
      <c r="A20" s="235"/>
      <c r="B20" s="238"/>
      <c r="C20" s="321"/>
      <c r="D20" s="259"/>
      <c r="E20" s="260"/>
      <c r="F20" s="228"/>
      <c r="G20" s="229"/>
      <c r="H20" s="229"/>
      <c r="I20" s="230"/>
      <c r="J20" s="310"/>
      <c r="K20" s="311"/>
      <c r="L20" s="312"/>
    </row>
    <row r="21" spans="1:15" ht="31.9" customHeight="1" x14ac:dyDescent="0.25">
      <c r="A21" s="235"/>
      <c r="B21" s="238"/>
      <c r="C21" s="318"/>
      <c r="D21" s="319"/>
      <c r="E21" s="320"/>
      <c r="F21" s="301"/>
      <c r="G21" s="302"/>
      <c r="H21" s="302"/>
      <c r="I21" s="303"/>
      <c r="J21" s="310"/>
      <c r="K21" s="311"/>
      <c r="L21" s="312"/>
    </row>
    <row r="22" spans="1:15" ht="48.75" customHeight="1" x14ac:dyDescent="0.25">
      <c r="A22" s="236"/>
      <c r="B22" s="239"/>
      <c r="C22" s="304" t="s">
        <v>53</v>
      </c>
      <c r="D22" s="305"/>
      <c r="E22" s="305"/>
      <c r="F22" s="298">
        <f>SUM(F15:I21)</f>
        <v>0</v>
      </c>
      <c r="G22" s="299"/>
      <c r="H22" s="299"/>
      <c r="I22" s="306"/>
      <c r="J22" s="313"/>
      <c r="K22" s="314"/>
      <c r="L22" s="315"/>
    </row>
    <row r="23" spans="1:15" ht="31.9" customHeight="1" x14ac:dyDescent="0.25">
      <c r="A23" s="57" t="s">
        <v>34</v>
      </c>
      <c r="B23" s="304" t="s">
        <v>714</v>
      </c>
      <c r="C23" s="305"/>
      <c r="D23" s="305"/>
      <c r="E23" s="305"/>
      <c r="F23" s="305"/>
      <c r="G23" s="305"/>
      <c r="H23" s="305"/>
      <c r="I23" s="305"/>
      <c r="J23" s="298">
        <f ca="1">J14-J15</f>
        <v>0</v>
      </c>
      <c r="K23" s="299"/>
      <c r="L23" s="300"/>
    </row>
    <row r="24" spans="1:15" ht="31.9" customHeight="1" x14ac:dyDescent="0.25">
      <c r="A24" s="262" t="s">
        <v>35</v>
      </c>
      <c r="B24" s="263"/>
      <c r="C24" s="264"/>
      <c r="D24" s="275" t="s">
        <v>145</v>
      </c>
      <c r="E24" s="263"/>
      <c r="F24" s="264"/>
      <c r="G24" s="275" t="s">
        <v>146</v>
      </c>
      <c r="H24" s="263"/>
      <c r="I24" s="264"/>
      <c r="J24" s="275" t="s">
        <v>72</v>
      </c>
      <c r="K24" s="263"/>
      <c r="L24" s="276"/>
    </row>
    <row r="25" spans="1:15" ht="31.9" customHeight="1" x14ac:dyDescent="0.25">
      <c r="A25" s="274" t="s">
        <v>57</v>
      </c>
      <c r="B25" s="271"/>
      <c r="C25" s="273"/>
      <c r="D25" s="270" t="s">
        <v>57</v>
      </c>
      <c r="E25" s="271"/>
      <c r="F25" s="273"/>
      <c r="G25" s="270" t="s">
        <v>57</v>
      </c>
      <c r="H25" s="271"/>
      <c r="I25" s="273"/>
      <c r="J25" s="270" t="s">
        <v>57</v>
      </c>
      <c r="K25" s="271"/>
      <c r="L25" s="272"/>
    </row>
    <row r="26" spans="1:15" ht="31.9" customHeight="1" x14ac:dyDescent="0.25">
      <c r="A26" s="65"/>
      <c r="B26" s="71"/>
      <c r="C26" s="66"/>
      <c r="D26" s="67"/>
      <c r="E26" s="71"/>
      <c r="F26" s="66"/>
      <c r="G26" s="67"/>
      <c r="H26" s="71"/>
      <c r="I26" s="66"/>
      <c r="J26" s="68"/>
      <c r="K26" s="72"/>
      <c r="L26" s="69"/>
    </row>
    <row r="27" spans="1:15" ht="31.9" customHeight="1" x14ac:dyDescent="0.25">
      <c r="A27" s="65"/>
      <c r="B27" s="71"/>
      <c r="C27" s="66"/>
      <c r="D27" s="67"/>
      <c r="E27" s="71"/>
      <c r="F27" s="66"/>
      <c r="G27" s="67"/>
      <c r="H27" s="71"/>
      <c r="I27" s="66"/>
      <c r="J27" s="68"/>
      <c r="K27" s="72"/>
      <c r="L27" s="69"/>
    </row>
    <row r="28" spans="1:15" ht="31.9" customHeight="1" x14ac:dyDescent="0.25">
      <c r="A28" s="65"/>
      <c r="B28" s="71"/>
      <c r="C28" s="66"/>
      <c r="D28" s="67"/>
      <c r="E28" s="71"/>
      <c r="F28" s="66"/>
      <c r="G28" s="67"/>
      <c r="H28" s="71"/>
      <c r="I28" s="66"/>
      <c r="J28" s="68"/>
      <c r="K28" s="72"/>
      <c r="L28" s="69"/>
    </row>
    <row r="29" spans="1:15" ht="31.9" customHeight="1" thickBot="1" x14ac:dyDescent="0.3">
      <c r="A29" s="277" t="str">
        <f>+C6</f>
        <v>INTERMAK GROUP MMC</v>
      </c>
      <c r="B29" s="268"/>
      <c r="C29" s="269"/>
      <c r="D29" s="265" t="s">
        <v>147</v>
      </c>
      <c r="E29" s="268"/>
      <c r="F29" s="269"/>
      <c r="G29" s="265" t="s">
        <v>166</v>
      </c>
      <c r="H29" s="268"/>
      <c r="I29" s="269"/>
      <c r="J29" s="265" t="s">
        <v>73</v>
      </c>
      <c r="K29" s="266"/>
      <c r="L29" s="267"/>
    </row>
    <row r="30" spans="1:15" ht="18" customHeight="1" thickTop="1" x14ac:dyDescent="0.25"/>
  </sheetData>
  <mergeCells count="56">
    <mergeCell ref="J23:L23"/>
    <mergeCell ref="F21:I21"/>
    <mergeCell ref="C22:E22"/>
    <mergeCell ref="F22:I22"/>
    <mergeCell ref="B23:I23"/>
    <mergeCell ref="J15:L22"/>
    <mergeCell ref="C16:E16"/>
    <mergeCell ref="F16:I16"/>
    <mergeCell ref="C17:E17"/>
    <mergeCell ref="F17:I17"/>
    <mergeCell ref="C18:E18"/>
    <mergeCell ref="F18:I18"/>
    <mergeCell ref="C19:E19"/>
    <mergeCell ref="F19:I19"/>
    <mergeCell ref="C21:E21"/>
    <mergeCell ref="C20:E20"/>
    <mergeCell ref="A6:B7"/>
    <mergeCell ref="C6:I7"/>
    <mergeCell ref="J6:K6"/>
    <mergeCell ref="J7:K7"/>
    <mergeCell ref="A8:B9"/>
    <mergeCell ref="J8:K8"/>
    <mergeCell ref="J9:K9"/>
    <mergeCell ref="C8:I9"/>
    <mergeCell ref="C1:I2"/>
    <mergeCell ref="A3:L3"/>
    <mergeCell ref="A4:B5"/>
    <mergeCell ref="C4:I5"/>
    <mergeCell ref="J4:K4"/>
    <mergeCell ref="J5:K5"/>
    <mergeCell ref="K2:L2"/>
    <mergeCell ref="K1:L1"/>
    <mergeCell ref="A24:C24"/>
    <mergeCell ref="J29:L29"/>
    <mergeCell ref="G29:I29"/>
    <mergeCell ref="D29:F29"/>
    <mergeCell ref="J25:L25"/>
    <mergeCell ref="G25:I25"/>
    <mergeCell ref="A25:C25"/>
    <mergeCell ref="D25:F25"/>
    <mergeCell ref="J24:L24"/>
    <mergeCell ref="G24:I24"/>
    <mergeCell ref="D24:F24"/>
    <mergeCell ref="A29:C29"/>
    <mergeCell ref="A10:L11"/>
    <mergeCell ref="B12:I12"/>
    <mergeCell ref="J12:L12"/>
    <mergeCell ref="B13:I13"/>
    <mergeCell ref="J13:L13"/>
    <mergeCell ref="J14:L14"/>
    <mergeCell ref="F20:I20"/>
    <mergeCell ref="B14:I14"/>
    <mergeCell ref="A15:A22"/>
    <mergeCell ref="B15:B22"/>
    <mergeCell ref="C15:E15"/>
    <mergeCell ref="F15:I15"/>
  </mergeCells>
  <printOptions horizontalCentered="1" verticalCentered="1"/>
  <pageMargins left="0.76870078740157477" right="0.39370078740157483" top="0" bottom="0" header="0" footer="0"/>
  <pageSetup scale="67" fitToWidth="0" fitToHeight="0" orientation="portrait" r:id="rId1"/>
  <headerFooter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Spinner 6">
              <controlPr defaultSize="0" autoPict="0">
                <anchor moveWithCells="1" sizeWithCells="1">
                  <from>
                    <xdr:col>46</xdr:col>
                    <xdr:colOff>76200</xdr:colOff>
                    <xdr:row>4</xdr:row>
                    <xdr:rowOff>219075</xdr:rowOff>
                  </from>
                  <to>
                    <xdr:col>46</xdr:col>
                    <xdr:colOff>504825</xdr:colOff>
                    <xdr:row>6</xdr:row>
                    <xdr:rowOff>390525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250623-44FA-4E3B-8790-1386D8C3008B}">
          <x14:formula1>
            <xm:f>_xlfn.DROP(log_contracts!$B:$B,1)</xm:f>
          </x14:formula1>
          <xm:sqref>O1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0693-6247-444D-9874-0AAF99D45C0B}">
  <sheetPr codeName="Sheet2"/>
  <dimension ref="A1:Q148"/>
  <sheetViews>
    <sheetView view="pageBreakPreview" zoomScale="70" zoomScaleNormal="85" zoomScaleSheetLayoutView="70" workbookViewId="0">
      <selection activeCell="J14" sqref="J14:L14"/>
    </sheetView>
  </sheetViews>
  <sheetFormatPr defaultColWidth="9.28515625" defaultRowHeight="15" outlineLevelRow="2" x14ac:dyDescent="0.25"/>
  <cols>
    <col min="1" max="1" width="8.5703125" customWidth="1"/>
    <col min="2" max="2" width="51.7109375" customWidth="1"/>
    <col min="3" max="3" width="7.42578125" customWidth="1"/>
    <col min="4" max="7" width="14.28515625" customWidth="1"/>
    <col min="8" max="8" width="17.7109375" customWidth="1"/>
    <col min="9" max="9" width="21.85546875" customWidth="1"/>
    <col min="10" max="10" width="19.28515625" customWidth="1"/>
    <col min="12" max="12" width="13.42578125" bestFit="1" customWidth="1"/>
  </cols>
  <sheetData>
    <row r="1" spans="1:17" ht="34.15" customHeight="1" thickTop="1" x14ac:dyDescent="0.25">
      <c r="A1" s="53"/>
      <c r="B1" s="333" t="s">
        <v>14</v>
      </c>
      <c r="C1" s="333"/>
      <c r="D1" s="334"/>
      <c r="E1" s="334"/>
      <c r="F1" s="334"/>
      <c r="G1" s="334"/>
      <c r="H1" s="127" t="s">
        <v>15</v>
      </c>
      <c r="I1" s="128" t="str">
        <f>view__cover!K1</f>
        <v>KLN-SPP2-EQ-051</v>
      </c>
      <c r="N1" cm="1">
        <f t="array" ref="N1:N4">_xlfn._xlws.SORT(_xlfn.UNIQUE(_xlfn._xlws.FILTER(quantities!J:J,(quantities!D:D=contract_no)*(quantities!E:E&lt;=ipc_no))))</f>
        <v>1</v>
      </c>
      <c r="Q1">
        <f>ROWS(_xlfn.ANCHORARRAY(N1))</f>
        <v>4</v>
      </c>
    </row>
    <row r="2" spans="1:17" ht="34.15" customHeight="1" x14ac:dyDescent="0.25">
      <c r="A2" s="59"/>
      <c r="B2" s="335"/>
      <c r="C2" s="335"/>
      <c r="D2" s="336"/>
      <c r="E2" s="336"/>
      <c r="F2" s="336"/>
      <c r="G2" s="336"/>
      <c r="H2" s="122" t="s">
        <v>16</v>
      </c>
      <c r="I2" s="129">
        <f>view__cover!$K$2</f>
        <v>5</v>
      </c>
      <c r="N2">
        <v>2</v>
      </c>
    </row>
    <row r="3" spans="1:17" ht="39.6" customHeight="1" x14ac:dyDescent="0.25">
      <c r="A3" s="262" t="s">
        <v>17</v>
      </c>
      <c r="B3" s="263"/>
      <c r="C3" s="263"/>
      <c r="D3" s="263"/>
      <c r="E3" s="263"/>
      <c r="F3" s="263"/>
      <c r="G3" s="263"/>
      <c r="H3" s="263"/>
      <c r="I3" s="276"/>
      <c r="J3" t="str">
        <f>view__cover!$N$1</f>
        <v>Contract no:</v>
      </c>
      <c r="K3">
        <f>contract_no</f>
        <v>51</v>
      </c>
      <c r="N3">
        <v>3</v>
      </c>
    </row>
    <row r="4" spans="1:17" ht="34.15" customHeight="1" x14ac:dyDescent="0.25">
      <c r="A4" s="160" t="s">
        <v>21</v>
      </c>
      <c r="B4" s="156" t="s">
        <v>22</v>
      </c>
      <c r="C4" s="157" t="s">
        <v>23</v>
      </c>
      <c r="D4" s="169" t="s">
        <v>54</v>
      </c>
      <c r="E4" s="169" t="s">
        <v>55</v>
      </c>
      <c r="F4" s="169" t="s">
        <v>56</v>
      </c>
      <c r="G4" s="170" t="s">
        <v>64</v>
      </c>
      <c r="H4" s="169" t="s">
        <v>65</v>
      </c>
      <c r="I4" s="171" t="s">
        <v>66</v>
      </c>
      <c r="J4" t="str">
        <f>view__cover!$N$2</f>
        <v>IPC no</v>
      </c>
      <c r="K4">
        <f>ipc_no</f>
        <v>5</v>
      </c>
      <c r="L4" t="e" cm="1">
        <f t="array" ref="L4">_xlfn.XLOOKUP(O1&amp;"-"&amp;O2,_xlfn._TRO_TRAILING(log_ipcs!B:B),_xlfn._TRO_TRAILING(log_ipcs!E:E),,0)</f>
        <v>#VALUE!</v>
      </c>
      <c r="N4">
        <v>4</v>
      </c>
    </row>
    <row r="5" spans="1:17" ht="19.5" customHeight="1" x14ac:dyDescent="0.25">
      <c r="A5" s="161"/>
      <c r="B5" s="159"/>
      <c r="C5" s="162"/>
      <c r="D5" s="130" t="s">
        <v>18</v>
      </c>
      <c r="E5" s="130" t="s">
        <v>715</v>
      </c>
      <c r="F5" s="130" t="s">
        <v>33</v>
      </c>
      <c r="G5" s="131" t="s">
        <v>20</v>
      </c>
      <c r="H5" s="131" t="s">
        <v>63</v>
      </c>
      <c r="I5" s="132" t="s">
        <v>62</v>
      </c>
    </row>
    <row r="6" spans="1:17" ht="30" x14ac:dyDescent="0.25">
      <c r="A6" s="134" cm="1">
        <f t="array" ref="A6:A9">_xlfn.TAKE(_xlfn.ANCHORARRAY(N1),66)</f>
        <v>1</v>
      </c>
      <c r="B6" s="135" t="str" cm="1">
        <f t="array" aca="1" ref="B6:B9" ca="1">_xlfn.XLOOKUP(contract_no&amp;"-"&amp;_xlfn.ANCHORARRAY(A6),log_prices!B:B,log_prices!F:F,,0)</f>
        <v>10 BA 194 - HELI Telehandler-tək</v>
      </c>
      <c r="C6" s="136" t="str" cm="1">
        <f t="array" aca="1" ref="C6:C9" ca="1">_xlfn.XLOOKUP(contract_no&amp;"-"&amp;_xlfn.ANCHORARRAY(A6),log_prices!B:B,log_prices!G:G,,0)</f>
        <v>single</v>
      </c>
      <c r="D6" s="137" cm="1">
        <f t="array" ref="D6:D9">SUMIFS(quantities!G:G,quantities!D:D,contract_no,quantities!E:E,"&lt;"&amp;ipc_no,quantities!J:J,_xlfn.ANCHORARRAY(A6))</f>
        <v>16</v>
      </c>
      <c r="E6" s="158" cm="1">
        <f t="array" ref="E6:E9">_xlfn.ANCHORARRAY(F6)-_xlfn.ANCHORARRAY(D6)</f>
        <v>0</v>
      </c>
      <c r="F6" s="137" cm="1">
        <f t="array" ref="F6:F9">SUMIFS(quantities!G:G,quantities!D:D,contract_no,quantities!E:E,"&lt;="&amp;ipc_no,quantities!J:J,_xlfn.ANCHORARRAY(A6))</f>
        <v>16</v>
      </c>
      <c r="G6" s="138" cm="1">
        <f t="array" aca="1" ref="G6:G9" ca="1">_xlfn.XLOOKUP(contract_no&amp;"-"&amp;_xlfn.ANCHORARRAY(A6),log_prices!B:B,log_prices!I:I,,0)</f>
        <v>225</v>
      </c>
      <c r="H6" s="138" cm="1">
        <f t="array" aca="1" ref="H6:H9" ca="1">_xlfn.ANCHORARRAY(E6)*_xlfn.ANCHORARRAY(G6)</f>
        <v>0</v>
      </c>
      <c r="I6" s="139" cm="1">
        <f t="array" aca="1" ref="I6:I9" ca="1">_xlfn.ANCHORARRAY(F6)*_xlfn.ANCHORARRAY(G6)</f>
        <v>3600</v>
      </c>
    </row>
    <row r="7" spans="1:17" ht="32.25" customHeight="1" x14ac:dyDescent="0.25">
      <c r="A7" s="134">
        <v>2</v>
      </c>
      <c r="B7" s="135" t="str">
        <f ca="1"/>
        <v>10 BA 194 - HELI Telehandler-saat</v>
      </c>
      <c r="C7" s="136" t="str">
        <f ca="1"/>
        <v>hour</v>
      </c>
      <c r="D7" s="137">
        <v>3.9999999999999929</v>
      </c>
      <c r="E7" s="158">
        <v>0</v>
      </c>
      <c r="F7" s="137">
        <v>3.9999999999999929</v>
      </c>
      <c r="G7" s="138">
        <f ca="1"/>
        <v>25</v>
      </c>
      <c r="H7" s="138">
        <f ca="1"/>
        <v>0</v>
      </c>
      <c r="I7" s="139">
        <f ca="1"/>
        <v>99.999999999999829</v>
      </c>
    </row>
    <row r="8" spans="1:17" ht="32.25" customHeight="1" x14ac:dyDescent="0.25">
      <c r="A8" s="134">
        <v>3</v>
      </c>
      <c r="B8" s="135" t="str">
        <f ca="1"/>
        <v>10 BA 857 - XCMG XC6-4517K-tək</v>
      </c>
      <c r="C8" s="136" t="str">
        <f ca="1"/>
        <v>single</v>
      </c>
      <c r="D8" s="137">
        <v>98</v>
      </c>
      <c r="E8" s="158">
        <v>0</v>
      </c>
      <c r="F8" s="137">
        <v>98</v>
      </c>
      <c r="G8" s="138">
        <f ca="1"/>
        <v>235.71</v>
      </c>
      <c r="H8" s="138">
        <f ca="1"/>
        <v>0</v>
      </c>
      <c r="I8" s="139">
        <f ca="1"/>
        <v>23099.58</v>
      </c>
    </row>
    <row r="9" spans="1:17" ht="30" x14ac:dyDescent="0.25">
      <c r="A9" s="134">
        <v>4</v>
      </c>
      <c r="B9" s="135" t="str">
        <f ca="1"/>
        <v>10 BA 857 - XCMG XC6-4517K-saat</v>
      </c>
      <c r="C9" s="136" t="str">
        <f ca="1"/>
        <v>hour</v>
      </c>
      <c r="D9" s="137">
        <v>132.99999999999994</v>
      </c>
      <c r="E9" s="158">
        <v>0</v>
      </c>
      <c r="F9" s="137">
        <v>132.99999999999994</v>
      </c>
      <c r="G9" s="138">
        <f ca="1"/>
        <v>26.071000000000002</v>
      </c>
      <c r="H9" s="138">
        <f ca="1"/>
        <v>0</v>
      </c>
      <c r="I9" s="139">
        <f ca="1"/>
        <v>3467.4429999999988</v>
      </c>
    </row>
    <row r="10" spans="1:17" ht="30" customHeight="1" x14ac:dyDescent="0.25">
      <c r="A10" s="134"/>
      <c r="B10" s="135"/>
      <c r="C10" s="136"/>
      <c r="D10" s="137"/>
      <c r="E10" s="158"/>
      <c r="F10" s="137"/>
      <c r="G10" s="138"/>
      <c r="H10" s="138"/>
      <c r="I10" s="139"/>
    </row>
    <row r="11" spans="1:17" ht="30" x14ac:dyDescent="0.25">
      <c r="A11" s="134"/>
      <c r="B11" s="135"/>
      <c r="C11" s="136"/>
      <c r="D11" s="137"/>
      <c r="E11" s="158"/>
      <c r="F11" s="137"/>
      <c r="G11" s="138"/>
      <c r="H11" s="138"/>
      <c r="I11" s="139"/>
    </row>
    <row r="12" spans="1:17" ht="30" x14ac:dyDescent="0.25">
      <c r="A12" s="134"/>
      <c r="B12" s="135"/>
      <c r="C12" s="136"/>
      <c r="D12" s="137"/>
      <c r="E12" s="158"/>
      <c r="F12" s="137"/>
      <c r="G12" s="138"/>
      <c r="H12" s="138"/>
      <c r="I12" s="139"/>
    </row>
    <row r="13" spans="1:17" ht="30" x14ac:dyDescent="0.25">
      <c r="A13" s="134"/>
      <c r="B13" s="135"/>
      <c r="C13" s="136"/>
      <c r="D13" s="137"/>
      <c r="E13" s="158"/>
      <c r="F13" s="137"/>
      <c r="G13" s="138"/>
      <c r="H13" s="138"/>
      <c r="I13" s="139"/>
    </row>
    <row r="14" spans="1:17" ht="15.75" x14ac:dyDescent="0.25">
      <c r="A14" s="134"/>
      <c r="B14" s="135"/>
      <c r="C14" s="136"/>
      <c r="D14" s="137"/>
      <c r="E14" s="158"/>
      <c r="F14" s="137"/>
      <c r="G14" s="138"/>
      <c r="H14" s="138"/>
      <c r="I14" s="139"/>
    </row>
    <row r="15" spans="1:17" ht="15.75" outlineLevel="1" x14ac:dyDescent="0.25">
      <c r="A15" s="134"/>
      <c r="B15" s="135"/>
      <c r="C15" s="136"/>
      <c r="D15" s="137"/>
      <c r="E15" s="158"/>
      <c r="F15" s="137"/>
      <c r="G15" s="138"/>
      <c r="H15" s="138"/>
      <c r="I15" s="139"/>
    </row>
    <row r="16" spans="1:17" ht="15.75" outlineLevel="1" x14ac:dyDescent="0.25">
      <c r="A16" s="134"/>
      <c r="B16" s="135"/>
      <c r="C16" s="136"/>
      <c r="D16" s="137"/>
      <c r="E16" s="158"/>
      <c r="F16" s="137"/>
      <c r="G16" s="138"/>
      <c r="H16" s="138"/>
      <c r="I16" s="139"/>
    </row>
    <row r="17" spans="1:9" ht="15.75" outlineLevel="1" x14ac:dyDescent="0.25">
      <c r="A17" s="134"/>
      <c r="B17" s="135"/>
      <c r="C17" s="136"/>
      <c r="D17" s="137"/>
      <c r="E17" s="158"/>
      <c r="F17" s="137"/>
      <c r="G17" s="138"/>
      <c r="H17" s="138"/>
      <c r="I17" s="139"/>
    </row>
    <row r="18" spans="1:9" ht="15.75" outlineLevel="1" x14ac:dyDescent="0.25">
      <c r="A18" s="134"/>
      <c r="B18" s="135"/>
      <c r="C18" s="136"/>
      <c r="D18" s="137"/>
      <c r="E18" s="158"/>
      <c r="F18" s="137"/>
      <c r="G18" s="138"/>
      <c r="H18" s="138"/>
      <c r="I18" s="139"/>
    </row>
    <row r="19" spans="1:9" ht="15.75" hidden="1" outlineLevel="2" x14ac:dyDescent="0.25">
      <c r="A19" s="134"/>
      <c r="B19" s="135"/>
      <c r="C19" s="136"/>
      <c r="D19" s="137"/>
      <c r="E19" s="158"/>
      <c r="F19" s="137"/>
      <c r="G19" s="138"/>
      <c r="H19" s="138"/>
      <c r="I19" s="139"/>
    </row>
    <row r="20" spans="1:9" ht="15.75" hidden="1" outlineLevel="2" x14ac:dyDescent="0.25">
      <c r="A20" s="134"/>
      <c r="B20" s="135"/>
      <c r="C20" s="136"/>
      <c r="D20" s="137"/>
      <c r="E20" s="158"/>
      <c r="F20" s="137"/>
      <c r="G20" s="138"/>
      <c r="H20" s="138"/>
      <c r="I20" s="139"/>
    </row>
    <row r="21" spans="1:9" ht="15.75" hidden="1" outlineLevel="2" x14ac:dyDescent="0.25">
      <c r="A21" s="134"/>
      <c r="B21" s="135"/>
      <c r="C21" s="136"/>
      <c r="D21" s="137"/>
      <c r="E21" s="158"/>
      <c r="F21" s="137"/>
      <c r="G21" s="138"/>
      <c r="H21" s="138"/>
      <c r="I21" s="139"/>
    </row>
    <row r="22" spans="1:9" ht="15.75" hidden="1" outlineLevel="2" x14ac:dyDescent="0.25">
      <c r="A22" s="134"/>
      <c r="B22" s="135"/>
      <c r="C22" s="136"/>
      <c r="D22" s="137"/>
      <c r="E22" s="158"/>
      <c r="F22" s="137"/>
      <c r="G22" s="138"/>
      <c r="H22" s="138"/>
      <c r="I22" s="139"/>
    </row>
    <row r="23" spans="1:9" ht="15.75" hidden="1" outlineLevel="2" x14ac:dyDescent="0.25">
      <c r="A23" s="134"/>
      <c r="B23" s="135"/>
      <c r="C23" s="136"/>
      <c r="D23" s="137"/>
      <c r="E23" s="158"/>
      <c r="F23" s="137"/>
      <c r="G23" s="138"/>
      <c r="H23" s="138"/>
      <c r="I23" s="139"/>
    </row>
    <row r="24" spans="1:9" ht="15.75" hidden="1" outlineLevel="2" x14ac:dyDescent="0.25">
      <c r="A24" s="134"/>
      <c r="B24" s="135"/>
      <c r="C24" s="136"/>
      <c r="D24" s="137"/>
      <c r="E24" s="158"/>
      <c r="F24" s="137"/>
      <c r="G24" s="138"/>
      <c r="H24" s="138"/>
      <c r="I24" s="139"/>
    </row>
    <row r="25" spans="1:9" ht="15.75" hidden="1" outlineLevel="2" x14ac:dyDescent="0.25">
      <c r="A25" s="134"/>
      <c r="B25" s="135"/>
      <c r="C25" s="136"/>
      <c r="D25" s="137"/>
      <c r="E25" s="158"/>
      <c r="F25" s="137"/>
      <c r="G25" s="138"/>
      <c r="H25" s="138"/>
      <c r="I25" s="139"/>
    </row>
    <row r="26" spans="1:9" ht="16.5" hidden="1" customHeight="1" outlineLevel="2" x14ac:dyDescent="0.25">
      <c r="A26" s="134"/>
      <c r="B26" s="140"/>
      <c r="C26" s="142"/>
      <c r="D26" s="143"/>
      <c r="E26" s="158"/>
      <c r="F26" s="141"/>
      <c r="G26" s="138"/>
      <c r="H26" s="138"/>
      <c r="I26" s="139"/>
    </row>
    <row r="27" spans="1:9" ht="16.5" hidden="1" customHeight="1" outlineLevel="2" x14ac:dyDescent="0.25">
      <c r="A27" s="134"/>
      <c r="B27" s="140"/>
      <c r="C27" s="142"/>
      <c r="D27" s="143"/>
      <c r="E27" s="158"/>
      <c r="F27" s="141"/>
      <c r="G27" s="138"/>
      <c r="H27" s="138"/>
      <c r="I27" s="139"/>
    </row>
    <row r="28" spans="1:9" ht="16.5" hidden="1" customHeight="1" outlineLevel="2" x14ac:dyDescent="0.25">
      <c r="A28" s="134"/>
      <c r="B28" s="140"/>
      <c r="C28" s="142"/>
      <c r="D28" s="143"/>
      <c r="E28" s="158"/>
      <c r="F28" s="141"/>
      <c r="G28" s="138"/>
      <c r="H28" s="138"/>
      <c r="I28" s="139"/>
    </row>
    <row r="29" spans="1:9" ht="16.5" hidden="1" customHeight="1" outlineLevel="2" x14ac:dyDescent="0.25">
      <c r="A29" s="134"/>
      <c r="B29" s="140"/>
      <c r="C29" s="142"/>
      <c r="D29" s="143"/>
      <c r="E29" s="158"/>
      <c r="F29" s="141"/>
      <c r="G29" s="138"/>
      <c r="H29" s="138"/>
      <c r="I29" s="139"/>
    </row>
    <row r="30" spans="1:9" ht="16.5" hidden="1" customHeight="1" outlineLevel="2" x14ac:dyDescent="0.25">
      <c r="A30" s="134"/>
      <c r="B30" s="140"/>
      <c r="C30" s="142"/>
      <c r="D30" s="143"/>
      <c r="E30" s="158"/>
      <c r="F30" s="141"/>
      <c r="G30" s="138"/>
      <c r="H30" s="138"/>
      <c r="I30" s="139"/>
    </row>
    <row r="31" spans="1:9" ht="16.5" hidden="1" customHeight="1" outlineLevel="2" x14ac:dyDescent="0.25">
      <c r="A31" s="134"/>
      <c r="B31" s="140"/>
      <c r="C31" s="142"/>
      <c r="D31" s="143"/>
      <c r="E31" s="158"/>
      <c r="F31" s="141"/>
      <c r="G31" s="144"/>
      <c r="H31" s="144"/>
      <c r="I31" s="145"/>
    </row>
    <row r="32" spans="1:9" ht="16.5" hidden="1" customHeight="1" outlineLevel="2" x14ac:dyDescent="0.25">
      <c r="A32" s="134"/>
      <c r="B32" s="140"/>
      <c r="C32" s="142"/>
      <c r="D32" s="143"/>
      <c r="E32" s="158"/>
      <c r="F32" s="141"/>
      <c r="G32" s="144"/>
      <c r="H32" s="144"/>
      <c r="I32" s="145"/>
    </row>
    <row r="33" spans="1:9" ht="16.5" hidden="1" customHeight="1" outlineLevel="2" x14ac:dyDescent="0.25">
      <c r="A33" s="134"/>
      <c r="B33" s="140"/>
      <c r="C33" s="142"/>
      <c r="D33" s="143"/>
      <c r="E33" s="158"/>
      <c r="F33" s="141"/>
      <c r="G33" s="144"/>
      <c r="H33" s="144"/>
      <c r="I33" s="145"/>
    </row>
    <row r="34" spans="1:9" ht="16.5" hidden="1" customHeight="1" outlineLevel="2" x14ac:dyDescent="0.25">
      <c r="A34" s="134"/>
      <c r="B34" s="140"/>
      <c r="C34" s="142"/>
      <c r="D34" s="143"/>
      <c r="E34" s="158"/>
      <c r="F34" s="141"/>
      <c r="G34" s="144"/>
      <c r="H34" s="144"/>
      <c r="I34" s="145"/>
    </row>
    <row r="35" spans="1:9" ht="16.5" hidden="1" customHeight="1" outlineLevel="2" x14ac:dyDescent="0.25">
      <c r="A35" s="134"/>
      <c r="B35" s="140"/>
      <c r="C35" s="142"/>
      <c r="D35" s="143"/>
      <c r="E35" s="158"/>
      <c r="F35" s="141"/>
      <c r="G35" s="144"/>
      <c r="H35" s="144"/>
      <c r="I35" s="145"/>
    </row>
    <row r="36" spans="1:9" ht="16.5" hidden="1" customHeight="1" outlineLevel="2" x14ac:dyDescent="0.25">
      <c r="A36" s="134"/>
      <c r="B36" s="140"/>
      <c r="C36" s="142"/>
      <c r="D36" s="143"/>
      <c r="E36" s="158"/>
      <c r="F36" s="141"/>
      <c r="G36" s="144"/>
      <c r="H36" s="144"/>
      <c r="I36" s="145"/>
    </row>
    <row r="37" spans="1:9" ht="16.5" hidden="1" customHeight="1" outlineLevel="2" x14ac:dyDescent="0.25">
      <c r="A37" s="134"/>
      <c r="B37" s="140"/>
      <c r="C37" s="142"/>
      <c r="D37" s="143"/>
      <c r="E37" s="158"/>
      <c r="F37" s="141"/>
      <c r="G37" s="144"/>
      <c r="H37" s="144"/>
      <c r="I37" s="145"/>
    </row>
    <row r="38" spans="1:9" ht="16.5" hidden="1" customHeight="1" outlineLevel="2" x14ac:dyDescent="0.25">
      <c r="A38" s="134"/>
      <c r="B38" s="140"/>
      <c r="C38" s="142"/>
      <c r="D38" s="143"/>
      <c r="E38" s="158"/>
      <c r="F38" s="141"/>
      <c r="G38" s="144"/>
      <c r="H38" s="144"/>
      <c r="I38" s="145"/>
    </row>
    <row r="39" spans="1:9" ht="16.5" hidden="1" customHeight="1" outlineLevel="2" x14ac:dyDescent="0.25">
      <c r="A39" s="134"/>
      <c r="B39" s="140"/>
      <c r="C39" s="142"/>
      <c r="D39" s="143"/>
      <c r="E39" s="158"/>
      <c r="F39" s="141"/>
      <c r="G39" s="144"/>
      <c r="H39" s="144"/>
      <c r="I39" s="145"/>
    </row>
    <row r="40" spans="1:9" ht="16.5" hidden="1" customHeight="1" outlineLevel="2" x14ac:dyDescent="0.25">
      <c r="A40" s="134"/>
      <c r="B40" s="140"/>
      <c r="C40" s="142"/>
      <c r="D40" s="143"/>
      <c r="E40" s="158"/>
      <c r="F40" s="141"/>
      <c r="G40" s="144"/>
      <c r="H40" s="144"/>
      <c r="I40" s="145"/>
    </row>
    <row r="41" spans="1:9" ht="16.5" hidden="1" customHeight="1" outlineLevel="2" x14ac:dyDescent="0.25">
      <c r="A41" s="134"/>
      <c r="B41" s="140"/>
      <c r="C41" s="142"/>
      <c r="D41" s="143"/>
      <c r="E41" s="158"/>
      <c r="F41" s="141"/>
      <c r="G41" s="144"/>
      <c r="H41" s="144"/>
      <c r="I41" s="145"/>
    </row>
    <row r="42" spans="1:9" ht="16.5" hidden="1" customHeight="1" outlineLevel="2" x14ac:dyDescent="0.25">
      <c r="A42" s="134"/>
      <c r="B42" s="140"/>
      <c r="C42" s="142"/>
      <c r="D42" s="143"/>
      <c r="E42" s="158"/>
      <c r="F42" s="141"/>
      <c r="G42" s="144"/>
      <c r="H42" s="144"/>
      <c r="I42" s="145"/>
    </row>
    <row r="43" spans="1:9" ht="16.5" hidden="1" customHeight="1" outlineLevel="2" x14ac:dyDescent="0.25">
      <c r="A43" s="134"/>
      <c r="B43" s="140"/>
      <c r="C43" s="142"/>
      <c r="D43" s="143"/>
      <c r="E43" s="158"/>
      <c r="F43" s="141"/>
      <c r="G43" s="144"/>
      <c r="H43" s="144"/>
      <c r="I43" s="145"/>
    </row>
    <row r="44" spans="1:9" ht="16.5" hidden="1" customHeight="1" outlineLevel="2" x14ac:dyDescent="0.25">
      <c r="A44" s="134"/>
      <c r="B44" s="140"/>
      <c r="C44" s="142"/>
      <c r="D44" s="143"/>
      <c r="E44" s="158"/>
      <c r="F44" s="141"/>
      <c r="G44" s="144"/>
      <c r="H44" s="144"/>
      <c r="I44" s="145"/>
    </row>
    <row r="45" spans="1:9" ht="16.5" hidden="1" customHeight="1" outlineLevel="2" x14ac:dyDescent="0.25">
      <c r="A45" s="134"/>
      <c r="B45" s="140"/>
      <c r="C45" s="142"/>
      <c r="D45" s="143"/>
      <c r="E45" s="158"/>
      <c r="F45" s="141"/>
      <c r="G45" s="144"/>
      <c r="H45" s="144"/>
      <c r="I45" s="145"/>
    </row>
    <row r="46" spans="1:9" ht="16.5" hidden="1" customHeight="1" outlineLevel="2" x14ac:dyDescent="0.25">
      <c r="A46" s="134"/>
      <c r="B46" s="140"/>
      <c r="C46" s="142"/>
      <c r="D46" s="143"/>
      <c r="E46" s="158"/>
      <c r="F46" s="141"/>
      <c r="G46" s="144"/>
      <c r="H46" s="144"/>
      <c r="I46" s="145"/>
    </row>
    <row r="47" spans="1:9" ht="16.5" hidden="1" customHeight="1" outlineLevel="2" x14ac:dyDescent="0.25">
      <c r="A47" s="134"/>
      <c r="B47" s="140"/>
      <c r="C47" s="142"/>
      <c r="D47" s="143"/>
      <c r="E47" s="158"/>
      <c r="F47" s="141"/>
      <c r="G47" s="144"/>
      <c r="H47" s="144"/>
      <c r="I47" s="145"/>
    </row>
    <row r="48" spans="1:9" ht="16.5" hidden="1" customHeight="1" outlineLevel="2" x14ac:dyDescent="0.25">
      <c r="A48" s="134"/>
      <c r="B48" s="140"/>
      <c r="C48" s="142"/>
      <c r="D48" s="143"/>
      <c r="E48" s="158"/>
      <c r="F48" s="141"/>
      <c r="G48" s="144"/>
      <c r="H48" s="144"/>
      <c r="I48" s="145"/>
    </row>
    <row r="49" spans="1:9" ht="16.5" hidden="1" customHeight="1" outlineLevel="2" x14ac:dyDescent="0.25">
      <c r="A49" s="134"/>
      <c r="B49" s="140"/>
      <c r="C49" s="142"/>
      <c r="D49" s="143"/>
      <c r="E49" s="158"/>
      <c r="F49" s="141"/>
      <c r="G49" s="144"/>
      <c r="H49" s="144"/>
      <c r="I49" s="145"/>
    </row>
    <row r="50" spans="1:9" ht="16.5" hidden="1" customHeight="1" outlineLevel="2" x14ac:dyDescent="0.25">
      <c r="A50" s="134"/>
      <c r="B50" s="140"/>
      <c r="C50" s="142"/>
      <c r="D50" s="143"/>
      <c r="E50" s="158"/>
      <c r="F50" s="141"/>
      <c r="G50" s="144"/>
      <c r="H50" s="144"/>
      <c r="I50" s="145"/>
    </row>
    <row r="51" spans="1:9" ht="16.5" hidden="1" customHeight="1" outlineLevel="2" x14ac:dyDescent="0.25">
      <c r="A51" s="134"/>
      <c r="B51" s="140"/>
      <c r="C51" s="142"/>
      <c r="D51" s="143"/>
      <c r="E51" s="158"/>
      <c r="F51" s="141"/>
      <c r="G51" s="144"/>
      <c r="H51" s="144"/>
      <c r="I51" s="145"/>
    </row>
    <row r="52" spans="1:9" ht="16.5" hidden="1" customHeight="1" outlineLevel="2" x14ac:dyDescent="0.25">
      <c r="A52" s="134"/>
      <c r="B52" s="140"/>
      <c r="C52" s="142"/>
      <c r="D52" s="143"/>
      <c r="E52" s="158"/>
      <c r="F52" s="141"/>
      <c r="G52" s="144"/>
      <c r="H52" s="144"/>
      <c r="I52" s="145"/>
    </row>
    <row r="53" spans="1:9" ht="16.5" hidden="1" customHeight="1" outlineLevel="2" x14ac:dyDescent="0.25">
      <c r="A53" s="134"/>
      <c r="B53" s="140"/>
      <c r="C53" s="142"/>
      <c r="D53" s="143"/>
      <c r="E53" s="158"/>
      <c r="F53" s="141"/>
      <c r="G53" s="144"/>
      <c r="H53" s="144"/>
      <c r="I53" s="145"/>
    </row>
    <row r="54" spans="1:9" ht="16.5" hidden="1" customHeight="1" outlineLevel="2" x14ac:dyDescent="0.25">
      <c r="A54" s="134"/>
      <c r="B54" s="140"/>
      <c r="C54" s="142"/>
      <c r="D54" s="143"/>
      <c r="E54" s="158"/>
      <c r="F54" s="141"/>
      <c r="G54" s="144"/>
      <c r="H54" s="144"/>
      <c r="I54" s="145"/>
    </row>
    <row r="55" spans="1:9" ht="16.5" hidden="1" customHeight="1" outlineLevel="2" x14ac:dyDescent="0.25">
      <c r="A55" s="134"/>
      <c r="B55" s="140"/>
      <c r="C55" s="142"/>
      <c r="D55" s="143"/>
      <c r="E55" s="158"/>
      <c r="F55" s="141"/>
      <c r="G55" s="144"/>
      <c r="H55" s="144"/>
      <c r="I55" s="145"/>
    </row>
    <row r="56" spans="1:9" ht="16.5" hidden="1" customHeight="1" outlineLevel="2" x14ac:dyDescent="0.25">
      <c r="A56" s="134"/>
      <c r="B56" s="140"/>
      <c r="C56" s="142"/>
      <c r="D56" s="143"/>
      <c r="E56" s="158"/>
      <c r="F56" s="141"/>
      <c r="G56" s="144"/>
      <c r="H56" s="144"/>
      <c r="I56" s="145"/>
    </row>
    <row r="57" spans="1:9" ht="16.5" hidden="1" customHeight="1" outlineLevel="2" x14ac:dyDescent="0.25">
      <c r="A57" s="134"/>
      <c r="B57" s="140"/>
      <c r="C57" s="142"/>
      <c r="D57" s="143"/>
      <c r="E57" s="158"/>
      <c r="F57" s="141"/>
      <c r="G57" s="144"/>
      <c r="H57" s="144"/>
      <c r="I57" s="145"/>
    </row>
    <row r="58" spans="1:9" ht="16.5" hidden="1" customHeight="1" outlineLevel="2" x14ac:dyDescent="0.25">
      <c r="A58" s="134"/>
      <c r="B58" s="140"/>
      <c r="C58" s="142"/>
      <c r="D58" s="143"/>
      <c r="E58" s="158"/>
      <c r="F58" s="141"/>
      <c r="G58" s="144"/>
      <c r="H58" s="144"/>
      <c r="I58" s="145"/>
    </row>
    <row r="59" spans="1:9" ht="16.5" hidden="1" customHeight="1" outlineLevel="2" x14ac:dyDescent="0.25">
      <c r="A59" s="134"/>
      <c r="B59" s="140"/>
      <c r="C59" s="142"/>
      <c r="D59" s="143"/>
      <c r="E59" s="158"/>
      <c r="F59" s="141"/>
      <c r="G59" s="144"/>
      <c r="H59" s="144"/>
      <c r="I59" s="145"/>
    </row>
    <row r="60" spans="1:9" ht="16.5" hidden="1" customHeight="1" outlineLevel="2" x14ac:dyDescent="0.25">
      <c r="A60" s="134"/>
      <c r="B60" s="140"/>
      <c r="C60" s="142"/>
      <c r="D60" s="143"/>
      <c r="E60" s="158"/>
      <c r="F60" s="141"/>
      <c r="G60" s="144"/>
      <c r="H60" s="144"/>
      <c r="I60" s="145"/>
    </row>
    <row r="61" spans="1:9" ht="16.5" hidden="1" customHeight="1" outlineLevel="2" x14ac:dyDescent="0.25">
      <c r="A61" s="134"/>
      <c r="B61" s="140"/>
      <c r="C61" s="142"/>
      <c r="D61" s="143"/>
      <c r="E61" s="158"/>
      <c r="F61" s="141"/>
      <c r="G61" s="144"/>
      <c r="H61" s="144"/>
      <c r="I61" s="145"/>
    </row>
    <row r="62" spans="1:9" ht="16.5" hidden="1" customHeight="1" outlineLevel="2" x14ac:dyDescent="0.25">
      <c r="A62" s="134"/>
      <c r="B62" s="140"/>
      <c r="C62" s="142"/>
      <c r="D62" s="143"/>
      <c r="E62" s="158"/>
      <c r="F62" s="141"/>
      <c r="G62" s="144"/>
      <c r="H62" s="144"/>
      <c r="I62" s="145"/>
    </row>
    <row r="63" spans="1:9" ht="16.5" hidden="1" customHeight="1" outlineLevel="2" x14ac:dyDescent="0.25">
      <c r="A63" s="134"/>
      <c r="B63" s="140"/>
      <c r="C63" s="142"/>
      <c r="D63" s="143"/>
      <c r="E63" s="158"/>
      <c r="F63" s="141"/>
      <c r="G63" s="144"/>
      <c r="H63" s="144"/>
      <c r="I63" s="145"/>
    </row>
    <row r="64" spans="1:9" ht="16.5" hidden="1" customHeight="1" outlineLevel="2" x14ac:dyDescent="0.25">
      <c r="A64" s="134"/>
      <c r="B64" s="140"/>
      <c r="C64" s="142"/>
      <c r="D64" s="143"/>
      <c r="E64" s="158"/>
      <c r="F64" s="141"/>
      <c r="G64" s="144"/>
      <c r="H64" s="144"/>
      <c r="I64" s="145"/>
    </row>
    <row r="65" spans="1:11" ht="16.5" hidden="1" customHeight="1" outlineLevel="2" x14ac:dyDescent="0.25">
      <c r="A65" s="134"/>
      <c r="B65" s="140"/>
      <c r="C65" s="142"/>
      <c r="D65" s="143"/>
      <c r="E65" s="158"/>
      <c r="F65" s="141"/>
      <c r="G65" s="144"/>
      <c r="H65" s="144"/>
      <c r="I65" s="145"/>
    </row>
    <row r="66" spans="1:11" ht="16.5" hidden="1" customHeight="1" outlineLevel="2" x14ac:dyDescent="0.25">
      <c r="A66" s="134"/>
      <c r="B66" s="140"/>
      <c r="C66" s="142"/>
      <c r="D66" s="143"/>
      <c r="E66" s="158"/>
      <c r="F66" s="141"/>
      <c r="G66" s="144"/>
      <c r="H66" s="144"/>
      <c r="I66" s="145"/>
    </row>
    <row r="67" spans="1:11" ht="16.5" hidden="1" customHeight="1" outlineLevel="2" x14ac:dyDescent="0.25">
      <c r="A67" s="134"/>
      <c r="B67" s="140"/>
      <c r="C67" s="142"/>
      <c r="D67" s="143"/>
      <c r="E67" s="158"/>
      <c r="F67" s="141"/>
      <c r="G67" s="144"/>
      <c r="H67" s="144"/>
      <c r="I67" s="145"/>
    </row>
    <row r="68" spans="1:11" ht="16.5" hidden="1" customHeight="1" outlineLevel="2" x14ac:dyDescent="0.25">
      <c r="A68" s="134"/>
      <c r="B68" s="140"/>
      <c r="C68" s="142"/>
      <c r="D68" s="143"/>
      <c r="E68" s="158"/>
      <c r="F68" s="141"/>
      <c r="G68" s="144"/>
      <c r="H68" s="144"/>
      <c r="I68" s="145"/>
    </row>
    <row r="69" spans="1:11" ht="16.5" hidden="1" customHeight="1" outlineLevel="2" x14ac:dyDescent="0.25">
      <c r="A69" s="134"/>
      <c r="B69" s="140"/>
      <c r="C69" s="142"/>
      <c r="D69" s="143"/>
      <c r="E69" s="158"/>
      <c r="F69" s="141"/>
      <c r="G69" s="144"/>
      <c r="H69" s="144"/>
      <c r="I69" s="145"/>
    </row>
    <row r="70" spans="1:11" ht="16.5" hidden="1" customHeight="1" outlineLevel="2" x14ac:dyDescent="0.25">
      <c r="A70" s="134"/>
      <c r="B70" s="140"/>
      <c r="C70" s="142"/>
      <c r="D70" s="143"/>
      <c r="E70" s="158"/>
      <c r="F70" s="141"/>
      <c r="G70" s="144"/>
      <c r="H70" s="144"/>
      <c r="I70" s="145"/>
    </row>
    <row r="71" spans="1:11" ht="16.5" hidden="1" customHeight="1" outlineLevel="2" x14ac:dyDescent="0.25">
      <c r="A71" s="134"/>
      <c r="B71" s="140"/>
      <c r="C71" s="142"/>
      <c r="D71" s="143"/>
      <c r="E71" s="158"/>
      <c r="F71" s="141"/>
      <c r="G71" s="144"/>
      <c r="H71" s="144"/>
      <c r="I71" s="145"/>
    </row>
    <row r="72" spans="1:11" ht="16.5" customHeight="1" outlineLevel="1" collapsed="1" x14ac:dyDescent="0.25">
      <c r="A72" s="134"/>
      <c r="B72" s="140"/>
      <c r="C72" s="142"/>
      <c r="D72" s="143"/>
      <c r="E72" s="158"/>
      <c r="F72" s="141"/>
      <c r="G72" s="144"/>
      <c r="H72" s="144"/>
      <c r="I72" s="145"/>
    </row>
    <row r="73" spans="1:11" ht="34.15" customHeight="1" x14ac:dyDescent="0.25">
      <c r="A73" s="322" t="str">
        <f>IF(COUNTA(_xlfn.ANCHORARRAY(N1))&gt;66,"PAGE TOTAL (AZN)"&amp;CHAR(10)&amp;"SƏHİFƏNİN CƏMİ (AZN)","TOTAL (AZN)"&amp;CHAR(10)&amp;"CƏMİ (AZN)")</f>
        <v>TOTAL (AZN)
CƏMİ (AZN)</v>
      </c>
      <c r="B73" s="323"/>
      <c r="C73" s="323"/>
      <c r="D73" s="323"/>
      <c r="E73" s="323"/>
      <c r="F73" s="323"/>
      <c r="G73" s="324"/>
      <c r="H73" s="146">
        <f ca="1">SUM(H6:H72)</f>
        <v>0</v>
      </c>
      <c r="I73" s="147">
        <f ca="1">SUM(I6:I72)</f>
        <v>30267.023000000001</v>
      </c>
    </row>
    <row r="74" spans="1:11" ht="19.899999999999999" customHeight="1" x14ac:dyDescent="0.25">
      <c r="A74" s="331"/>
      <c r="B74" s="332"/>
      <c r="C74" s="332"/>
      <c r="D74" s="332"/>
      <c r="E74" s="133"/>
      <c r="F74" s="133"/>
      <c r="G74" s="133"/>
      <c r="H74" s="133"/>
      <c r="I74" s="148"/>
    </row>
    <row r="75" spans="1:11" ht="34.15" customHeight="1" x14ac:dyDescent="0.25">
      <c r="A75" s="149"/>
      <c r="B75" s="150"/>
      <c r="C75" s="125"/>
      <c r="D75" s="126"/>
      <c r="E75" s="126"/>
      <c r="F75" s="126"/>
      <c r="G75" s="126"/>
      <c r="H75" s="126"/>
      <c r="I75" s="151"/>
    </row>
    <row r="76" spans="1:11" ht="34.15" customHeight="1" x14ac:dyDescent="0.25">
      <c r="A76" s="325" t="str">
        <f>view__cover!A29</f>
        <v>INTERMAK GROUP MMC</v>
      </c>
      <c r="B76" s="326"/>
      <c r="C76" s="326" t="str">
        <f>IF(_xlfn.XLOOKUP(contract_no,log_contracts!B:B,log_contracts!G:G)=0,"",_xlfn.XLOOKUP(contract_no,log_contracts!B:B,log_contracts!G:G))</f>
        <v>Ertuğ Kuban</v>
      </c>
      <c r="D76" s="326"/>
      <c r="E76" s="326" t="s">
        <v>165</v>
      </c>
      <c r="F76" s="326"/>
      <c r="G76" s="326"/>
      <c r="H76" s="326" t="str">
        <f>[1]config!$C$4</f>
        <v>Mehmet Özgün DEDEKARGINOĞLU</v>
      </c>
      <c r="I76" s="327"/>
    </row>
    <row r="77" spans="1:11" ht="34.15" customHeight="1" thickBot="1" x14ac:dyDescent="0.3">
      <c r="A77" s="328" t="s">
        <v>24</v>
      </c>
      <c r="B77" s="329"/>
      <c r="C77" s="329" t="s">
        <v>148</v>
      </c>
      <c r="D77" s="329"/>
      <c r="E77" s="329" t="s">
        <v>164</v>
      </c>
      <c r="F77" s="329"/>
      <c r="G77" s="329"/>
      <c r="H77" s="329" t="str">
        <f>[1]config!$B$4</f>
        <v>Technical Office Cheif 
Texniki Şöbə Şefi</v>
      </c>
      <c r="I77" s="330"/>
    </row>
    <row r="78" spans="1:11" ht="34.15" customHeight="1" outlineLevel="1" thickTop="1" x14ac:dyDescent="0.25">
      <c r="A78" s="322" t="str">
        <f>IF(A79="","","PREVIOUS PAGE TOTAL (AZN)"&amp;CHAR(10)&amp;"ƏVVƏLKİ SƏHİFƏNİN CƏMİ (AZN)")</f>
        <v/>
      </c>
      <c r="B78" s="323"/>
      <c r="C78" s="323"/>
      <c r="D78" s="323"/>
      <c r="E78" s="323"/>
      <c r="F78" s="323"/>
      <c r="G78" s="324"/>
      <c r="H78" s="146">
        <f ca="1">H73</f>
        <v>0</v>
      </c>
      <c r="I78" s="147">
        <f ca="1">I73</f>
        <v>30267.023000000001</v>
      </c>
    </row>
    <row r="79" spans="1:11" ht="15.75" outlineLevel="1" x14ac:dyDescent="0.25">
      <c r="A79" s="134" t="str" cm="1">
        <f t="array" ref="A79">IFERROR(_xlfn.DROP(_xlfn.ANCHORARRAY(N1),66),"")</f>
        <v/>
      </c>
      <c r="B79" s="135" t="str" cm="1">
        <f t="array" aca="1" ref="B79" ca="1">IFERROR(_xlfn.XLOOKUP(contract_no&amp;"-"&amp;_xlfn.ANCHORARRAY(A79),log_prices!B:B,log_prices!F:F,,0),"")</f>
        <v/>
      </c>
      <c r="C79" s="136" t="str" cm="1">
        <f t="array" aca="1" ref="C79" ca="1">IFERROR(_xlfn.XLOOKUP(contract_no&amp;"-"&amp;_xlfn.ANCHORARRAY(A79),log_prices!B:B,log_prices!G:G,,0),"")</f>
        <v/>
      </c>
      <c r="D79" s="137" cm="1">
        <f t="array" ref="D79">IFERROR(SUMIFS(quantities!G:G,quantities!D:D,contract_no,quantities!E:E,"&lt;"&amp;ipc_no,quantities!J:J,_xlfn.ANCHORARRAY(A79)),"")</f>
        <v>0</v>
      </c>
      <c r="E79" s="158" cm="1">
        <f t="array" ref="E79">_xlfn.ANCHORARRAY(F79)-_xlfn.ANCHORARRAY(D79)</f>
        <v>0</v>
      </c>
      <c r="F79" s="137" cm="1">
        <f t="array" ref="F79">IFERROR(SUMIFS(quantities!G:G,quantities!D:D,contract_no,quantities!E:E,"&lt;="&amp;ipc_no,quantities!J:J,_xlfn.ANCHORARRAY(A79)),"")</f>
        <v>0</v>
      </c>
      <c r="G79" s="138" t="str" cm="1">
        <f t="array" aca="1" ref="G79" ca="1">IFERROR(_xlfn.XLOOKUP(contract_no&amp;"-"&amp;_xlfn.ANCHORARRAY(A79),log_prices!B:B,log_prices!I:I,,0),"")</f>
        <v/>
      </c>
      <c r="H79" s="138" t="str" cm="1">
        <f t="array" aca="1" ref="H79" ca="1">IFERROR(_xlfn.ANCHORARRAY(E79)*_xlfn.ANCHORARRAY(G79),"")</f>
        <v/>
      </c>
      <c r="I79" s="139" t="str" cm="1">
        <f t="array" aca="1" ref="I79" ca="1">IFERROR(_xlfn.ANCHORARRAY(F79)*_xlfn.ANCHORARRAY(G79),"")</f>
        <v/>
      </c>
      <c r="K79" s="175"/>
    </row>
    <row r="80" spans="1:11" ht="15.75" outlineLevel="1" x14ac:dyDescent="0.25">
      <c r="A80" s="134"/>
      <c r="B80" s="135"/>
      <c r="C80" s="136"/>
      <c r="D80" s="137"/>
      <c r="E80" s="158"/>
      <c r="F80" s="137"/>
      <c r="G80" s="138"/>
      <c r="H80" s="138"/>
      <c r="I80" s="139"/>
    </row>
    <row r="81" spans="1:9" ht="15.75" outlineLevel="1" x14ac:dyDescent="0.25">
      <c r="A81" s="134"/>
      <c r="B81" s="135"/>
      <c r="C81" s="136"/>
      <c r="D81" s="137"/>
      <c r="E81" s="158"/>
      <c r="F81" s="137"/>
      <c r="G81" s="138"/>
      <c r="H81" s="138"/>
      <c r="I81" s="139"/>
    </row>
    <row r="82" spans="1:9" ht="15.75" outlineLevel="1" x14ac:dyDescent="0.25">
      <c r="A82" s="134"/>
      <c r="B82" s="135"/>
      <c r="C82" s="136"/>
      <c r="D82" s="137"/>
      <c r="E82" s="158"/>
      <c r="F82" s="137"/>
      <c r="G82" s="138"/>
      <c r="H82" s="138"/>
      <c r="I82" s="139"/>
    </row>
    <row r="83" spans="1:9" ht="15.75" outlineLevel="1" x14ac:dyDescent="0.25">
      <c r="A83" s="134"/>
      <c r="B83" s="135"/>
      <c r="C83" s="136"/>
      <c r="D83" s="137"/>
      <c r="E83" s="158"/>
      <c r="F83" s="137"/>
      <c r="G83" s="138"/>
      <c r="H83" s="138"/>
      <c r="I83" s="139"/>
    </row>
    <row r="84" spans="1:9" ht="15.75" outlineLevel="1" x14ac:dyDescent="0.25">
      <c r="A84" s="134"/>
      <c r="B84" s="135"/>
      <c r="C84" s="136"/>
      <c r="D84" s="137"/>
      <c r="E84" s="158"/>
      <c r="F84" s="137"/>
      <c r="G84" s="138"/>
      <c r="H84" s="138"/>
      <c r="I84" s="139"/>
    </row>
    <row r="85" spans="1:9" ht="15.75" outlineLevel="1" x14ac:dyDescent="0.25">
      <c r="A85" s="134"/>
      <c r="B85" s="135"/>
      <c r="C85" s="136"/>
      <c r="D85" s="137"/>
      <c r="E85" s="158"/>
      <c r="F85" s="137"/>
      <c r="G85" s="138"/>
      <c r="H85" s="138"/>
      <c r="I85" s="139"/>
    </row>
    <row r="86" spans="1:9" ht="15.75" outlineLevel="1" x14ac:dyDescent="0.25">
      <c r="A86" s="134"/>
      <c r="B86" s="135"/>
      <c r="C86" s="136"/>
      <c r="D86" s="137"/>
      <c r="E86" s="158"/>
      <c r="F86" s="137"/>
      <c r="G86" s="138"/>
      <c r="H86" s="138"/>
      <c r="I86" s="139"/>
    </row>
    <row r="87" spans="1:9" ht="15.75" outlineLevel="1" x14ac:dyDescent="0.25">
      <c r="A87" s="134"/>
      <c r="B87" s="135"/>
      <c r="C87" s="136"/>
      <c r="D87" s="137"/>
      <c r="E87" s="158"/>
      <c r="F87" s="137"/>
      <c r="G87" s="138"/>
      <c r="H87" s="138"/>
      <c r="I87" s="139"/>
    </row>
    <row r="88" spans="1:9" ht="15.75" outlineLevel="1" x14ac:dyDescent="0.25">
      <c r="A88" s="134"/>
      <c r="B88" s="135"/>
      <c r="C88" s="136"/>
      <c r="D88" s="137"/>
      <c r="E88" s="158"/>
      <c r="F88" s="137"/>
      <c r="G88" s="138"/>
      <c r="H88" s="138"/>
      <c r="I88" s="139"/>
    </row>
    <row r="89" spans="1:9" ht="15.75" outlineLevel="1" x14ac:dyDescent="0.25">
      <c r="A89" s="134"/>
      <c r="B89" s="135"/>
      <c r="C89" s="136"/>
      <c r="D89" s="137"/>
      <c r="E89" s="158"/>
      <c r="F89" s="137"/>
      <c r="G89" s="138"/>
      <c r="H89" s="138"/>
      <c r="I89" s="139"/>
    </row>
    <row r="90" spans="1:9" ht="15.75" outlineLevel="1" x14ac:dyDescent="0.25">
      <c r="A90" s="134"/>
      <c r="B90" s="135"/>
      <c r="C90" s="136"/>
      <c r="D90" s="137"/>
      <c r="E90" s="158"/>
      <c r="F90" s="137"/>
      <c r="G90" s="138"/>
      <c r="H90" s="138"/>
      <c r="I90" s="139"/>
    </row>
    <row r="91" spans="1:9" ht="15.75" outlineLevel="1" x14ac:dyDescent="0.25">
      <c r="A91" s="134"/>
      <c r="B91" s="135"/>
      <c r="C91" s="136"/>
      <c r="D91" s="137"/>
      <c r="E91" s="158"/>
      <c r="F91" s="137"/>
      <c r="G91" s="138"/>
      <c r="H91" s="138"/>
      <c r="I91" s="139"/>
    </row>
    <row r="92" spans="1:9" ht="15.75" outlineLevel="1" x14ac:dyDescent="0.25">
      <c r="A92" s="134"/>
      <c r="B92" s="135"/>
      <c r="C92" s="136"/>
      <c r="D92" s="137"/>
      <c r="E92" s="158"/>
      <c r="F92" s="137"/>
      <c r="G92" s="138"/>
      <c r="H92" s="138"/>
      <c r="I92" s="139"/>
    </row>
    <row r="93" spans="1:9" ht="15.75" outlineLevel="1" x14ac:dyDescent="0.25">
      <c r="A93" s="134"/>
      <c r="B93" s="135"/>
      <c r="C93" s="136"/>
      <c r="D93" s="137"/>
      <c r="E93" s="158"/>
      <c r="F93" s="137"/>
      <c r="G93" s="138"/>
      <c r="H93" s="138"/>
      <c r="I93" s="139"/>
    </row>
    <row r="94" spans="1:9" ht="15.75" outlineLevel="1" x14ac:dyDescent="0.25">
      <c r="A94" s="134"/>
      <c r="B94" s="135"/>
      <c r="C94" s="136"/>
      <c r="D94" s="137"/>
      <c r="E94" s="158"/>
      <c r="F94" s="137"/>
      <c r="G94" s="138"/>
      <c r="H94" s="138"/>
      <c r="I94" s="139"/>
    </row>
    <row r="95" spans="1:9" ht="15.75" outlineLevel="1" x14ac:dyDescent="0.25">
      <c r="A95" s="134"/>
      <c r="B95" s="135"/>
      <c r="C95" s="136"/>
      <c r="D95" s="137"/>
      <c r="E95" s="158"/>
      <c r="F95" s="137"/>
      <c r="G95" s="138"/>
      <c r="H95" s="138"/>
      <c r="I95" s="139"/>
    </row>
    <row r="96" spans="1:9" ht="15.75" outlineLevel="1" x14ac:dyDescent="0.25">
      <c r="A96" s="134"/>
      <c r="B96" s="135"/>
      <c r="C96" s="136"/>
      <c r="D96" s="137"/>
      <c r="E96" s="158"/>
      <c r="F96" s="137"/>
      <c r="G96" s="138"/>
      <c r="H96" s="138"/>
      <c r="I96" s="139"/>
    </row>
    <row r="97" spans="1:9" ht="15.75" outlineLevel="1" x14ac:dyDescent="0.25">
      <c r="A97" s="134"/>
      <c r="B97" s="135"/>
      <c r="C97" s="136"/>
      <c r="D97" s="137"/>
      <c r="E97" s="158"/>
      <c r="F97" s="137"/>
      <c r="G97" s="138"/>
      <c r="H97" s="138"/>
      <c r="I97" s="139"/>
    </row>
    <row r="98" spans="1:9" ht="15.75" outlineLevel="1" x14ac:dyDescent="0.25">
      <c r="A98" s="134"/>
      <c r="B98" s="135"/>
      <c r="C98" s="136"/>
      <c r="D98" s="137"/>
      <c r="E98" s="158"/>
      <c r="F98" s="137"/>
      <c r="G98" s="138"/>
      <c r="H98" s="138"/>
      <c r="I98" s="139"/>
    </row>
    <row r="99" spans="1:9" outlineLevel="1" x14ac:dyDescent="0.25">
      <c r="A99" s="134"/>
      <c r="B99" s="140"/>
      <c r="C99" s="142"/>
      <c r="D99" s="143"/>
      <c r="E99" s="158"/>
      <c r="F99" s="141"/>
      <c r="G99" s="138"/>
      <c r="H99" s="138"/>
      <c r="I99" s="139"/>
    </row>
    <row r="100" spans="1:9" outlineLevel="1" x14ac:dyDescent="0.25">
      <c r="A100" s="134"/>
      <c r="B100" s="140"/>
      <c r="C100" s="142"/>
      <c r="D100" s="143"/>
      <c r="E100" s="158"/>
      <c r="F100" s="141"/>
      <c r="G100" s="138"/>
      <c r="H100" s="138"/>
      <c r="I100" s="139"/>
    </row>
    <row r="101" spans="1:9" outlineLevel="1" x14ac:dyDescent="0.25">
      <c r="A101" s="134"/>
      <c r="B101" s="140"/>
      <c r="C101" s="142"/>
      <c r="D101" s="143"/>
      <c r="E101" s="158"/>
      <c r="F101" s="141"/>
      <c r="G101" s="138"/>
      <c r="H101" s="138"/>
      <c r="I101" s="139"/>
    </row>
    <row r="102" spans="1:9" outlineLevel="1" x14ac:dyDescent="0.25">
      <c r="A102" s="134"/>
      <c r="B102" s="140"/>
      <c r="C102" s="142"/>
      <c r="D102" s="143"/>
      <c r="E102" s="158"/>
      <c r="F102" s="141"/>
      <c r="G102" s="138"/>
      <c r="H102" s="138"/>
      <c r="I102" s="139"/>
    </row>
    <row r="103" spans="1:9" outlineLevel="1" x14ac:dyDescent="0.25">
      <c r="A103" s="134"/>
      <c r="B103" s="140"/>
      <c r="C103" s="142"/>
      <c r="D103" s="143"/>
      <c r="E103" s="158"/>
      <c r="F103" s="141"/>
      <c r="G103" s="138"/>
      <c r="H103" s="138"/>
      <c r="I103" s="139"/>
    </row>
    <row r="104" spans="1:9" outlineLevel="1" x14ac:dyDescent="0.25">
      <c r="A104" s="134"/>
      <c r="B104" s="140"/>
      <c r="C104" s="142"/>
      <c r="D104" s="143"/>
      <c r="E104" s="158"/>
      <c r="F104" s="141"/>
      <c r="G104" s="144"/>
      <c r="H104" s="144"/>
      <c r="I104" s="145"/>
    </row>
    <row r="105" spans="1:9" outlineLevel="1" x14ac:dyDescent="0.25">
      <c r="A105" s="134"/>
      <c r="B105" s="140"/>
      <c r="C105" s="142"/>
      <c r="D105" s="143"/>
      <c r="E105" s="158"/>
      <c r="F105" s="141"/>
      <c r="G105" s="144"/>
      <c r="H105" s="144"/>
      <c r="I105" s="145"/>
    </row>
    <row r="106" spans="1:9" outlineLevel="1" x14ac:dyDescent="0.25">
      <c r="A106" s="134"/>
      <c r="B106" s="140"/>
      <c r="C106" s="142"/>
      <c r="D106" s="143"/>
      <c r="E106" s="158"/>
      <c r="F106" s="141"/>
      <c r="G106" s="144"/>
      <c r="H106" s="144"/>
      <c r="I106" s="145"/>
    </row>
    <row r="107" spans="1:9" outlineLevel="1" x14ac:dyDescent="0.25">
      <c r="A107" s="134"/>
      <c r="B107" s="140"/>
      <c r="C107" s="142"/>
      <c r="D107" s="143"/>
      <c r="E107" s="158"/>
      <c r="F107" s="141"/>
      <c r="G107" s="144"/>
      <c r="H107" s="144"/>
      <c r="I107" s="145"/>
    </row>
    <row r="108" spans="1:9" outlineLevel="1" x14ac:dyDescent="0.25">
      <c r="A108" s="134"/>
      <c r="B108" s="140"/>
      <c r="C108" s="142"/>
      <c r="D108" s="143"/>
      <c r="E108" s="158"/>
      <c r="F108" s="141"/>
      <c r="G108" s="144"/>
      <c r="H108" s="144"/>
      <c r="I108" s="145"/>
    </row>
    <row r="109" spans="1:9" outlineLevel="1" x14ac:dyDescent="0.25">
      <c r="A109" s="134"/>
      <c r="B109" s="140"/>
      <c r="C109" s="142"/>
      <c r="D109" s="143"/>
      <c r="E109" s="158"/>
      <c r="F109" s="141"/>
      <c r="G109" s="144"/>
      <c r="H109" s="144"/>
      <c r="I109" s="145"/>
    </row>
    <row r="110" spans="1:9" outlineLevel="1" x14ac:dyDescent="0.25">
      <c r="A110" s="134"/>
      <c r="B110" s="140"/>
      <c r="C110" s="142"/>
      <c r="D110" s="143"/>
      <c r="E110" s="158"/>
      <c r="F110" s="141"/>
      <c r="G110" s="144"/>
      <c r="H110" s="144"/>
      <c r="I110" s="145"/>
    </row>
    <row r="111" spans="1:9" outlineLevel="1" x14ac:dyDescent="0.25">
      <c r="A111" s="134"/>
      <c r="B111" s="140"/>
      <c r="C111" s="142"/>
      <c r="D111" s="143"/>
      <c r="E111" s="158"/>
      <c r="F111" s="141"/>
      <c r="G111" s="144"/>
      <c r="H111" s="144"/>
      <c r="I111" s="145"/>
    </row>
    <row r="112" spans="1:9" outlineLevel="1" x14ac:dyDescent="0.25">
      <c r="A112" s="134"/>
      <c r="B112" s="140"/>
      <c r="C112" s="142"/>
      <c r="D112" s="143"/>
      <c r="E112" s="158"/>
      <c r="F112" s="141"/>
      <c r="G112" s="144"/>
      <c r="H112" s="144"/>
      <c r="I112" s="145"/>
    </row>
    <row r="113" spans="1:9" outlineLevel="1" x14ac:dyDescent="0.25">
      <c r="A113" s="134"/>
      <c r="B113" s="140"/>
      <c r="C113" s="142"/>
      <c r="D113" s="143"/>
      <c r="E113" s="158"/>
      <c r="F113" s="141"/>
      <c r="G113" s="144"/>
      <c r="H113" s="144"/>
      <c r="I113" s="145"/>
    </row>
    <row r="114" spans="1:9" outlineLevel="1" x14ac:dyDescent="0.25">
      <c r="A114" s="134"/>
      <c r="B114" s="140"/>
      <c r="C114" s="142"/>
      <c r="D114" s="143"/>
      <c r="E114" s="158"/>
      <c r="F114" s="141"/>
      <c r="G114" s="144"/>
      <c r="H114" s="144"/>
      <c r="I114" s="145"/>
    </row>
    <row r="115" spans="1:9" outlineLevel="1" x14ac:dyDescent="0.25">
      <c r="A115" s="134"/>
      <c r="B115" s="140"/>
      <c r="C115" s="142"/>
      <c r="D115" s="143"/>
      <c r="E115" s="158"/>
      <c r="F115" s="141"/>
      <c r="G115" s="144"/>
      <c r="H115" s="144"/>
      <c r="I115" s="145"/>
    </row>
    <row r="116" spans="1:9" outlineLevel="1" x14ac:dyDescent="0.25">
      <c r="A116" s="134"/>
      <c r="B116" s="140"/>
      <c r="C116" s="142"/>
      <c r="D116" s="143"/>
      <c r="E116" s="158"/>
      <c r="F116" s="141"/>
      <c r="G116" s="144"/>
      <c r="H116" s="144"/>
      <c r="I116" s="145"/>
    </row>
    <row r="117" spans="1:9" outlineLevel="1" x14ac:dyDescent="0.25">
      <c r="A117" s="134"/>
      <c r="B117" s="140"/>
      <c r="C117" s="142"/>
      <c r="D117" s="143"/>
      <c r="E117" s="158"/>
      <c r="F117" s="141"/>
      <c r="G117" s="144"/>
      <c r="H117" s="144"/>
      <c r="I117" s="145"/>
    </row>
    <row r="118" spans="1:9" outlineLevel="1" x14ac:dyDescent="0.25">
      <c r="A118" s="134"/>
      <c r="B118" s="140"/>
      <c r="C118" s="142"/>
      <c r="D118" s="143"/>
      <c r="E118" s="158"/>
      <c r="F118" s="141"/>
      <c r="G118" s="144"/>
      <c r="H118" s="144"/>
      <c r="I118" s="145"/>
    </row>
    <row r="119" spans="1:9" outlineLevel="1" x14ac:dyDescent="0.25">
      <c r="A119" s="134"/>
      <c r="B119" s="140"/>
      <c r="C119" s="142"/>
      <c r="D119" s="143"/>
      <c r="E119" s="158"/>
      <c r="F119" s="141"/>
      <c r="G119" s="144"/>
      <c r="H119" s="144"/>
      <c r="I119" s="145"/>
    </row>
    <row r="120" spans="1:9" outlineLevel="1" x14ac:dyDescent="0.25">
      <c r="A120" s="134"/>
      <c r="B120" s="140"/>
      <c r="C120" s="142"/>
      <c r="D120" s="143"/>
      <c r="E120" s="158"/>
      <c r="F120" s="141"/>
      <c r="G120" s="144"/>
      <c r="H120" s="144"/>
      <c r="I120" s="145"/>
    </row>
    <row r="121" spans="1:9" outlineLevel="1" x14ac:dyDescent="0.25">
      <c r="A121" s="134"/>
      <c r="B121" s="140"/>
      <c r="C121" s="142"/>
      <c r="D121" s="143"/>
      <c r="E121" s="158"/>
      <c r="F121" s="141"/>
      <c r="G121" s="144"/>
      <c r="H121" s="144"/>
      <c r="I121" s="145"/>
    </row>
    <row r="122" spans="1:9" outlineLevel="1" x14ac:dyDescent="0.25">
      <c r="A122" s="134"/>
      <c r="B122" s="140"/>
      <c r="C122" s="142"/>
      <c r="D122" s="143"/>
      <c r="E122" s="158"/>
      <c r="F122" s="141"/>
      <c r="G122" s="144"/>
      <c r="H122" s="144"/>
      <c r="I122" s="145"/>
    </row>
    <row r="123" spans="1:9" outlineLevel="1" x14ac:dyDescent="0.25">
      <c r="A123" s="134"/>
      <c r="B123" s="140"/>
      <c r="C123" s="142"/>
      <c r="D123" s="143"/>
      <c r="E123" s="158"/>
      <c r="F123" s="141"/>
      <c r="G123" s="144"/>
      <c r="H123" s="144"/>
      <c r="I123" s="145"/>
    </row>
    <row r="124" spans="1:9" outlineLevel="1" x14ac:dyDescent="0.25">
      <c r="A124" s="134"/>
      <c r="B124" s="140"/>
      <c r="C124" s="142"/>
      <c r="D124" s="143"/>
      <c r="E124" s="158"/>
      <c r="F124" s="141"/>
      <c r="G124" s="144"/>
      <c r="H124" s="144"/>
      <c r="I124" s="145"/>
    </row>
    <row r="125" spans="1:9" outlineLevel="1" x14ac:dyDescent="0.25">
      <c r="A125" s="134"/>
      <c r="B125" s="140"/>
      <c r="C125" s="142"/>
      <c r="D125" s="143"/>
      <c r="E125" s="158"/>
      <c r="F125" s="141"/>
      <c r="G125" s="144"/>
      <c r="H125" s="144"/>
      <c r="I125" s="145"/>
    </row>
    <row r="126" spans="1:9" outlineLevel="1" x14ac:dyDescent="0.25">
      <c r="A126" s="134"/>
      <c r="B126" s="140"/>
      <c r="C126" s="142"/>
      <c r="D126" s="143"/>
      <c r="E126" s="158"/>
      <c r="F126" s="141"/>
      <c r="G126" s="144"/>
      <c r="H126" s="144"/>
      <c r="I126" s="145"/>
    </row>
    <row r="127" spans="1:9" outlineLevel="1" x14ac:dyDescent="0.25">
      <c r="A127" s="134"/>
      <c r="B127" s="140"/>
      <c r="C127" s="142"/>
      <c r="D127" s="143"/>
      <c r="E127" s="158"/>
      <c r="F127" s="141"/>
      <c r="G127" s="144"/>
      <c r="H127" s="144"/>
      <c r="I127" s="145"/>
    </row>
    <row r="128" spans="1:9" outlineLevel="1" x14ac:dyDescent="0.25">
      <c r="A128" s="134"/>
      <c r="B128" s="140"/>
      <c r="C128" s="142"/>
      <c r="D128" s="143"/>
      <c r="E128" s="158"/>
      <c r="F128" s="141"/>
      <c r="G128" s="144"/>
      <c r="H128" s="144"/>
      <c r="I128" s="145"/>
    </row>
    <row r="129" spans="1:9" outlineLevel="1" x14ac:dyDescent="0.25">
      <c r="A129" s="134"/>
      <c r="B129" s="140"/>
      <c r="C129" s="142"/>
      <c r="D129" s="143"/>
      <c r="E129" s="158"/>
      <c r="F129" s="141"/>
      <c r="G129" s="144"/>
      <c r="H129" s="144"/>
      <c r="I129" s="145"/>
    </row>
    <row r="130" spans="1:9" outlineLevel="1" x14ac:dyDescent="0.25">
      <c r="A130" s="134"/>
      <c r="B130" s="140"/>
      <c r="C130" s="142"/>
      <c r="D130" s="143"/>
      <c r="E130" s="158"/>
      <c r="F130" s="141"/>
      <c r="G130" s="144"/>
      <c r="H130" s="144"/>
      <c r="I130" s="145"/>
    </row>
    <row r="131" spans="1:9" outlineLevel="1" x14ac:dyDescent="0.25">
      <c r="A131" s="134"/>
      <c r="B131" s="140"/>
      <c r="C131" s="142"/>
      <c r="D131" s="143"/>
      <c r="E131" s="158"/>
      <c r="F131" s="141"/>
      <c r="G131" s="144"/>
      <c r="H131" s="144"/>
      <c r="I131" s="145"/>
    </row>
    <row r="132" spans="1:9" outlineLevel="1" x14ac:dyDescent="0.25">
      <c r="A132" s="134"/>
      <c r="B132" s="140"/>
      <c r="C132" s="142"/>
      <c r="D132" s="143"/>
      <c r="E132" s="158"/>
      <c r="F132" s="141"/>
      <c r="G132" s="144"/>
      <c r="H132" s="144"/>
      <c r="I132" s="145"/>
    </row>
    <row r="133" spans="1:9" outlineLevel="1" x14ac:dyDescent="0.25">
      <c r="A133" s="134"/>
      <c r="B133" s="140"/>
      <c r="C133" s="142"/>
      <c r="D133" s="143"/>
      <c r="E133" s="158"/>
      <c r="F133" s="141"/>
      <c r="G133" s="144"/>
      <c r="H133" s="144"/>
      <c r="I133" s="145"/>
    </row>
    <row r="134" spans="1:9" outlineLevel="1" x14ac:dyDescent="0.25">
      <c r="A134" s="134"/>
      <c r="B134" s="140"/>
      <c r="C134" s="142"/>
      <c r="D134" s="143"/>
      <c r="E134" s="158"/>
      <c r="F134" s="141"/>
      <c r="G134" s="144"/>
      <c r="H134" s="144"/>
      <c r="I134" s="145"/>
    </row>
    <row r="135" spans="1:9" outlineLevel="1" x14ac:dyDescent="0.25">
      <c r="A135" s="134"/>
      <c r="B135" s="140"/>
      <c r="C135" s="142"/>
      <c r="D135" s="143"/>
      <c r="E135" s="158"/>
      <c r="F135" s="141"/>
      <c r="G135" s="144"/>
      <c r="H135" s="144"/>
      <c r="I135" s="145"/>
    </row>
    <row r="136" spans="1:9" outlineLevel="1" x14ac:dyDescent="0.25">
      <c r="A136" s="134"/>
      <c r="B136" s="140"/>
      <c r="C136" s="142"/>
      <c r="D136" s="143"/>
      <c r="E136" s="158"/>
      <c r="F136" s="141"/>
      <c r="G136" s="144"/>
      <c r="H136" s="144"/>
      <c r="I136" s="145"/>
    </row>
    <row r="137" spans="1:9" outlineLevel="1" x14ac:dyDescent="0.25">
      <c r="A137" s="134"/>
      <c r="B137" s="140"/>
      <c r="C137" s="142"/>
      <c r="D137" s="143"/>
      <c r="E137" s="158"/>
      <c r="F137" s="141"/>
      <c r="G137" s="144"/>
      <c r="H137" s="144"/>
      <c r="I137" s="145"/>
    </row>
    <row r="138" spans="1:9" outlineLevel="1" x14ac:dyDescent="0.25">
      <c r="A138" s="134"/>
      <c r="B138" s="140"/>
      <c r="C138" s="142"/>
      <c r="D138" s="143"/>
      <c r="E138" s="158"/>
      <c r="F138" s="141"/>
      <c r="G138" s="144"/>
      <c r="H138" s="144"/>
      <c r="I138" s="145"/>
    </row>
    <row r="139" spans="1:9" outlineLevel="1" x14ac:dyDescent="0.25">
      <c r="A139" s="134"/>
      <c r="B139" s="140"/>
      <c r="C139" s="142"/>
      <c r="D139" s="143"/>
      <c r="E139" s="158"/>
      <c r="F139" s="141"/>
      <c r="G139" s="144"/>
      <c r="H139" s="144"/>
      <c r="I139" s="145"/>
    </row>
    <row r="140" spans="1:9" outlineLevel="1" x14ac:dyDescent="0.25">
      <c r="A140" s="134"/>
      <c r="B140" s="140"/>
      <c r="C140" s="142"/>
      <c r="D140" s="143"/>
      <c r="E140" s="158"/>
      <c r="F140" s="141"/>
      <c r="G140" s="144"/>
      <c r="H140" s="144"/>
      <c r="I140" s="145"/>
    </row>
    <row r="141" spans="1:9" outlineLevel="1" x14ac:dyDescent="0.25">
      <c r="A141" s="134"/>
      <c r="B141" s="140"/>
      <c r="C141" s="142"/>
      <c r="D141" s="143"/>
      <c r="E141" s="158"/>
      <c r="F141" s="141"/>
      <c r="G141" s="144"/>
      <c r="H141" s="144"/>
      <c r="I141" s="145"/>
    </row>
    <row r="142" spans="1:9" outlineLevel="1" x14ac:dyDescent="0.25">
      <c r="A142" s="134"/>
      <c r="B142" s="140"/>
      <c r="C142" s="142"/>
      <c r="D142" s="143"/>
      <c r="E142" s="158"/>
      <c r="F142" s="141"/>
      <c r="G142" s="144"/>
      <c r="H142" s="144"/>
      <c r="I142" s="145"/>
    </row>
    <row r="143" spans="1:9" ht="34.15" customHeight="1" outlineLevel="1" x14ac:dyDescent="0.25">
      <c r="A143" s="322" t="str">
        <f>IF(A79="","","TOTAL (AZN)"&amp;CHAR(10)&amp;"CƏMİ (AZN)")</f>
        <v/>
      </c>
      <c r="B143" s="323"/>
      <c r="C143" s="323"/>
      <c r="D143" s="323"/>
      <c r="E143" s="323"/>
      <c r="F143" s="323"/>
      <c r="G143" s="324"/>
      <c r="H143" s="146">
        <f ca="1">SUM(H78:H142)</f>
        <v>0</v>
      </c>
      <c r="I143" s="147">
        <f ca="1">SUM(I78:I142)</f>
        <v>30267.023000000001</v>
      </c>
    </row>
    <row r="144" spans="1:9" ht="19.899999999999999" customHeight="1" outlineLevel="1" x14ac:dyDescent="0.25">
      <c r="A144" s="331"/>
      <c r="B144" s="332"/>
      <c r="C144" s="332"/>
      <c r="D144" s="332"/>
      <c r="E144" s="133"/>
      <c r="F144" s="133"/>
      <c r="G144" s="133"/>
      <c r="H144" s="133"/>
      <c r="I144" s="148"/>
    </row>
    <row r="145" spans="1:9" ht="34.15" customHeight="1" outlineLevel="1" x14ac:dyDescent="0.25">
      <c r="A145" s="149"/>
      <c r="B145" s="150"/>
      <c r="C145" s="125"/>
      <c r="D145" s="126"/>
      <c r="E145" s="126"/>
      <c r="F145" s="126"/>
      <c r="G145" s="126"/>
      <c r="H145" s="126"/>
      <c r="I145" s="151"/>
    </row>
    <row r="146" spans="1:9" ht="34.15" customHeight="1" outlineLevel="1" x14ac:dyDescent="0.25">
      <c r="A146" s="325" t="str">
        <f>A76</f>
        <v>INTERMAK GROUP MMC</v>
      </c>
      <c r="B146" s="326"/>
      <c r="C146" s="173" t="str">
        <f>_xlfn.LET(_xlpm.r,_xlfn.XLOOKUP(contract_no,log_contracts!B:B,log_contracts!G:G),IF(_xlpm.r=0,"",_xlpm.r))</f>
        <v>Ertuğ Kuban</v>
      </c>
      <c r="D146" s="173"/>
      <c r="E146" s="326" t="str">
        <f>E76</f>
        <v>MEHMET TEVFİK ÇELİKKOL</v>
      </c>
      <c r="F146" s="326"/>
      <c r="G146" s="326"/>
      <c r="H146" s="326" t="str">
        <f>H76</f>
        <v>Mehmet Özgün DEDEKARGINOĞLU</v>
      </c>
      <c r="I146" s="327"/>
    </row>
    <row r="147" spans="1:9" ht="34.15" customHeight="1" outlineLevel="1" thickBot="1" x14ac:dyDescent="0.3">
      <c r="A147" s="328" t="str">
        <f>A77</f>
        <v>Subcontractor
Subpodratçı</v>
      </c>
      <c r="B147" s="329"/>
      <c r="C147" s="329" t="str">
        <f>C77</f>
        <v>Department Chief
Bölmə Şefi</v>
      </c>
      <c r="D147" s="329"/>
      <c r="E147" s="329" t="str">
        <f>E77</f>
        <v>Contract and Progress Payment Chief 
Ödəniş Sertifikatı Üzrə Məsul şəxs</v>
      </c>
      <c r="F147" s="329"/>
      <c r="G147" s="329"/>
      <c r="H147" s="329" t="str">
        <f>H77</f>
        <v>Technical Office Cheif 
Texniki Şöbə Şefi</v>
      </c>
      <c r="I147" s="330"/>
    </row>
    <row r="148" spans="1:9" ht="15.75" thickTop="1" x14ac:dyDescent="0.25"/>
  </sheetData>
  <autoFilter ref="A4:I4" xr:uid="{98120693-6247-444D-9874-0AAF99D45C0B}"/>
  <mergeCells count="24">
    <mergeCell ref="C76:D76"/>
    <mergeCell ref="A144:B144"/>
    <mergeCell ref="C144:D144"/>
    <mergeCell ref="A78:G78"/>
    <mergeCell ref="B1:G2"/>
    <mergeCell ref="A3:I3"/>
    <mergeCell ref="A73:G73"/>
    <mergeCell ref="A74:B74"/>
    <mergeCell ref="C74:D74"/>
    <mergeCell ref="A76:B76"/>
    <mergeCell ref="E76:G76"/>
    <mergeCell ref="H76:I76"/>
    <mergeCell ref="A77:B77"/>
    <mergeCell ref="C77:D77"/>
    <mergeCell ref="E77:G77"/>
    <mergeCell ref="H77:I77"/>
    <mergeCell ref="A143:G143"/>
    <mergeCell ref="A146:B146"/>
    <mergeCell ref="E146:G146"/>
    <mergeCell ref="H146:I146"/>
    <mergeCell ref="A147:B147"/>
    <mergeCell ref="C147:D147"/>
    <mergeCell ref="E147:G147"/>
    <mergeCell ref="H147:I147"/>
  </mergeCells>
  <conditionalFormatting sqref="A1:I75 A76:C76 E76:I76 A77:I147">
    <cfRule type="expression" dxfId="9" priority="1">
      <formula>$G1&lt;0</formula>
    </cfRule>
  </conditionalFormatting>
  <printOptions horizontalCentered="1"/>
  <pageMargins left="0.39370078740157499" right="0.39370078740157499" top="1" bottom="0" header="0" footer="0"/>
  <pageSetup paperSize="9" scale="53" fitToHeight="2" orientation="portrait" r:id="rId1"/>
  <headerFooter scaleWithDoc="0"/>
  <rowBreaks count="1" manualBreakCount="1">
    <brk id="77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3FE82-DD03-47EF-8EB5-3203D3534271}">
  <sheetPr codeName="Sheet3"/>
  <dimension ref="A1:L1998"/>
  <sheetViews>
    <sheetView view="pageBreakPreview" topLeftCell="A10" zoomScaleNormal="85" zoomScaleSheetLayoutView="100" zoomScalePageLayoutView="40" workbookViewId="0">
      <selection activeCell="J14" sqref="J14:L14"/>
    </sheetView>
  </sheetViews>
  <sheetFormatPr defaultRowHeight="15.75" x14ac:dyDescent="0.25"/>
  <cols>
    <col min="1" max="1" width="16.7109375" style="180" customWidth="1"/>
    <col min="2" max="2" width="18.140625" style="178" customWidth="1"/>
    <col min="3" max="3" width="13.7109375" style="178" customWidth="1"/>
    <col min="4" max="4" width="15.5703125" style="179" bestFit="1" customWidth="1"/>
    <col min="5" max="5" width="19.5703125" style="179" customWidth="1"/>
    <col min="6" max="6" width="9.85546875" style="179" bestFit="1" customWidth="1"/>
    <col min="7" max="7" width="10" style="179" bestFit="1" customWidth="1"/>
    <col min="11" max="11" width="17.85546875" customWidth="1"/>
  </cols>
  <sheetData>
    <row r="1" spans="1:12" ht="15" customHeight="1" x14ac:dyDescent="0.25">
      <c r="A1" s="177" t="e" cm="1" vm="1">
        <f t="array" ref="A1">_xlfn.LET(
  _xlpm.ipcData,_xlfn._xlws.SORT(_xlfn._xlws.FILTER(log_daily_records!B:AR,(log_daily_records!E:E=contract_no)*(log_daily_records!F:F=ipc_no)),3),
  _xlpm.plateNos,_xlfn.LET(_xlpm.r, _xlfn.UNIQUE(_xlfn.TAKE(_xlpm.ipcData,,3)),_xlfn.HSTACK(INDEX(_xlpm.r,,3), DATE(INDEX(_xlpm.r,,1), INDEX(_xlpm.r,,2), 1))),
  _xlpm.ph,_xlfn.LAMBDA(_xlpm.r,_xlpm.c,_xlfn.MAKEARRAY(_xlpm.r,_xlpm.c,_xlfn.LAMBDA(_xlpm.rl,_xlpm.cl,""))),
  _xlpm.makeBlock, _xlfn.LAMBDA(_xlpm.plateNo,_xlpm.monthYear,
    _xlfn.LET(
      _xlpm.data, _xlfn._xlws.FILTER(_xlpm.ipcData,(INDEX(_xlpm.ipcData,,3)=_xlpm.plateNo)*(INDEX(_xlpm.ipcData,,1)=YEAR(_xlpm.monthYear))*(INDEX(_xlpm.ipcData,,2)=MONTH(_xlpm.monthYear))),
        _xlfn.VSTACK(
          _xlpm.ph(1,7),
          _xlfn.HSTACK("Plate number:",_xlpm.plateNo,"","Contract no: ","KLN-SPP2-"&amp;_xlfn.XLOOKUP(contract_no,log_contracts!B:B,log_contracts!C:C)&amp;"-"&amp;TEXT(contract_no,"000"),"Date:",TEXT(_xlpm.monthYear,"mmm yy")),
          _xlfn.HSTACK(_xlpm.ph(1,7)),
          _xlfn.HSTACK("Date        ","Start time","End time    ","Time diff.","Start km","End km","Km diff."),
          _xlfn.IFNA(_xlfn.LET(
            _xlpm.getDataByType, _xlfn.LAMBDA(_xlpm.type,
              _xlfn.LET(_xlpm.r,IFERROR(_xlfn.TAKE(_xlfn.DROP(TRANSPOSE(_xlfn._xlws.FILTER(_xlpm.data, INDEX(_xlpm.data,,6)=_xlpm.type)),6),31),""),IF(_xlpm.r=0,"",_xlpm.r))
            ),
            _xlpm.timeStart,_xlpm.getDataByType("time-start"),
            _xlpm.timeEnd,_xlpm.getDataByType("time-end"),
            _xlpm.kmStart,_xlpm.getDataByType("km-start"),
            _xlpm.kmEnd,_xlpm.getDataByType("km-end"),
            _xlfn.HSTACK(
              TEXT(_xlpm.monthYear-1+_xlfn.SEQUENCE(DAY(EOMONTH(_xlpm.monthYear,0))),"dd-mm-yyyy"),
              _xlpm.timeStart,
              _xlpm.timeEnd,
              _xlfn.LET(_xlpm.r, IFERROR((_xlpm.timeEnd-_xlpm.timeStart)*24-11,0), IF(_xlpm.r&lt;=0,"",_xlpm.r)),
              _xlpm.kmStart,
              _xlpm.kmEnd,
              _xlfn.LET(_xlpm.r, IFERROR((_xlpm.kmEnd-_xlpm.kmStart),0), IF(_xlpm.r=0,"",_xlpm.r))
            )
          ),""),
          _xlfn.LET(
            _xlpm.getTotal, _xlfn.LAMBDA(_xlpm.type,_xlpm.index,
              _xlfn.LET(
                _xlpm.r,
                IFERROR(INDEX(_xlfn._xlws.FILTER(_xlpm.data, INDEX(_xlpm.data,,6)=_xlpm.type),_xlpm.index),""),
                IF(_xlpm.r=0,"",_xlpm.r)
              )
            ),
            _xlpm.single, _xlpm.getTotal("time-end",38),
            _xlpm.double, _xlpm.getTotal("time-end",39),
            _xlpm.hour,_xlpm.getTotal("time-end",40),
            _xlpm.km,_xlpm.getTotal("km-end",41),
            _xlfn.VSTACK(
              _xlfn.HSTACK("",IF(_xlpm.single="","","Total single"),IF(_xlpm.double="","","Total double"),IF(_xlpm.hour="","","Total hour"),IF(_xlpm.km="","","Total fuel"),"",""),
              _xlfn.HSTACK("",_xlpm.single,_xlpm.double,_xlpm.hour,_xlpm.km,"",""),
              _xlpm.ph(1,7)
            )
          ),
          _xlfn.HSTACK("","Subcontractor","","","Confirmed by","",""),
          _xlfn.HSTACK("",_xlfn.XLOOKUP(contract_no,log_contracts!B:B,log_contracts!E:E,,0),"","",_xlfn.TEXTJOIN(CHAR(10),TRUE,_xlfn.XLOOKUP(_xlpm.plateNo,_xlfn._TRO_TRAILING(log_addendums!L:L),_xlfn._TRO_TRAILING(log_addendums!M:M),,0)),"",""),
          _xlfn.HSTACK("","______________","","","______________","",""),
          _xlfn.HSTACK(_xlpm.ph(1,7))
      )
    )
  ),
  _xlfn.REDUCE(
    "",
    _xlfn.SEQUENCE(ROWS(_xlpm.plateNos)),
    _xlfn.LAMBDA(_xlpm.acc,_xlpm.idx,
      _xlfn.LET(
        _xlpm.p, INDEX(_xlpm.plateNos, _xlpm.idx, 1),
        _xlpm.m, INDEX(_xlpm.plateNos, _xlpm.idx, 2),
        _xlpm.blk, _xlpm.makeBlock(_xlpm.p,_xlpm.m),
        IF(_xlpm.idx=1, _xlpm.blk, _xlfn.VSTACK(_xlpm.acc, _xlpm.blk))
      )
    )
  )
)</f>
        <v>#VALUE!</v>
      </c>
      <c r="I1" t="e" cm="1" vm="1">
        <f t="array" ref="I1">ROWS(_xlfn.UNIQUE(_xlfn._xlws.FILTER(log_daily_records!B:D,(log_daily_records!E:E=contract_no)*(log_daily_records!F:F=ipc_no))))</f>
        <v>#VALUE!</v>
      </c>
    </row>
    <row r="2" spans="1:12" ht="15" customHeight="1" x14ac:dyDescent="0.25">
      <c r="B2" s="181"/>
      <c r="E2" s="182"/>
      <c r="L2" s="174"/>
    </row>
    <row r="3" spans="1:12" ht="15" customHeight="1" x14ac:dyDescent="0.25">
      <c r="A3" s="183"/>
      <c r="B3" s="184"/>
      <c r="C3" s="184"/>
      <c r="D3" s="183"/>
      <c r="E3" s="183"/>
      <c r="F3" s="183"/>
      <c r="G3" s="183"/>
    </row>
    <row r="4" spans="1:12" ht="15" customHeight="1" x14ac:dyDescent="0.25">
      <c r="A4" s="189"/>
      <c r="B4" s="188"/>
      <c r="C4" s="188"/>
      <c r="D4" s="189"/>
      <c r="E4" s="189"/>
      <c r="F4" s="189"/>
      <c r="G4" s="189"/>
    </row>
    <row r="5" spans="1:12" ht="15" customHeight="1" x14ac:dyDescent="0.25"/>
    <row r="6" spans="1:12" ht="15" customHeight="1" x14ac:dyDescent="0.25"/>
    <row r="7" spans="1:12" ht="15" customHeight="1" x14ac:dyDescent="0.25"/>
    <row r="8" spans="1:12" ht="15" customHeight="1" x14ac:dyDescent="0.25"/>
    <row r="9" spans="1:12" ht="15" customHeight="1" x14ac:dyDescent="0.25"/>
    <row r="10" spans="1:12" ht="15" customHeight="1" x14ac:dyDescent="0.25"/>
    <row r="11" spans="1:12" ht="15" customHeight="1" x14ac:dyDescent="0.25"/>
    <row r="12" spans="1:12" ht="15" customHeight="1" x14ac:dyDescent="0.25"/>
    <row r="13" spans="1:12" ht="15" customHeight="1" x14ac:dyDescent="0.25"/>
    <row r="14" spans="1:12" ht="15" customHeight="1" x14ac:dyDescent="0.25"/>
    <row r="15" spans="1:12" ht="15" customHeight="1" x14ac:dyDescent="0.25"/>
    <row r="16" spans="1:12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spans="1:12" ht="15" customHeight="1" x14ac:dyDescent="0.25"/>
    <row r="34" spans="1:12" ht="15" customHeight="1" x14ac:dyDescent="0.25"/>
    <row r="35" spans="1:12" ht="15" customHeight="1" x14ac:dyDescent="0.25">
      <c r="D35" s="183"/>
      <c r="E35" s="183"/>
    </row>
    <row r="36" spans="1:12" ht="15" customHeight="1" x14ac:dyDescent="0.25">
      <c r="B36" s="183"/>
      <c r="C36" s="184"/>
      <c r="D36" s="183"/>
      <c r="E36" s="183"/>
    </row>
    <row r="37" spans="1:12" ht="15" customHeight="1" x14ac:dyDescent="0.25"/>
    <row r="38" spans="1:12" ht="15" customHeight="1" x14ac:dyDescent="0.25">
      <c r="B38" s="184"/>
      <c r="C38" s="184"/>
      <c r="D38" s="183"/>
      <c r="E38" s="183"/>
    </row>
    <row r="39" spans="1:12" ht="15" customHeight="1" x14ac:dyDescent="0.25">
      <c r="B39" s="188"/>
      <c r="E39" s="189"/>
      <c r="K39" s="176"/>
      <c r="L39" s="176"/>
    </row>
    <row r="40" spans="1:12" ht="54.95" customHeight="1" x14ac:dyDescent="0.25">
      <c r="B40" s="195"/>
      <c r="C40" s="192"/>
      <c r="D40" s="193"/>
      <c r="E40" s="194"/>
      <c r="F40" s="187"/>
    </row>
    <row r="41" spans="1:12" ht="30" customHeight="1" x14ac:dyDescent="0.25">
      <c r="B41" s="191"/>
      <c r="E41" s="177"/>
    </row>
    <row r="42" spans="1:12" ht="15" customHeight="1" x14ac:dyDescent="0.25"/>
    <row r="43" spans="1:12" ht="15" customHeight="1" x14ac:dyDescent="0.25"/>
    <row r="44" spans="1:12" ht="15" customHeight="1" x14ac:dyDescent="0.25"/>
    <row r="45" spans="1:12" ht="15" customHeight="1" x14ac:dyDescent="0.25"/>
    <row r="46" spans="1:12" ht="15" customHeight="1" x14ac:dyDescent="0.25">
      <c r="A46" s="189"/>
      <c r="B46" s="188"/>
      <c r="C46" s="188"/>
      <c r="D46" s="189"/>
      <c r="E46" s="189"/>
      <c r="F46" s="189"/>
      <c r="G46" s="189"/>
    </row>
    <row r="47" spans="1:12" ht="15" customHeight="1" x14ac:dyDescent="0.25"/>
    <row r="48" spans="1:12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spans="2:5" ht="15" customHeight="1" x14ac:dyDescent="0.25"/>
    <row r="66" spans="2:5" ht="15" customHeight="1" x14ac:dyDescent="0.25"/>
    <row r="67" spans="2:5" ht="15" customHeight="1" x14ac:dyDescent="0.25"/>
    <row r="68" spans="2:5" ht="15" customHeight="1" x14ac:dyDescent="0.25"/>
    <row r="69" spans="2:5" ht="15" customHeight="1" x14ac:dyDescent="0.25"/>
    <row r="70" spans="2:5" ht="15" customHeight="1" x14ac:dyDescent="0.25"/>
    <row r="71" spans="2:5" ht="15" customHeight="1" x14ac:dyDescent="0.25"/>
    <row r="72" spans="2:5" ht="15" customHeight="1" x14ac:dyDescent="0.25"/>
    <row r="73" spans="2:5" ht="15" customHeight="1" x14ac:dyDescent="0.25"/>
    <row r="74" spans="2:5" ht="15" customHeight="1" x14ac:dyDescent="0.25"/>
    <row r="75" spans="2:5" ht="15" customHeight="1" x14ac:dyDescent="0.25"/>
    <row r="76" spans="2:5" ht="15" customHeight="1" x14ac:dyDescent="0.25"/>
    <row r="77" spans="2:5" ht="15" customHeight="1" x14ac:dyDescent="0.25"/>
    <row r="78" spans="2:5" ht="15" customHeight="1" x14ac:dyDescent="0.25"/>
    <row r="79" spans="2:5" ht="15" customHeight="1" x14ac:dyDescent="0.25">
      <c r="B79" s="184"/>
      <c r="C79" s="184"/>
      <c r="D79" s="183"/>
      <c r="E79" s="183"/>
    </row>
    <row r="80" spans="2:5" ht="15" customHeight="1" x14ac:dyDescent="0.25">
      <c r="B80" s="185"/>
      <c r="E80" s="186"/>
    </row>
    <row r="81" spans="1:7" ht="15" customHeight="1" x14ac:dyDescent="0.25">
      <c r="B81" s="188"/>
      <c r="E81" s="189"/>
    </row>
    <row r="82" spans="1:7" ht="54.95" customHeight="1" x14ac:dyDescent="0.25">
      <c r="B82" s="195"/>
      <c r="E82" s="194"/>
    </row>
    <row r="83" spans="1:7" ht="30" customHeight="1" x14ac:dyDescent="0.25">
      <c r="B83" s="196"/>
      <c r="C83" s="184"/>
      <c r="D83" s="183"/>
      <c r="E83" s="197"/>
    </row>
    <row r="84" spans="1:7" ht="15" customHeight="1" x14ac:dyDescent="0.25">
      <c r="B84" s="185"/>
      <c r="E84" s="186"/>
    </row>
    <row r="85" spans="1:7" ht="15" customHeight="1" x14ac:dyDescent="0.25"/>
    <row r="86" spans="1:7" ht="15" customHeight="1" x14ac:dyDescent="0.25"/>
    <row r="87" spans="1:7" ht="15" customHeight="1" x14ac:dyDescent="0.25"/>
    <row r="88" spans="1:7" ht="15" customHeight="1" x14ac:dyDescent="0.25">
      <c r="A88" s="189"/>
      <c r="B88" s="188"/>
      <c r="C88" s="188"/>
      <c r="D88" s="189"/>
      <c r="E88" s="189"/>
      <c r="F88" s="189"/>
      <c r="G88" s="189"/>
    </row>
    <row r="89" spans="1:7" ht="15" customHeight="1" x14ac:dyDescent="0.25"/>
    <row r="90" spans="1:7" ht="15" customHeight="1" x14ac:dyDescent="0.25"/>
    <row r="91" spans="1:7" ht="15" customHeight="1" x14ac:dyDescent="0.25"/>
    <row r="92" spans="1:7" ht="15" customHeight="1" x14ac:dyDescent="0.25"/>
    <row r="93" spans="1:7" ht="15" customHeight="1" x14ac:dyDescent="0.25"/>
    <row r="94" spans="1:7" ht="15" customHeight="1" x14ac:dyDescent="0.25"/>
    <row r="95" spans="1:7" ht="15" customHeight="1" x14ac:dyDescent="0.25"/>
    <row r="96" spans="1:7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spans="2:5" ht="15" customHeight="1" x14ac:dyDescent="0.25"/>
    <row r="114" spans="2:5" ht="15" customHeight="1" x14ac:dyDescent="0.25"/>
    <row r="115" spans="2:5" ht="15" customHeight="1" x14ac:dyDescent="0.25"/>
    <row r="116" spans="2:5" ht="15" customHeight="1" x14ac:dyDescent="0.25"/>
    <row r="117" spans="2:5" ht="15" customHeight="1" x14ac:dyDescent="0.25">
      <c r="B117" s="184"/>
      <c r="C117" s="184"/>
      <c r="D117" s="183"/>
      <c r="E117" s="183"/>
    </row>
    <row r="118" spans="2:5" ht="15" customHeight="1" x14ac:dyDescent="0.25">
      <c r="B118" s="184"/>
      <c r="C118" s="184"/>
      <c r="D118" s="183"/>
      <c r="E118" s="183"/>
    </row>
    <row r="119" spans="2:5" ht="15" customHeight="1" x14ac:dyDescent="0.25"/>
    <row r="120" spans="2:5" ht="15" customHeight="1" x14ac:dyDescent="0.25">
      <c r="B120" s="184"/>
      <c r="C120" s="184"/>
      <c r="D120" s="183"/>
      <c r="E120" s="183"/>
    </row>
    <row r="121" spans="2:5" ht="15" customHeight="1" x14ac:dyDescent="0.25">
      <c r="B121" s="185"/>
      <c r="E121" s="186"/>
    </row>
    <row r="122" spans="2:5" ht="15" customHeight="1" x14ac:dyDescent="0.25">
      <c r="B122" s="190"/>
      <c r="C122" s="190"/>
      <c r="D122" s="180"/>
      <c r="E122" s="180"/>
    </row>
    <row r="123" spans="2:5" ht="15" customHeight="1" x14ac:dyDescent="0.25">
      <c r="B123" s="188"/>
      <c r="E123" s="189"/>
    </row>
    <row r="124" spans="2:5" ht="54.95" customHeight="1" x14ac:dyDescent="0.25">
      <c r="B124" s="195"/>
      <c r="E124" s="194"/>
    </row>
    <row r="125" spans="2:5" ht="30" customHeight="1" x14ac:dyDescent="0.25">
      <c r="B125" s="190"/>
      <c r="E125" s="180"/>
    </row>
    <row r="126" spans="2:5" ht="15" customHeight="1" x14ac:dyDescent="0.25"/>
    <row r="127" spans="2:5" ht="15" customHeight="1" x14ac:dyDescent="0.25"/>
    <row r="128" spans="2:5" ht="15" customHeight="1" x14ac:dyDescent="0.25"/>
    <row r="129" spans="1:7" ht="15" customHeight="1" x14ac:dyDescent="0.25"/>
    <row r="130" spans="1:7" ht="15" customHeight="1" x14ac:dyDescent="0.25">
      <c r="A130" s="189"/>
      <c r="B130" s="188"/>
      <c r="C130" s="188"/>
      <c r="D130" s="189"/>
      <c r="E130" s="189"/>
      <c r="F130" s="189"/>
      <c r="G130" s="189"/>
    </row>
    <row r="131" spans="1:7" ht="15" customHeight="1" x14ac:dyDescent="0.25"/>
    <row r="132" spans="1:7" ht="15" customHeight="1" x14ac:dyDescent="0.25"/>
    <row r="133" spans="1:7" ht="15" customHeight="1" x14ac:dyDescent="0.25"/>
    <row r="134" spans="1:7" ht="15" customHeight="1" x14ac:dyDescent="0.25"/>
    <row r="135" spans="1:7" ht="15" customHeight="1" x14ac:dyDescent="0.25"/>
    <row r="136" spans="1:7" ht="15" customHeight="1" x14ac:dyDescent="0.25"/>
    <row r="137" spans="1:7" ht="15" customHeight="1" x14ac:dyDescent="0.25"/>
    <row r="138" spans="1:7" ht="15" customHeight="1" x14ac:dyDescent="0.25"/>
    <row r="139" spans="1:7" ht="15" customHeight="1" x14ac:dyDescent="0.25"/>
    <row r="140" spans="1:7" ht="15" customHeight="1" x14ac:dyDescent="0.25"/>
    <row r="141" spans="1:7" ht="15" customHeight="1" x14ac:dyDescent="0.25"/>
    <row r="142" spans="1:7" ht="15" customHeight="1" x14ac:dyDescent="0.25"/>
    <row r="143" spans="1:7" ht="15" customHeight="1" x14ac:dyDescent="0.25"/>
    <row r="144" spans="1:7" ht="15" customHeight="1" x14ac:dyDescent="0.25"/>
    <row r="145" spans="2:5" ht="15" customHeight="1" x14ac:dyDescent="0.25"/>
    <row r="146" spans="2:5" ht="15" customHeight="1" x14ac:dyDescent="0.25"/>
    <row r="147" spans="2:5" ht="15" customHeight="1" x14ac:dyDescent="0.25"/>
    <row r="148" spans="2:5" ht="15" customHeight="1" x14ac:dyDescent="0.25"/>
    <row r="149" spans="2:5" ht="15" customHeight="1" x14ac:dyDescent="0.25"/>
    <row r="150" spans="2:5" ht="15" customHeight="1" x14ac:dyDescent="0.25"/>
    <row r="151" spans="2:5" ht="15" customHeight="1" x14ac:dyDescent="0.25"/>
    <row r="152" spans="2:5" ht="15" customHeight="1" x14ac:dyDescent="0.25"/>
    <row r="153" spans="2:5" ht="15" customHeight="1" x14ac:dyDescent="0.25"/>
    <row r="154" spans="2:5" ht="15" customHeight="1" x14ac:dyDescent="0.25"/>
    <row r="155" spans="2:5" ht="15" customHeight="1" x14ac:dyDescent="0.25"/>
    <row r="156" spans="2:5" ht="15" customHeight="1" x14ac:dyDescent="0.25"/>
    <row r="157" spans="2:5" ht="15" customHeight="1" x14ac:dyDescent="0.25"/>
    <row r="158" spans="2:5" ht="15" customHeight="1" x14ac:dyDescent="0.25">
      <c r="B158" s="198"/>
      <c r="C158" s="198"/>
      <c r="D158" s="199"/>
      <c r="E158" s="199"/>
    </row>
    <row r="159" spans="2:5" ht="15" customHeight="1" x14ac:dyDescent="0.25">
      <c r="B159" s="198"/>
      <c r="C159" s="198"/>
      <c r="D159" s="199"/>
      <c r="E159" s="199"/>
    </row>
    <row r="160" spans="2:5" ht="15" customHeight="1" x14ac:dyDescent="0.25"/>
    <row r="161" spans="1:7" ht="15" customHeight="1" x14ac:dyDescent="0.25">
      <c r="B161" s="184"/>
      <c r="C161" s="184"/>
      <c r="D161" s="183"/>
      <c r="E161" s="183"/>
    </row>
    <row r="162" spans="1:7" ht="15" customHeight="1" x14ac:dyDescent="0.25">
      <c r="B162" s="185"/>
      <c r="E162" s="186"/>
    </row>
    <row r="163" spans="1:7" ht="15" customHeight="1" x14ac:dyDescent="0.25"/>
    <row r="164" spans="1:7" ht="15" customHeight="1" x14ac:dyDescent="0.25"/>
    <row r="165" spans="1:7" ht="15" customHeight="1" x14ac:dyDescent="0.25">
      <c r="B165" s="188"/>
      <c r="E165" s="189"/>
    </row>
    <row r="166" spans="1:7" ht="54.95" customHeight="1" x14ac:dyDescent="0.25">
      <c r="B166" s="195"/>
      <c r="E166" s="194"/>
    </row>
    <row r="167" spans="1:7" ht="30" customHeight="1" x14ac:dyDescent="0.25">
      <c r="B167" s="190"/>
      <c r="E167" s="180"/>
    </row>
    <row r="168" spans="1:7" ht="15" customHeight="1" x14ac:dyDescent="0.25"/>
    <row r="169" spans="1:7" ht="15" customHeight="1" x14ac:dyDescent="0.25"/>
    <row r="170" spans="1:7" ht="15" customHeight="1" x14ac:dyDescent="0.25"/>
    <row r="171" spans="1:7" ht="15" customHeight="1" x14ac:dyDescent="0.25"/>
    <row r="172" spans="1:7" ht="15" customHeight="1" x14ac:dyDescent="0.25">
      <c r="A172" s="189"/>
      <c r="B172" s="188"/>
      <c r="C172" s="188"/>
      <c r="D172" s="189"/>
      <c r="E172" s="189"/>
      <c r="F172" s="189"/>
      <c r="G172" s="189"/>
    </row>
    <row r="173" spans="1:7" ht="15" customHeight="1" x14ac:dyDescent="0.25"/>
    <row r="174" spans="1:7" ht="15" customHeight="1" x14ac:dyDescent="0.25"/>
    <row r="175" spans="1:7" ht="15" customHeight="1" x14ac:dyDescent="0.25"/>
    <row r="176" spans="1:7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spans="2:5" ht="15" customHeight="1" x14ac:dyDescent="0.25"/>
    <row r="194" spans="2:5" ht="15" customHeight="1" x14ac:dyDescent="0.25"/>
    <row r="195" spans="2:5" ht="15" customHeight="1" x14ac:dyDescent="0.25"/>
    <row r="196" spans="2:5" ht="15" customHeight="1" x14ac:dyDescent="0.25"/>
    <row r="197" spans="2:5" ht="15" customHeight="1" x14ac:dyDescent="0.25"/>
    <row r="198" spans="2:5" ht="15" customHeight="1" x14ac:dyDescent="0.25"/>
    <row r="199" spans="2:5" ht="15" customHeight="1" x14ac:dyDescent="0.25"/>
    <row r="200" spans="2:5" ht="15" customHeight="1" x14ac:dyDescent="0.25"/>
    <row r="201" spans="2:5" ht="15" customHeight="1" x14ac:dyDescent="0.25"/>
    <row r="202" spans="2:5" ht="15" customHeight="1" x14ac:dyDescent="0.25">
      <c r="B202" s="184"/>
      <c r="C202" s="184"/>
      <c r="D202" s="183"/>
      <c r="E202" s="183"/>
    </row>
    <row r="203" spans="2:5" ht="15" customHeight="1" x14ac:dyDescent="0.25">
      <c r="B203" s="185"/>
      <c r="E203" s="186"/>
    </row>
    <row r="204" spans="2:5" ht="15" customHeight="1" x14ac:dyDescent="0.25"/>
    <row r="205" spans="2:5" ht="15" customHeight="1" x14ac:dyDescent="0.25"/>
    <row r="206" spans="2:5" ht="15" customHeight="1" x14ac:dyDescent="0.25"/>
    <row r="207" spans="2:5" ht="15" customHeight="1" x14ac:dyDescent="0.25">
      <c r="B207" s="188"/>
      <c r="E207" s="189"/>
    </row>
    <row r="208" spans="2:5" ht="54.95" customHeight="1" x14ac:dyDescent="0.25">
      <c r="B208" s="195"/>
      <c r="E208" s="194"/>
    </row>
    <row r="209" spans="1:7" ht="30" customHeight="1" x14ac:dyDescent="0.25">
      <c r="B209" s="190"/>
      <c r="E209" s="180"/>
    </row>
    <row r="210" spans="1:7" ht="15" customHeight="1" x14ac:dyDescent="0.25"/>
    <row r="211" spans="1:7" ht="15" customHeight="1" x14ac:dyDescent="0.25"/>
    <row r="212" spans="1:7" ht="15" customHeight="1" x14ac:dyDescent="0.25"/>
    <row r="213" spans="1:7" ht="15" customHeight="1" x14ac:dyDescent="0.25"/>
    <row r="214" spans="1:7" ht="15" customHeight="1" x14ac:dyDescent="0.25">
      <c r="A214" s="189"/>
      <c r="B214" s="188"/>
      <c r="C214" s="188"/>
      <c r="D214" s="189"/>
      <c r="E214" s="189"/>
      <c r="F214" s="189"/>
      <c r="G214" s="189"/>
    </row>
    <row r="215" spans="1:7" ht="15" customHeight="1" x14ac:dyDescent="0.25"/>
    <row r="216" spans="1:7" ht="15" customHeight="1" x14ac:dyDescent="0.25"/>
    <row r="217" spans="1:7" ht="15" customHeight="1" x14ac:dyDescent="0.25"/>
    <row r="218" spans="1:7" ht="15" customHeight="1" x14ac:dyDescent="0.25"/>
    <row r="219" spans="1:7" ht="15" customHeight="1" x14ac:dyDescent="0.25"/>
    <row r="220" spans="1:7" ht="15" customHeight="1" x14ac:dyDescent="0.25"/>
    <row r="221" spans="1:7" ht="15" customHeight="1" x14ac:dyDescent="0.25"/>
    <row r="222" spans="1:7" ht="15" customHeight="1" x14ac:dyDescent="0.25"/>
    <row r="223" spans="1:7" ht="15" customHeight="1" x14ac:dyDescent="0.25"/>
    <row r="224" spans="1:7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spans="1:7" ht="15" customHeight="1" x14ac:dyDescent="0.25"/>
    <row r="242" spans="1:7" ht="15" customHeight="1" x14ac:dyDescent="0.25"/>
    <row r="243" spans="1:7" ht="15" customHeight="1" x14ac:dyDescent="0.25">
      <c r="B243" s="184"/>
      <c r="C243" s="184"/>
      <c r="D243" s="183"/>
      <c r="E243" s="183"/>
    </row>
    <row r="244" spans="1:7" ht="15" customHeight="1" x14ac:dyDescent="0.25">
      <c r="B244" s="185"/>
      <c r="E244" s="186"/>
    </row>
    <row r="245" spans="1:7" ht="15" customHeight="1" x14ac:dyDescent="0.25"/>
    <row r="246" spans="1:7" ht="15" customHeight="1" x14ac:dyDescent="0.25"/>
    <row r="247" spans="1:7" ht="15" customHeight="1" x14ac:dyDescent="0.25"/>
    <row r="248" spans="1:7" ht="15" customHeight="1" x14ac:dyDescent="0.25"/>
    <row r="249" spans="1:7" ht="15" customHeight="1" x14ac:dyDescent="0.25">
      <c r="B249" s="188"/>
      <c r="E249" s="189"/>
    </row>
    <row r="250" spans="1:7" ht="54.95" customHeight="1" x14ac:dyDescent="0.25">
      <c r="B250" s="195"/>
      <c r="E250" s="194"/>
    </row>
    <row r="251" spans="1:7" ht="30" customHeight="1" x14ac:dyDescent="0.25">
      <c r="B251" s="190"/>
      <c r="E251" s="180"/>
    </row>
    <row r="252" spans="1:7" ht="15" customHeight="1" x14ac:dyDescent="0.25"/>
    <row r="253" spans="1:7" ht="15" customHeight="1" x14ac:dyDescent="0.25"/>
    <row r="254" spans="1:7" ht="15" customHeight="1" x14ac:dyDescent="0.25"/>
    <row r="255" spans="1:7" ht="15" customHeight="1" x14ac:dyDescent="0.25"/>
    <row r="256" spans="1:7" ht="15" customHeight="1" x14ac:dyDescent="0.25">
      <c r="A256" s="189"/>
      <c r="B256" s="188"/>
      <c r="C256" s="188"/>
      <c r="D256" s="189"/>
      <c r="E256" s="189"/>
      <c r="F256" s="189"/>
      <c r="G256" s="189"/>
    </row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spans="2:8" ht="15" customHeight="1" x14ac:dyDescent="0.25"/>
    <row r="274" spans="2:8" ht="15" customHeight="1" x14ac:dyDescent="0.25"/>
    <row r="275" spans="2:8" ht="15" customHeight="1" x14ac:dyDescent="0.25"/>
    <row r="276" spans="2:8" ht="15" customHeight="1" x14ac:dyDescent="0.25"/>
    <row r="277" spans="2:8" ht="15" customHeight="1" x14ac:dyDescent="0.25"/>
    <row r="278" spans="2:8" ht="15" customHeight="1" x14ac:dyDescent="0.25"/>
    <row r="279" spans="2:8" ht="15" customHeight="1" x14ac:dyDescent="0.25"/>
    <row r="280" spans="2:8" ht="15" customHeight="1" x14ac:dyDescent="0.25"/>
    <row r="281" spans="2:8" ht="15" customHeight="1" x14ac:dyDescent="0.25"/>
    <row r="282" spans="2:8" ht="15" customHeight="1" x14ac:dyDescent="0.25"/>
    <row r="283" spans="2:8" ht="15" customHeight="1" x14ac:dyDescent="0.25">
      <c r="H283" s="154"/>
    </row>
    <row r="284" spans="2:8" ht="15" customHeight="1" x14ac:dyDescent="0.25">
      <c r="B284" s="198"/>
      <c r="C284" s="198"/>
      <c r="D284" s="199"/>
      <c r="E284" s="199"/>
      <c r="H284" s="154"/>
    </row>
    <row r="285" spans="2:8" ht="15" customHeight="1" x14ac:dyDescent="0.25">
      <c r="B285" s="200"/>
      <c r="E285" s="201"/>
      <c r="H285" s="154"/>
    </row>
    <row r="286" spans="2:8" ht="15" customHeight="1" x14ac:dyDescent="0.25"/>
    <row r="287" spans="2:8" ht="15" customHeight="1" x14ac:dyDescent="0.25"/>
    <row r="288" spans="2:8" ht="15" customHeight="1" x14ac:dyDescent="0.25"/>
    <row r="289" spans="1:7" ht="15" customHeight="1" x14ac:dyDescent="0.25"/>
    <row r="290" spans="1:7" ht="15" customHeight="1" x14ac:dyDescent="0.25"/>
    <row r="291" spans="1:7" ht="15" customHeight="1" x14ac:dyDescent="0.25">
      <c r="B291" s="188"/>
      <c r="E291" s="189"/>
    </row>
    <row r="292" spans="1:7" ht="54.95" customHeight="1" x14ac:dyDescent="0.25">
      <c r="B292" s="195"/>
      <c r="E292" s="194"/>
    </row>
    <row r="293" spans="1:7" ht="30" customHeight="1" x14ac:dyDescent="0.25">
      <c r="B293" s="190"/>
      <c r="E293" s="180"/>
    </row>
    <row r="294" spans="1:7" ht="15" customHeight="1" x14ac:dyDescent="0.25"/>
    <row r="295" spans="1:7" ht="15" customHeight="1" x14ac:dyDescent="0.25"/>
    <row r="296" spans="1:7" ht="15" customHeight="1" x14ac:dyDescent="0.25"/>
    <row r="297" spans="1:7" ht="15" customHeight="1" x14ac:dyDescent="0.25"/>
    <row r="298" spans="1:7" ht="15" customHeight="1" x14ac:dyDescent="0.25">
      <c r="A298" s="189"/>
      <c r="B298" s="188"/>
      <c r="C298" s="188"/>
      <c r="D298" s="189"/>
      <c r="E298" s="189"/>
      <c r="F298" s="189"/>
      <c r="G298" s="189"/>
    </row>
    <row r="299" spans="1:7" ht="15" customHeight="1" x14ac:dyDescent="0.25"/>
    <row r="300" spans="1:7" ht="15" customHeight="1" x14ac:dyDescent="0.25"/>
    <row r="301" spans="1:7" ht="15" customHeight="1" x14ac:dyDescent="0.25"/>
    <row r="302" spans="1:7" ht="15" customHeight="1" x14ac:dyDescent="0.25"/>
    <row r="303" spans="1:7" ht="15" customHeight="1" x14ac:dyDescent="0.25"/>
    <row r="304" spans="1:7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spans="2:10" ht="15" customHeight="1" x14ac:dyDescent="0.25"/>
    <row r="322" spans="2:10" ht="15" customHeight="1" x14ac:dyDescent="0.25"/>
    <row r="323" spans="2:10" ht="15" customHeight="1" x14ac:dyDescent="0.25">
      <c r="H323" s="154"/>
      <c r="I323" s="154"/>
      <c r="J323" s="154"/>
    </row>
    <row r="324" spans="2:10" ht="15" customHeight="1" x14ac:dyDescent="0.25">
      <c r="H324" s="154"/>
      <c r="I324" s="154"/>
      <c r="J324" s="154"/>
    </row>
    <row r="325" spans="2:10" ht="15" customHeight="1" x14ac:dyDescent="0.25">
      <c r="B325" s="198"/>
      <c r="C325" s="198"/>
      <c r="D325" s="199"/>
      <c r="E325" s="199"/>
      <c r="H325" s="154"/>
      <c r="I325" s="154"/>
      <c r="J325" s="154"/>
    </row>
    <row r="326" spans="2:10" ht="15" customHeight="1" x14ac:dyDescent="0.25">
      <c r="B326" s="200"/>
      <c r="E326" s="201"/>
      <c r="H326" s="154"/>
      <c r="I326" s="154"/>
      <c r="J326" s="154"/>
    </row>
    <row r="327" spans="2:10" ht="15" customHeight="1" x14ac:dyDescent="0.25">
      <c r="H327" s="154"/>
      <c r="I327" s="154"/>
      <c r="J327" s="154"/>
    </row>
    <row r="328" spans="2:10" ht="15" customHeight="1" x14ac:dyDescent="0.25">
      <c r="H328" s="154"/>
      <c r="I328" s="154"/>
      <c r="J328" s="154"/>
    </row>
    <row r="329" spans="2:10" ht="15" customHeight="1" x14ac:dyDescent="0.25"/>
    <row r="330" spans="2:10" ht="15" customHeight="1" x14ac:dyDescent="0.25"/>
    <row r="331" spans="2:10" ht="15" customHeight="1" x14ac:dyDescent="0.25"/>
    <row r="332" spans="2:10" ht="15" customHeight="1" x14ac:dyDescent="0.25"/>
    <row r="333" spans="2:10" ht="15" customHeight="1" x14ac:dyDescent="0.25">
      <c r="B333" s="188"/>
      <c r="E333" s="189"/>
    </row>
    <row r="334" spans="2:10" ht="54.95" customHeight="1" x14ac:dyDescent="0.25">
      <c r="B334" s="195"/>
      <c r="E334" s="194"/>
    </row>
    <row r="335" spans="2:10" ht="30" customHeight="1" x14ac:dyDescent="0.25">
      <c r="B335" s="190"/>
      <c r="E335" s="180"/>
    </row>
    <row r="336" spans="2:10" ht="15" customHeight="1" x14ac:dyDescent="0.25"/>
    <row r="337" spans="1:7" ht="15" customHeight="1" x14ac:dyDescent="0.25"/>
    <row r="338" spans="1:7" ht="15" customHeight="1" x14ac:dyDescent="0.25"/>
    <row r="339" spans="1:7" ht="15" customHeight="1" x14ac:dyDescent="0.25"/>
    <row r="340" spans="1:7" ht="15" customHeight="1" x14ac:dyDescent="0.25">
      <c r="A340" s="189"/>
      <c r="B340" s="188"/>
      <c r="C340" s="188"/>
      <c r="D340" s="189"/>
      <c r="E340" s="189"/>
      <c r="F340" s="189"/>
      <c r="G340" s="189"/>
    </row>
    <row r="341" spans="1:7" ht="15" customHeight="1" x14ac:dyDescent="0.25"/>
    <row r="342" spans="1:7" ht="15" customHeight="1" x14ac:dyDescent="0.25"/>
    <row r="343" spans="1:7" ht="15" customHeight="1" x14ac:dyDescent="0.25"/>
    <row r="344" spans="1:7" ht="15" customHeight="1" x14ac:dyDescent="0.25"/>
    <row r="345" spans="1:7" ht="15" customHeight="1" x14ac:dyDescent="0.25"/>
    <row r="346" spans="1:7" ht="15" customHeight="1" x14ac:dyDescent="0.25"/>
    <row r="347" spans="1:7" ht="15" customHeight="1" x14ac:dyDescent="0.25"/>
    <row r="348" spans="1:7" ht="15" customHeight="1" x14ac:dyDescent="0.25"/>
    <row r="349" spans="1:7" ht="15" customHeight="1" x14ac:dyDescent="0.25"/>
    <row r="350" spans="1:7" ht="15" customHeight="1" x14ac:dyDescent="0.25"/>
    <row r="351" spans="1:7" ht="15" customHeight="1" x14ac:dyDescent="0.25"/>
    <row r="352" spans="1:7" ht="15" customHeight="1" x14ac:dyDescent="0.25"/>
    <row r="353" spans="2:9" ht="15" customHeight="1" x14ac:dyDescent="0.25"/>
    <row r="354" spans="2:9" ht="15" customHeight="1" x14ac:dyDescent="0.25"/>
    <row r="355" spans="2:9" ht="15" customHeight="1" x14ac:dyDescent="0.25"/>
    <row r="356" spans="2:9" ht="15" customHeight="1" x14ac:dyDescent="0.25"/>
    <row r="357" spans="2:9" ht="15" customHeight="1" x14ac:dyDescent="0.25"/>
    <row r="358" spans="2:9" ht="15" customHeight="1" x14ac:dyDescent="0.25"/>
    <row r="359" spans="2:9" ht="15" customHeight="1" x14ac:dyDescent="0.25"/>
    <row r="360" spans="2:9" ht="15" customHeight="1" x14ac:dyDescent="0.25"/>
    <row r="361" spans="2:9" ht="15" customHeight="1" x14ac:dyDescent="0.25"/>
    <row r="362" spans="2:9" ht="15" customHeight="1" x14ac:dyDescent="0.25"/>
    <row r="363" spans="2:9" ht="15" customHeight="1" x14ac:dyDescent="0.25"/>
    <row r="364" spans="2:9" ht="15" customHeight="1" x14ac:dyDescent="0.25">
      <c r="H364" s="154"/>
      <c r="I364" s="154"/>
    </row>
    <row r="365" spans="2:9" ht="15" customHeight="1" x14ac:dyDescent="0.25">
      <c r="H365" s="154"/>
      <c r="I365" s="154"/>
    </row>
    <row r="366" spans="2:9" ht="15" customHeight="1" x14ac:dyDescent="0.25">
      <c r="B366" s="198"/>
      <c r="C366" s="198"/>
      <c r="D366" s="199"/>
      <c r="E366" s="199"/>
      <c r="H366" s="154"/>
      <c r="I366" s="154"/>
    </row>
    <row r="367" spans="2:9" ht="15" customHeight="1" x14ac:dyDescent="0.25">
      <c r="B367" s="200"/>
      <c r="E367" s="201"/>
      <c r="H367" s="154"/>
      <c r="I367" s="154"/>
    </row>
    <row r="368" spans="2:9" ht="15" customHeight="1" x14ac:dyDescent="0.25">
      <c r="H368" s="154"/>
      <c r="I368" s="154"/>
    </row>
    <row r="369" spans="1:9" ht="15" customHeight="1" x14ac:dyDescent="0.25">
      <c r="H369" s="154"/>
      <c r="I369" s="154"/>
    </row>
    <row r="370" spans="1:9" ht="15" customHeight="1" x14ac:dyDescent="0.25">
      <c r="H370" s="154"/>
      <c r="I370" s="154"/>
    </row>
    <row r="371" spans="1:9" ht="15" customHeight="1" x14ac:dyDescent="0.25">
      <c r="H371" s="154"/>
      <c r="I371" s="154"/>
    </row>
    <row r="372" spans="1:9" ht="15" customHeight="1" x14ac:dyDescent="0.25"/>
    <row r="373" spans="1:9" ht="15" customHeight="1" x14ac:dyDescent="0.25"/>
    <row r="374" spans="1:9" ht="15" customHeight="1" x14ac:dyDescent="0.25"/>
    <row r="375" spans="1:9" ht="15" customHeight="1" x14ac:dyDescent="0.25">
      <c r="B375" s="188"/>
      <c r="E375" s="189"/>
    </row>
    <row r="376" spans="1:9" ht="54.95" customHeight="1" x14ac:dyDescent="0.25">
      <c r="B376" s="195"/>
      <c r="E376" s="194"/>
    </row>
    <row r="377" spans="1:9" ht="30" customHeight="1" x14ac:dyDescent="0.25">
      <c r="B377" s="190"/>
      <c r="E377" s="180"/>
    </row>
    <row r="378" spans="1:9" ht="15" customHeight="1" x14ac:dyDescent="0.25"/>
    <row r="379" spans="1:9" ht="15" customHeight="1" x14ac:dyDescent="0.25"/>
    <row r="380" spans="1:9" ht="15" customHeight="1" x14ac:dyDescent="0.25"/>
    <row r="381" spans="1:9" ht="15" customHeight="1" x14ac:dyDescent="0.25"/>
    <row r="382" spans="1:9" ht="15" customHeight="1" x14ac:dyDescent="0.25">
      <c r="A382" s="189"/>
      <c r="B382" s="188"/>
      <c r="C382" s="188"/>
      <c r="D382" s="189"/>
      <c r="E382" s="189"/>
      <c r="F382" s="189"/>
      <c r="G382" s="189"/>
    </row>
    <row r="383" spans="1:9" ht="15" customHeight="1" x14ac:dyDescent="0.25"/>
    <row r="384" spans="1:9" ht="15" customHeight="1" x14ac:dyDescent="0.25"/>
    <row r="385" spans="8:11" ht="15" customHeight="1" x14ac:dyDescent="0.25"/>
    <row r="386" spans="8:11" ht="15" customHeight="1" x14ac:dyDescent="0.25"/>
    <row r="387" spans="8:11" ht="15" customHeight="1" x14ac:dyDescent="0.25"/>
    <row r="388" spans="8:11" ht="15" customHeight="1" x14ac:dyDescent="0.25"/>
    <row r="389" spans="8:11" ht="15" customHeight="1" x14ac:dyDescent="0.25"/>
    <row r="390" spans="8:11" ht="15" customHeight="1" x14ac:dyDescent="0.25"/>
    <row r="391" spans="8:11" ht="15" customHeight="1" x14ac:dyDescent="0.25"/>
    <row r="392" spans="8:11" ht="15" customHeight="1" x14ac:dyDescent="0.25"/>
    <row r="393" spans="8:11" ht="15" customHeight="1" x14ac:dyDescent="0.25"/>
    <row r="394" spans="8:11" ht="15" customHeight="1" x14ac:dyDescent="0.25"/>
    <row r="395" spans="8:11" ht="15" customHeight="1" x14ac:dyDescent="0.25"/>
    <row r="396" spans="8:11" ht="15" customHeight="1" x14ac:dyDescent="0.25"/>
    <row r="397" spans="8:11" ht="15" customHeight="1" x14ac:dyDescent="0.25">
      <c r="H397" s="154"/>
      <c r="I397" s="154"/>
      <c r="J397" s="154"/>
      <c r="K397" s="154"/>
    </row>
    <row r="398" spans="8:11" ht="15" customHeight="1" x14ac:dyDescent="0.25">
      <c r="H398" s="154"/>
      <c r="I398" s="154"/>
      <c r="J398" s="154"/>
      <c r="K398" s="154"/>
    </row>
    <row r="399" spans="8:11" ht="15" customHeight="1" x14ac:dyDescent="0.25">
      <c r="H399" s="154"/>
      <c r="I399" s="154"/>
      <c r="J399" s="154"/>
      <c r="K399" s="154"/>
    </row>
    <row r="400" spans="8:11" ht="15" customHeight="1" x14ac:dyDescent="0.25">
      <c r="H400" s="154"/>
      <c r="I400" s="154"/>
      <c r="J400" s="154"/>
      <c r="K400" s="154"/>
    </row>
    <row r="401" spans="2:11" ht="15" customHeight="1" x14ac:dyDescent="0.25">
      <c r="H401" s="154"/>
      <c r="I401" s="154"/>
      <c r="J401" s="154"/>
      <c r="K401" s="154"/>
    </row>
    <row r="402" spans="2:11" ht="15" customHeight="1" x14ac:dyDescent="0.25">
      <c r="H402" s="154"/>
      <c r="I402" s="154"/>
      <c r="J402" s="154"/>
      <c r="K402" s="154"/>
    </row>
    <row r="403" spans="2:11" ht="15" customHeight="1" x14ac:dyDescent="0.25">
      <c r="H403" s="154"/>
      <c r="I403" s="154"/>
      <c r="J403" s="154"/>
      <c r="K403" s="154"/>
    </row>
    <row r="404" spans="2:11" ht="15" customHeight="1" x14ac:dyDescent="0.25">
      <c r="H404" s="154"/>
      <c r="I404" s="154"/>
      <c r="J404" s="154"/>
      <c r="K404" s="154"/>
    </row>
    <row r="405" spans="2:11" ht="15" customHeight="1" x14ac:dyDescent="0.25">
      <c r="H405" s="154"/>
      <c r="I405" s="154"/>
      <c r="J405" s="154"/>
      <c r="K405" s="154"/>
    </row>
    <row r="406" spans="2:11" ht="15" customHeight="1" x14ac:dyDescent="0.25">
      <c r="H406" s="154"/>
      <c r="I406" s="154"/>
      <c r="J406" s="154"/>
      <c r="K406" s="154"/>
    </row>
    <row r="407" spans="2:11" ht="15" customHeight="1" x14ac:dyDescent="0.25">
      <c r="B407" s="198"/>
      <c r="C407" s="198"/>
      <c r="D407" s="199"/>
      <c r="E407" s="199"/>
      <c r="H407" s="154"/>
      <c r="I407" s="154"/>
      <c r="J407" s="154"/>
      <c r="K407" s="154"/>
    </row>
    <row r="408" spans="2:11" ht="15" customHeight="1" x14ac:dyDescent="0.25">
      <c r="B408" s="200"/>
      <c r="E408" s="201"/>
      <c r="H408" s="154"/>
      <c r="I408" s="154"/>
      <c r="J408" s="154"/>
      <c r="K408" s="154"/>
    </row>
    <row r="409" spans="2:11" ht="15" customHeight="1" x14ac:dyDescent="0.25">
      <c r="H409" s="154"/>
      <c r="I409" s="154"/>
      <c r="J409" s="154"/>
      <c r="K409" s="154"/>
    </row>
    <row r="410" spans="2:11" ht="15" customHeight="1" x14ac:dyDescent="0.25">
      <c r="H410" s="154"/>
      <c r="I410" s="154"/>
      <c r="J410" s="154"/>
      <c r="K410" s="154"/>
    </row>
    <row r="411" spans="2:11" ht="15" customHeight="1" x14ac:dyDescent="0.25">
      <c r="H411" s="154"/>
      <c r="I411" s="154"/>
      <c r="J411" s="154"/>
      <c r="K411" s="154"/>
    </row>
    <row r="412" spans="2:11" ht="15" customHeight="1" x14ac:dyDescent="0.25"/>
    <row r="413" spans="2:11" ht="15" customHeight="1" x14ac:dyDescent="0.25"/>
    <row r="414" spans="2:11" ht="15" customHeight="1" x14ac:dyDescent="0.25">
      <c r="B414" s="184"/>
      <c r="C414" s="184"/>
      <c r="D414" s="183"/>
      <c r="E414" s="183"/>
    </row>
    <row r="415" spans="2:11" ht="15" customHeight="1" x14ac:dyDescent="0.25"/>
    <row r="416" spans="2:11" ht="15" customHeight="1" x14ac:dyDescent="0.25"/>
    <row r="417" spans="1:7" ht="15" customHeight="1" x14ac:dyDescent="0.25">
      <c r="B417" s="188"/>
      <c r="E417" s="189"/>
    </row>
    <row r="418" spans="1:7" ht="54.95" customHeight="1" x14ac:dyDescent="0.25">
      <c r="B418" s="195"/>
      <c r="E418" s="194"/>
    </row>
    <row r="419" spans="1:7" ht="30" customHeight="1" x14ac:dyDescent="0.25">
      <c r="B419" s="190"/>
      <c r="E419" s="180"/>
    </row>
    <row r="420" spans="1:7" ht="15" customHeight="1" x14ac:dyDescent="0.25"/>
    <row r="421" spans="1:7" ht="15" customHeight="1" x14ac:dyDescent="0.25"/>
    <row r="422" spans="1:7" ht="15" customHeight="1" x14ac:dyDescent="0.25"/>
    <row r="423" spans="1:7" ht="15" customHeight="1" x14ac:dyDescent="0.25"/>
    <row r="424" spans="1:7" ht="15" customHeight="1" x14ac:dyDescent="0.25">
      <c r="A424" s="189"/>
      <c r="B424" s="188"/>
      <c r="C424" s="188"/>
      <c r="D424" s="189"/>
      <c r="E424" s="189"/>
      <c r="F424" s="189"/>
      <c r="G424" s="189"/>
    </row>
    <row r="425" spans="1:7" ht="15" customHeight="1" x14ac:dyDescent="0.25"/>
    <row r="426" spans="1:7" ht="15" customHeight="1" x14ac:dyDescent="0.25"/>
    <row r="427" spans="1:7" ht="15" customHeight="1" x14ac:dyDescent="0.25"/>
    <row r="428" spans="1:7" ht="15" customHeight="1" x14ac:dyDescent="0.25"/>
    <row r="429" spans="1:7" ht="15" customHeight="1" x14ac:dyDescent="0.25"/>
    <row r="430" spans="1:7" ht="15" customHeight="1" x14ac:dyDescent="0.25"/>
    <row r="431" spans="1:7" ht="15" customHeight="1" x14ac:dyDescent="0.25"/>
    <row r="432" spans="1:7" ht="15" customHeight="1" x14ac:dyDescent="0.25"/>
    <row r="433" spans="2:11" ht="15" customHeight="1" x14ac:dyDescent="0.25"/>
    <row r="434" spans="2:11" ht="15" customHeight="1" x14ac:dyDescent="0.25"/>
    <row r="435" spans="2:11" ht="15" customHeight="1" x14ac:dyDescent="0.25"/>
    <row r="436" spans="2:11" ht="15" customHeight="1" x14ac:dyDescent="0.25"/>
    <row r="437" spans="2:11" ht="15" customHeight="1" x14ac:dyDescent="0.25"/>
    <row r="438" spans="2:11" ht="15" customHeight="1" x14ac:dyDescent="0.25"/>
    <row r="439" spans="2:11" ht="15" customHeight="1" x14ac:dyDescent="0.25"/>
    <row r="440" spans="2:11" ht="15" customHeight="1" x14ac:dyDescent="0.25"/>
    <row r="441" spans="2:11" ht="15" customHeight="1" x14ac:dyDescent="0.25"/>
    <row r="442" spans="2:11" ht="15" customHeight="1" x14ac:dyDescent="0.25"/>
    <row r="443" spans="2:11" ht="15" customHeight="1" x14ac:dyDescent="0.25"/>
    <row r="444" spans="2:11" ht="15" customHeight="1" x14ac:dyDescent="0.25"/>
    <row r="445" spans="2:11" ht="15" customHeight="1" x14ac:dyDescent="0.25"/>
    <row r="446" spans="2:11" ht="15" customHeight="1" x14ac:dyDescent="0.25">
      <c r="H446" s="154"/>
      <c r="I446" s="154"/>
      <c r="J446" s="154"/>
      <c r="K446" s="154"/>
    </row>
    <row r="447" spans="2:11" ht="15" customHeight="1" x14ac:dyDescent="0.25">
      <c r="H447" s="154"/>
      <c r="I447" s="154"/>
      <c r="J447" s="154"/>
      <c r="K447" s="154"/>
    </row>
    <row r="448" spans="2:11" ht="15" customHeight="1" x14ac:dyDescent="0.25">
      <c r="B448" s="198"/>
      <c r="C448" s="198"/>
      <c r="D448" s="199"/>
      <c r="E448" s="199"/>
      <c r="H448" s="154"/>
      <c r="I448" s="154"/>
      <c r="J448" s="154"/>
      <c r="K448" s="154"/>
    </row>
    <row r="449" spans="2:11" ht="15" customHeight="1" x14ac:dyDescent="0.25">
      <c r="B449" s="200"/>
      <c r="E449" s="201"/>
      <c r="H449" s="154"/>
      <c r="I449" s="154"/>
      <c r="J449" s="154"/>
      <c r="K449" s="154"/>
    </row>
    <row r="450" spans="2:11" ht="15" customHeight="1" x14ac:dyDescent="0.25">
      <c r="H450" s="154"/>
      <c r="I450" s="154"/>
      <c r="J450" s="154"/>
      <c r="K450" s="154"/>
    </row>
    <row r="451" spans="2:11" ht="15" customHeight="1" x14ac:dyDescent="0.25">
      <c r="H451" s="154"/>
      <c r="I451" s="154"/>
      <c r="J451" s="154"/>
      <c r="K451" s="154"/>
    </row>
    <row r="452" spans="2:11" ht="15" customHeight="1" x14ac:dyDescent="0.25">
      <c r="H452" s="154"/>
      <c r="I452" s="154"/>
      <c r="J452" s="154"/>
      <c r="K452" s="154"/>
    </row>
    <row r="453" spans="2:11" ht="15" customHeight="1" x14ac:dyDescent="0.25"/>
    <row r="454" spans="2:11" ht="15" customHeight="1" x14ac:dyDescent="0.25"/>
    <row r="455" spans="2:11" ht="15" customHeight="1" x14ac:dyDescent="0.25"/>
    <row r="456" spans="2:11" ht="15" customHeight="1" x14ac:dyDescent="0.25">
      <c r="B456" s="184"/>
      <c r="C456" s="184"/>
      <c r="D456" s="183"/>
      <c r="E456" s="183"/>
    </row>
    <row r="457" spans="2:11" ht="15" customHeight="1" x14ac:dyDescent="0.25"/>
    <row r="458" spans="2:11" ht="15" customHeight="1" x14ac:dyDescent="0.25"/>
    <row r="459" spans="2:11" ht="15" customHeight="1" x14ac:dyDescent="0.25">
      <c r="B459" s="188"/>
      <c r="E459" s="189"/>
    </row>
    <row r="460" spans="2:11" ht="54.95" customHeight="1" x14ac:dyDescent="0.25">
      <c r="B460" s="195"/>
      <c r="E460" s="194"/>
    </row>
    <row r="461" spans="2:11" ht="30" customHeight="1" x14ac:dyDescent="0.25">
      <c r="B461" s="190"/>
      <c r="E461" s="180"/>
    </row>
    <row r="462" spans="2:11" ht="15" customHeight="1" x14ac:dyDescent="0.25"/>
    <row r="463" spans="2:11" ht="15" customHeight="1" x14ac:dyDescent="0.25"/>
    <row r="464" spans="2:11" ht="15" customHeight="1" x14ac:dyDescent="0.25"/>
    <row r="465" spans="1:7" ht="15" customHeight="1" x14ac:dyDescent="0.25"/>
    <row r="466" spans="1:7" ht="15" customHeight="1" x14ac:dyDescent="0.25">
      <c r="A466" s="189"/>
      <c r="B466" s="188"/>
      <c r="C466" s="188"/>
      <c r="D466" s="189"/>
      <c r="E466" s="189"/>
      <c r="F466" s="189"/>
      <c r="G466" s="189"/>
    </row>
    <row r="467" spans="1:7" ht="15" customHeight="1" x14ac:dyDescent="0.25"/>
    <row r="468" spans="1:7" ht="15" customHeight="1" x14ac:dyDescent="0.25"/>
    <row r="469" spans="1:7" ht="15" customHeight="1" x14ac:dyDescent="0.25"/>
    <row r="470" spans="1:7" ht="15" customHeight="1" x14ac:dyDescent="0.25"/>
    <row r="471" spans="1:7" ht="15" customHeight="1" x14ac:dyDescent="0.25"/>
    <row r="472" spans="1:7" ht="15" customHeight="1" x14ac:dyDescent="0.25"/>
    <row r="473" spans="1:7" ht="15" customHeight="1" x14ac:dyDescent="0.25"/>
    <row r="474" spans="1:7" ht="15" customHeight="1" x14ac:dyDescent="0.25"/>
    <row r="475" spans="1:7" ht="15" customHeight="1" x14ac:dyDescent="0.25"/>
    <row r="476" spans="1:7" ht="15" customHeight="1" x14ac:dyDescent="0.25"/>
    <row r="477" spans="1:7" ht="15" customHeight="1" x14ac:dyDescent="0.25"/>
    <row r="478" spans="1:7" ht="15" customHeight="1" x14ac:dyDescent="0.25"/>
    <row r="479" spans="1:7" ht="15" customHeight="1" x14ac:dyDescent="0.25"/>
    <row r="480" spans="1:7" ht="15" customHeight="1" x14ac:dyDescent="0.25"/>
    <row r="481" spans="2:11" ht="15" customHeight="1" x14ac:dyDescent="0.25"/>
    <row r="482" spans="2:11" ht="15" customHeight="1" x14ac:dyDescent="0.25"/>
    <row r="483" spans="2:11" ht="15" customHeight="1" x14ac:dyDescent="0.25"/>
    <row r="484" spans="2:11" ht="15" customHeight="1" x14ac:dyDescent="0.25"/>
    <row r="485" spans="2:11" ht="15" customHeight="1" x14ac:dyDescent="0.25"/>
    <row r="486" spans="2:11" ht="15" customHeight="1" x14ac:dyDescent="0.25"/>
    <row r="487" spans="2:11" ht="15" customHeight="1" x14ac:dyDescent="0.25">
      <c r="H487" s="154"/>
      <c r="I487" s="154"/>
      <c r="J487" s="154"/>
      <c r="K487" s="154"/>
    </row>
    <row r="488" spans="2:11" ht="15" customHeight="1" x14ac:dyDescent="0.25">
      <c r="H488" s="154"/>
      <c r="I488" s="154"/>
      <c r="J488" s="154"/>
      <c r="K488" s="154"/>
    </row>
    <row r="489" spans="2:11" ht="15" customHeight="1" x14ac:dyDescent="0.25">
      <c r="B489" s="198"/>
      <c r="C489" s="198"/>
      <c r="D489" s="199"/>
      <c r="E489" s="199"/>
      <c r="H489" s="154"/>
      <c r="I489" s="154"/>
      <c r="J489" s="154"/>
      <c r="K489" s="154"/>
    </row>
    <row r="490" spans="2:11" ht="15" customHeight="1" x14ac:dyDescent="0.25">
      <c r="B490" s="200"/>
      <c r="E490" s="201"/>
      <c r="H490" s="154"/>
      <c r="I490" s="154"/>
      <c r="J490" s="154"/>
      <c r="K490" s="154"/>
    </row>
    <row r="491" spans="2:11" ht="15" customHeight="1" x14ac:dyDescent="0.25">
      <c r="H491" s="154"/>
      <c r="I491" s="154"/>
      <c r="J491" s="154"/>
      <c r="K491" s="154"/>
    </row>
    <row r="492" spans="2:11" ht="15" customHeight="1" x14ac:dyDescent="0.25">
      <c r="H492" s="154"/>
      <c r="I492" s="154"/>
      <c r="J492" s="154"/>
      <c r="K492" s="154"/>
    </row>
    <row r="493" spans="2:11" ht="15" customHeight="1" x14ac:dyDescent="0.25">
      <c r="H493" s="154"/>
      <c r="I493" s="154"/>
      <c r="J493" s="154"/>
      <c r="K493" s="154"/>
    </row>
    <row r="494" spans="2:11" ht="15" customHeight="1" x14ac:dyDescent="0.25">
      <c r="H494" s="154"/>
      <c r="I494" s="154"/>
      <c r="J494" s="154"/>
      <c r="K494" s="154"/>
    </row>
    <row r="495" spans="2:11" ht="15" customHeight="1" x14ac:dyDescent="0.25"/>
    <row r="496" spans="2:11" ht="15" customHeight="1" x14ac:dyDescent="0.25"/>
    <row r="497" spans="1:7" ht="15" customHeight="1" x14ac:dyDescent="0.25"/>
    <row r="498" spans="1:7" ht="15" customHeight="1" x14ac:dyDescent="0.25">
      <c r="B498" s="184"/>
      <c r="C498" s="184"/>
      <c r="D498" s="183"/>
      <c r="E498" s="183"/>
    </row>
    <row r="499" spans="1:7" ht="15" customHeight="1" x14ac:dyDescent="0.25"/>
    <row r="500" spans="1:7" ht="15" customHeight="1" x14ac:dyDescent="0.25"/>
    <row r="501" spans="1:7" ht="15" customHeight="1" x14ac:dyDescent="0.25">
      <c r="B501" s="188"/>
      <c r="E501" s="189"/>
    </row>
    <row r="502" spans="1:7" ht="54.95" customHeight="1" x14ac:dyDescent="0.25">
      <c r="B502" s="195"/>
      <c r="E502" s="194"/>
    </row>
    <row r="503" spans="1:7" ht="30" customHeight="1" x14ac:dyDescent="0.25">
      <c r="B503" s="190"/>
      <c r="E503" s="180"/>
    </row>
    <row r="504" spans="1:7" ht="15" customHeight="1" x14ac:dyDescent="0.25"/>
    <row r="505" spans="1:7" ht="15" customHeight="1" x14ac:dyDescent="0.25"/>
    <row r="506" spans="1:7" ht="15" customHeight="1" x14ac:dyDescent="0.25"/>
    <row r="507" spans="1:7" ht="15" customHeight="1" x14ac:dyDescent="0.25"/>
    <row r="508" spans="1:7" ht="15" customHeight="1" x14ac:dyDescent="0.25">
      <c r="A508" s="189"/>
      <c r="B508" s="188"/>
      <c r="C508" s="188"/>
      <c r="D508" s="189"/>
      <c r="E508" s="189"/>
      <c r="F508" s="189"/>
      <c r="G508" s="189"/>
    </row>
    <row r="509" spans="1:7" ht="15" customHeight="1" x14ac:dyDescent="0.25"/>
    <row r="510" spans="1:7" ht="15" customHeight="1" x14ac:dyDescent="0.25"/>
    <row r="511" spans="1:7" ht="15" customHeight="1" x14ac:dyDescent="0.25"/>
    <row r="512" spans="1:7" ht="15" customHeight="1" x14ac:dyDescent="0.25"/>
    <row r="513" spans="8:10" ht="15" customHeight="1" x14ac:dyDescent="0.25"/>
    <row r="514" spans="8:10" ht="15" customHeight="1" x14ac:dyDescent="0.25"/>
    <row r="515" spans="8:10" ht="15" customHeight="1" x14ac:dyDescent="0.25"/>
    <row r="516" spans="8:10" ht="15" customHeight="1" x14ac:dyDescent="0.25"/>
    <row r="517" spans="8:10" ht="15" customHeight="1" x14ac:dyDescent="0.25"/>
    <row r="518" spans="8:10" ht="15" customHeight="1" x14ac:dyDescent="0.25">
      <c r="H518" s="154"/>
      <c r="I518" s="154"/>
      <c r="J518" s="154"/>
    </row>
    <row r="519" spans="8:10" ht="15" customHeight="1" x14ac:dyDescent="0.25">
      <c r="H519" s="154"/>
      <c r="I519" s="154"/>
      <c r="J519" s="154"/>
    </row>
    <row r="520" spans="8:10" ht="15" customHeight="1" x14ac:dyDescent="0.25">
      <c r="H520" s="154"/>
      <c r="I520" s="154"/>
      <c r="J520" s="154"/>
    </row>
    <row r="521" spans="8:10" ht="15" customHeight="1" x14ac:dyDescent="0.25">
      <c r="H521" s="154"/>
      <c r="I521" s="154"/>
      <c r="J521" s="154"/>
    </row>
    <row r="522" spans="8:10" ht="15" customHeight="1" x14ac:dyDescent="0.25">
      <c r="H522" s="154"/>
      <c r="I522" s="154"/>
      <c r="J522" s="154"/>
    </row>
    <row r="523" spans="8:10" ht="15" customHeight="1" x14ac:dyDescent="0.25">
      <c r="H523" s="154"/>
      <c r="I523" s="154"/>
      <c r="J523" s="154"/>
    </row>
    <row r="524" spans="8:10" ht="15" customHeight="1" x14ac:dyDescent="0.25">
      <c r="H524" s="154"/>
      <c r="I524" s="154"/>
      <c r="J524" s="154"/>
    </row>
    <row r="525" spans="8:10" ht="15" customHeight="1" x14ac:dyDescent="0.25">
      <c r="H525" s="154"/>
      <c r="I525" s="154"/>
      <c r="J525" s="154"/>
    </row>
    <row r="526" spans="8:10" ht="15" customHeight="1" x14ac:dyDescent="0.25">
      <c r="H526" s="154"/>
      <c r="I526" s="154"/>
      <c r="J526" s="154"/>
    </row>
    <row r="527" spans="8:10" ht="15" customHeight="1" x14ac:dyDescent="0.25">
      <c r="H527" s="154"/>
      <c r="I527" s="154"/>
      <c r="J527" s="154"/>
    </row>
    <row r="528" spans="8:10" ht="15" customHeight="1" x14ac:dyDescent="0.25">
      <c r="H528" s="154"/>
      <c r="I528" s="154"/>
      <c r="J528" s="154"/>
    </row>
    <row r="529" spans="2:10" ht="15" customHeight="1" x14ac:dyDescent="0.25">
      <c r="H529" s="154"/>
      <c r="I529" s="154"/>
      <c r="J529" s="154"/>
    </row>
    <row r="530" spans="2:10" ht="15" customHeight="1" x14ac:dyDescent="0.25">
      <c r="B530" s="198"/>
      <c r="C530" s="198"/>
      <c r="D530" s="199"/>
      <c r="E530" s="199"/>
      <c r="H530" s="154"/>
      <c r="I530" s="154"/>
      <c r="J530" s="154"/>
    </row>
    <row r="531" spans="2:10" ht="15" customHeight="1" x14ac:dyDescent="0.25">
      <c r="B531" s="200"/>
      <c r="E531" s="201"/>
      <c r="H531" s="154"/>
      <c r="I531" s="154"/>
      <c r="J531" s="154"/>
    </row>
    <row r="532" spans="2:10" ht="15" customHeight="1" x14ac:dyDescent="0.25">
      <c r="H532" s="154"/>
      <c r="I532" s="154"/>
      <c r="J532" s="154"/>
    </row>
    <row r="533" spans="2:10" ht="15" customHeight="1" x14ac:dyDescent="0.25">
      <c r="H533" s="154"/>
      <c r="I533" s="154"/>
      <c r="J533" s="154"/>
    </row>
    <row r="534" spans="2:10" ht="15" customHeight="1" x14ac:dyDescent="0.25">
      <c r="H534" s="154"/>
      <c r="I534" s="154"/>
      <c r="J534" s="154"/>
    </row>
    <row r="535" spans="2:10" ht="15" customHeight="1" x14ac:dyDescent="0.25">
      <c r="H535" s="154"/>
      <c r="I535" s="154"/>
      <c r="J535" s="154"/>
    </row>
    <row r="536" spans="2:10" ht="15" customHeight="1" x14ac:dyDescent="0.25">
      <c r="H536" s="154"/>
      <c r="I536" s="154"/>
      <c r="J536" s="154"/>
    </row>
    <row r="537" spans="2:10" ht="15" customHeight="1" x14ac:dyDescent="0.25">
      <c r="H537" s="154"/>
      <c r="I537" s="154"/>
      <c r="J537" s="154"/>
    </row>
    <row r="538" spans="2:10" ht="15" customHeight="1" x14ac:dyDescent="0.25"/>
    <row r="539" spans="2:10" ht="15" customHeight="1" x14ac:dyDescent="0.25"/>
    <row r="540" spans="2:10" ht="15" customHeight="1" x14ac:dyDescent="0.25">
      <c r="B540" s="184"/>
      <c r="C540" s="184"/>
      <c r="D540" s="183"/>
      <c r="E540" s="183"/>
    </row>
    <row r="541" spans="2:10" ht="15" customHeight="1" x14ac:dyDescent="0.25"/>
    <row r="542" spans="2:10" ht="15" customHeight="1" x14ac:dyDescent="0.25"/>
    <row r="543" spans="2:10" ht="15" customHeight="1" x14ac:dyDescent="0.25">
      <c r="B543" s="188"/>
      <c r="E543" s="189"/>
    </row>
    <row r="544" spans="2:10" ht="54.95" customHeight="1" x14ac:dyDescent="0.25">
      <c r="B544" s="195"/>
      <c r="E544" s="194"/>
    </row>
    <row r="545" spans="1:7" ht="30" customHeight="1" x14ac:dyDescent="0.25">
      <c r="B545" s="190"/>
      <c r="E545" s="180"/>
    </row>
    <row r="546" spans="1:7" ht="15" customHeight="1" x14ac:dyDescent="0.25"/>
    <row r="547" spans="1:7" ht="15" customHeight="1" x14ac:dyDescent="0.25"/>
    <row r="548" spans="1:7" ht="15" customHeight="1" x14ac:dyDescent="0.25"/>
    <row r="549" spans="1:7" ht="15" customHeight="1" x14ac:dyDescent="0.25"/>
    <row r="550" spans="1:7" ht="15" customHeight="1" x14ac:dyDescent="0.25">
      <c r="A550" s="189"/>
      <c r="B550" s="188"/>
      <c r="C550" s="188"/>
      <c r="D550" s="189"/>
      <c r="E550" s="189"/>
      <c r="F550" s="189"/>
      <c r="G550" s="189"/>
    </row>
    <row r="551" spans="1:7" ht="15" customHeight="1" x14ac:dyDescent="0.25"/>
    <row r="552" spans="1:7" ht="15" customHeight="1" x14ac:dyDescent="0.25"/>
    <row r="553" spans="1:7" ht="15" customHeight="1" x14ac:dyDescent="0.25"/>
    <row r="554" spans="1:7" ht="15" customHeight="1" x14ac:dyDescent="0.25"/>
    <row r="555" spans="1:7" ht="15" customHeight="1" x14ac:dyDescent="0.25"/>
    <row r="556" spans="1:7" ht="15" customHeight="1" x14ac:dyDescent="0.25"/>
    <row r="557" spans="1:7" ht="15" customHeight="1" x14ac:dyDescent="0.25"/>
    <row r="558" spans="1:7" ht="15" customHeight="1" x14ac:dyDescent="0.25"/>
    <row r="559" spans="1:7" ht="15" customHeight="1" x14ac:dyDescent="0.25"/>
    <row r="560" spans="1:7" ht="15" customHeight="1" x14ac:dyDescent="0.25"/>
    <row r="561" spans="2:5" ht="15" customHeight="1" x14ac:dyDescent="0.25"/>
    <row r="562" spans="2:5" ht="15" customHeight="1" x14ac:dyDescent="0.25"/>
    <row r="563" spans="2:5" ht="15" customHeight="1" x14ac:dyDescent="0.25"/>
    <row r="564" spans="2:5" ht="15" customHeight="1" x14ac:dyDescent="0.25"/>
    <row r="565" spans="2:5" ht="15" customHeight="1" x14ac:dyDescent="0.25"/>
    <row r="566" spans="2:5" ht="15" customHeight="1" x14ac:dyDescent="0.25"/>
    <row r="567" spans="2:5" ht="15" customHeight="1" x14ac:dyDescent="0.25"/>
    <row r="568" spans="2:5" ht="15" customHeight="1" x14ac:dyDescent="0.25"/>
    <row r="569" spans="2:5" ht="15" customHeight="1" x14ac:dyDescent="0.25"/>
    <row r="570" spans="2:5" ht="15" customHeight="1" x14ac:dyDescent="0.25"/>
    <row r="571" spans="2:5" ht="15" customHeight="1" x14ac:dyDescent="0.25">
      <c r="B571" s="198"/>
      <c r="C571" s="198"/>
      <c r="D571" s="199"/>
      <c r="E571" s="199"/>
    </row>
    <row r="572" spans="2:5" ht="15" customHeight="1" x14ac:dyDescent="0.25">
      <c r="B572" s="200"/>
      <c r="E572" s="201"/>
    </row>
    <row r="573" spans="2:5" ht="15" customHeight="1" x14ac:dyDescent="0.25"/>
    <row r="574" spans="2:5" ht="15" customHeight="1" x14ac:dyDescent="0.25"/>
    <row r="575" spans="2:5" ht="15" customHeight="1" x14ac:dyDescent="0.25"/>
    <row r="576" spans="2:5" ht="15" customHeight="1" x14ac:dyDescent="0.25"/>
    <row r="577" spans="1:7" ht="15" customHeight="1" x14ac:dyDescent="0.25"/>
    <row r="578" spans="1:7" ht="15" customHeight="1" x14ac:dyDescent="0.25"/>
    <row r="579" spans="1:7" ht="15" customHeight="1" x14ac:dyDescent="0.25"/>
    <row r="580" spans="1:7" ht="15" customHeight="1" x14ac:dyDescent="0.25"/>
    <row r="581" spans="1:7" ht="15" customHeight="1" x14ac:dyDescent="0.25"/>
    <row r="582" spans="1:7" ht="15" customHeight="1" x14ac:dyDescent="0.25">
      <c r="B582" s="184"/>
      <c r="C582" s="184"/>
      <c r="D582" s="183"/>
      <c r="E582" s="183"/>
    </row>
    <row r="583" spans="1:7" ht="15" customHeight="1" x14ac:dyDescent="0.25"/>
    <row r="584" spans="1:7" ht="15" customHeight="1" x14ac:dyDescent="0.25"/>
    <row r="585" spans="1:7" ht="15" customHeight="1" x14ac:dyDescent="0.25">
      <c r="B585" s="188"/>
      <c r="E585" s="189"/>
    </row>
    <row r="586" spans="1:7" ht="54.95" customHeight="1" x14ac:dyDescent="0.25">
      <c r="B586" s="195"/>
      <c r="E586" s="194"/>
    </row>
    <row r="587" spans="1:7" ht="30" customHeight="1" x14ac:dyDescent="0.25">
      <c r="B587" s="190"/>
      <c r="E587" s="180"/>
    </row>
    <row r="588" spans="1:7" ht="15" customHeight="1" x14ac:dyDescent="0.25"/>
    <row r="589" spans="1:7" ht="15" customHeight="1" x14ac:dyDescent="0.25"/>
    <row r="590" spans="1:7" ht="15" customHeight="1" x14ac:dyDescent="0.25"/>
    <row r="591" spans="1:7" ht="15" customHeight="1" x14ac:dyDescent="0.25"/>
    <row r="592" spans="1:7" ht="15" customHeight="1" x14ac:dyDescent="0.25">
      <c r="A592" s="189"/>
      <c r="B592" s="188"/>
      <c r="C592" s="188"/>
      <c r="D592" s="189"/>
      <c r="E592" s="189"/>
      <c r="F592" s="189"/>
      <c r="G592" s="189"/>
    </row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spans="2:5" ht="15" customHeight="1" x14ac:dyDescent="0.25"/>
    <row r="610" spans="2:5" ht="15" customHeight="1" x14ac:dyDescent="0.25"/>
    <row r="611" spans="2:5" ht="15" customHeight="1" x14ac:dyDescent="0.25"/>
    <row r="612" spans="2:5" ht="15" customHeight="1" x14ac:dyDescent="0.25">
      <c r="B612" s="198"/>
      <c r="C612" s="198"/>
      <c r="D612" s="199"/>
      <c r="E612" s="199"/>
    </row>
    <row r="613" spans="2:5" ht="15" customHeight="1" x14ac:dyDescent="0.25">
      <c r="B613" s="200"/>
      <c r="E613" s="201"/>
    </row>
    <row r="614" spans="2:5" ht="15" customHeight="1" x14ac:dyDescent="0.25"/>
    <row r="615" spans="2:5" ht="15" customHeight="1" x14ac:dyDescent="0.25"/>
    <row r="616" spans="2:5" ht="15" customHeight="1" x14ac:dyDescent="0.25"/>
    <row r="617" spans="2:5" ht="15" customHeight="1" x14ac:dyDescent="0.25"/>
    <row r="618" spans="2:5" ht="15" customHeight="1" x14ac:dyDescent="0.25"/>
    <row r="619" spans="2:5" ht="15" customHeight="1" x14ac:dyDescent="0.25"/>
    <row r="620" spans="2:5" ht="15" customHeight="1" x14ac:dyDescent="0.25"/>
    <row r="621" spans="2:5" ht="15" customHeight="1" x14ac:dyDescent="0.25"/>
    <row r="622" spans="2:5" ht="15" customHeight="1" x14ac:dyDescent="0.25"/>
    <row r="623" spans="2:5" ht="15" customHeight="1" x14ac:dyDescent="0.25"/>
    <row r="624" spans="2:5" ht="15" customHeight="1" x14ac:dyDescent="0.25">
      <c r="B624" s="184"/>
      <c r="C624" s="184"/>
      <c r="D624" s="183"/>
      <c r="E624" s="183"/>
    </row>
    <row r="625" spans="1:7" ht="15" customHeight="1" x14ac:dyDescent="0.25"/>
    <row r="626" spans="1:7" ht="15" customHeight="1" x14ac:dyDescent="0.25"/>
    <row r="627" spans="1:7" ht="15" customHeight="1" x14ac:dyDescent="0.25">
      <c r="B627" s="188"/>
      <c r="E627" s="189"/>
    </row>
    <row r="628" spans="1:7" ht="54.95" customHeight="1" x14ac:dyDescent="0.25">
      <c r="B628" s="195"/>
      <c r="E628" s="194"/>
    </row>
    <row r="629" spans="1:7" ht="30" customHeight="1" x14ac:dyDescent="0.25">
      <c r="B629" s="190"/>
      <c r="E629" s="180"/>
    </row>
    <row r="630" spans="1:7" ht="15" customHeight="1" x14ac:dyDescent="0.25"/>
    <row r="631" spans="1:7" ht="15" customHeight="1" x14ac:dyDescent="0.25"/>
    <row r="632" spans="1:7" ht="15" customHeight="1" x14ac:dyDescent="0.25"/>
    <row r="633" spans="1:7" ht="15" customHeight="1" x14ac:dyDescent="0.25"/>
    <row r="634" spans="1:7" ht="15" customHeight="1" x14ac:dyDescent="0.25">
      <c r="A634" s="189"/>
      <c r="B634" s="188"/>
      <c r="C634" s="188"/>
      <c r="D634" s="189"/>
      <c r="E634" s="189"/>
      <c r="F634" s="189"/>
      <c r="G634" s="189"/>
    </row>
    <row r="635" spans="1:7" ht="15" customHeight="1" x14ac:dyDescent="0.25"/>
    <row r="636" spans="1:7" ht="15" customHeight="1" x14ac:dyDescent="0.25"/>
    <row r="637" spans="1:7" ht="15" customHeight="1" x14ac:dyDescent="0.25"/>
    <row r="638" spans="1:7" ht="15" customHeight="1" x14ac:dyDescent="0.25"/>
    <row r="639" spans="1:7" ht="15" customHeight="1" x14ac:dyDescent="0.25"/>
    <row r="640" spans="1:7" ht="15" customHeight="1" x14ac:dyDescent="0.25"/>
    <row r="641" spans="2:5" ht="15" customHeight="1" x14ac:dyDescent="0.25"/>
    <row r="642" spans="2:5" ht="15" customHeight="1" x14ac:dyDescent="0.25"/>
    <row r="643" spans="2:5" ht="15" customHeight="1" x14ac:dyDescent="0.25"/>
    <row r="644" spans="2:5" ht="15" customHeight="1" x14ac:dyDescent="0.25"/>
    <row r="645" spans="2:5" ht="15" customHeight="1" x14ac:dyDescent="0.25"/>
    <row r="646" spans="2:5" ht="15" customHeight="1" x14ac:dyDescent="0.25"/>
    <row r="647" spans="2:5" ht="15" customHeight="1" x14ac:dyDescent="0.25"/>
    <row r="648" spans="2:5" ht="15" customHeight="1" x14ac:dyDescent="0.25"/>
    <row r="649" spans="2:5" ht="15" customHeight="1" x14ac:dyDescent="0.25"/>
    <row r="650" spans="2:5" ht="15" customHeight="1" x14ac:dyDescent="0.25"/>
    <row r="651" spans="2:5" ht="15" customHeight="1" x14ac:dyDescent="0.25"/>
    <row r="652" spans="2:5" ht="15" customHeight="1" x14ac:dyDescent="0.25"/>
    <row r="653" spans="2:5" ht="15" customHeight="1" x14ac:dyDescent="0.25">
      <c r="B653" s="198"/>
      <c r="C653" s="198"/>
      <c r="D653" s="199"/>
      <c r="E653" s="199"/>
    </row>
    <row r="654" spans="2:5" ht="15" customHeight="1" x14ac:dyDescent="0.25">
      <c r="B654" s="200"/>
      <c r="E654" s="201"/>
    </row>
    <row r="655" spans="2:5" ht="15" customHeight="1" x14ac:dyDescent="0.25"/>
    <row r="656" spans="2:5" ht="15" customHeight="1" x14ac:dyDescent="0.25"/>
    <row r="657" spans="2:5" ht="15" customHeight="1" x14ac:dyDescent="0.25"/>
    <row r="658" spans="2:5" ht="15" customHeight="1" x14ac:dyDescent="0.25"/>
    <row r="659" spans="2:5" ht="15" customHeight="1" x14ac:dyDescent="0.25"/>
    <row r="660" spans="2:5" ht="15" customHeight="1" x14ac:dyDescent="0.25"/>
    <row r="661" spans="2:5" ht="15" customHeight="1" x14ac:dyDescent="0.25"/>
    <row r="662" spans="2:5" ht="15" customHeight="1" x14ac:dyDescent="0.25"/>
    <row r="663" spans="2:5" ht="15" customHeight="1" x14ac:dyDescent="0.25"/>
    <row r="664" spans="2:5" ht="15" customHeight="1" x14ac:dyDescent="0.25"/>
    <row r="665" spans="2:5" ht="15" customHeight="1" x14ac:dyDescent="0.25"/>
    <row r="666" spans="2:5" ht="15" customHeight="1" x14ac:dyDescent="0.25"/>
    <row r="667" spans="2:5" ht="15" customHeight="1" x14ac:dyDescent="0.25"/>
    <row r="668" spans="2:5" ht="15" customHeight="1" x14ac:dyDescent="0.25"/>
    <row r="669" spans="2:5" ht="15" customHeight="1" x14ac:dyDescent="0.25">
      <c r="B669" s="188"/>
      <c r="E669" s="189"/>
    </row>
    <row r="670" spans="2:5" ht="54.95" customHeight="1" x14ac:dyDescent="0.25">
      <c r="B670" s="195"/>
      <c r="E670" s="194"/>
    </row>
    <row r="671" spans="2:5" ht="30" customHeight="1" x14ac:dyDescent="0.25">
      <c r="B671" s="190"/>
      <c r="E671" s="180"/>
    </row>
    <row r="672" spans="2:5" ht="15" customHeight="1" x14ac:dyDescent="0.25"/>
    <row r="673" spans="1:7" ht="15" customHeight="1" x14ac:dyDescent="0.25"/>
    <row r="674" spans="1:7" ht="15" customHeight="1" x14ac:dyDescent="0.25"/>
    <row r="675" spans="1:7" ht="15" customHeight="1" x14ac:dyDescent="0.25"/>
    <row r="676" spans="1:7" ht="15" customHeight="1" x14ac:dyDescent="0.25">
      <c r="A676" s="189"/>
      <c r="B676" s="188"/>
      <c r="C676" s="188"/>
      <c r="D676" s="189"/>
      <c r="E676" s="189"/>
      <c r="F676" s="189"/>
      <c r="G676" s="189"/>
    </row>
    <row r="677" spans="1:7" ht="15" customHeight="1" x14ac:dyDescent="0.25"/>
    <row r="678" spans="1:7" ht="15" customHeight="1" x14ac:dyDescent="0.25"/>
    <row r="679" spans="1:7" ht="15" customHeight="1" x14ac:dyDescent="0.25"/>
    <row r="680" spans="1:7" ht="15" customHeight="1" x14ac:dyDescent="0.25"/>
    <row r="681" spans="1:7" ht="15" customHeight="1" x14ac:dyDescent="0.25"/>
    <row r="682" spans="1:7" ht="15" customHeight="1" x14ac:dyDescent="0.25"/>
    <row r="683" spans="1:7" ht="15" customHeight="1" x14ac:dyDescent="0.25"/>
    <row r="684" spans="1:7" ht="15" customHeight="1" x14ac:dyDescent="0.25"/>
    <row r="685" spans="1:7" ht="15" customHeight="1" x14ac:dyDescent="0.25"/>
    <row r="686" spans="1:7" ht="15" customHeight="1" x14ac:dyDescent="0.25"/>
    <row r="687" spans="1:7" ht="15" customHeight="1" x14ac:dyDescent="0.25"/>
    <row r="688" spans="1:7" ht="15" customHeight="1" x14ac:dyDescent="0.25"/>
    <row r="689" spans="2:5" ht="15" customHeight="1" x14ac:dyDescent="0.25"/>
    <row r="690" spans="2:5" ht="15" customHeight="1" x14ac:dyDescent="0.25"/>
    <row r="691" spans="2:5" ht="15" customHeight="1" x14ac:dyDescent="0.25"/>
    <row r="692" spans="2:5" ht="15" customHeight="1" x14ac:dyDescent="0.25"/>
    <row r="693" spans="2:5" ht="15" customHeight="1" x14ac:dyDescent="0.25"/>
    <row r="694" spans="2:5" ht="15" customHeight="1" x14ac:dyDescent="0.25">
      <c r="B694" s="198"/>
      <c r="C694" s="198"/>
      <c r="D694" s="199"/>
      <c r="E694" s="199"/>
    </row>
    <row r="695" spans="2:5" ht="15" customHeight="1" x14ac:dyDescent="0.25">
      <c r="B695" s="200"/>
      <c r="E695" s="201"/>
    </row>
    <row r="696" spans="2:5" ht="15" customHeight="1" x14ac:dyDescent="0.25"/>
    <row r="697" spans="2:5" ht="15" customHeight="1" x14ac:dyDescent="0.25"/>
    <row r="698" spans="2:5" ht="15" customHeight="1" x14ac:dyDescent="0.25"/>
    <row r="699" spans="2:5" ht="15" customHeight="1" x14ac:dyDescent="0.25"/>
    <row r="700" spans="2:5" ht="15" customHeight="1" x14ac:dyDescent="0.25"/>
    <row r="701" spans="2:5" ht="15" customHeight="1" x14ac:dyDescent="0.25"/>
    <row r="702" spans="2:5" ht="15" customHeight="1" x14ac:dyDescent="0.25"/>
    <row r="703" spans="2:5" ht="15" customHeight="1" x14ac:dyDescent="0.25"/>
    <row r="704" spans="2:5" ht="15" customHeight="1" x14ac:dyDescent="0.25"/>
    <row r="705" spans="1:7" ht="15" customHeight="1" x14ac:dyDescent="0.25"/>
    <row r="706" spans="1:7" ht="15" customHeight="1" x14ac:dyDescent="0.25"/>
    <row r="707" spans="1:7" ht="15" customHeight="1" x14ac:dyDescent="0.25"/>
    <row r="708" spans="1:7" ht="15" customHeight="1" x14ac:dyDescent="0.25"/>
    <row r="709" spans="1:7" ht="15" customHeight="1" x14ac:dyDescent="0.25"/>
    <row r="710" spans="1:7" ht="15" customHeight="1" x14ac:dyDescent="0.25"/>
    <row r="711" spans="1:7" ht="15" customHeight="1" x14ac:dyDescent="0.25">
      <c r="B711" s="188"/>
      <c r="E711" s="189"/>
    </row>
    <row r="712" spans="1:7" ht="54.95" customHeight="1" x14ac:dyDescent="0.25">
      <c r="B712" s="195"/>
      <c r="E712" s="194"/>
    </row>
    <row r="713" spans="1:7" ht="30" customHeight="1" x14ac:dyDescent="0.25">
      <c r="B713" s="190"/>
      <c r="E713" s="180"/>
    </row>
    <row r="714" spans="1:7" ht="15" customHeight="1" x14ac:dyDescent="0.25"/>
    <row r="715" spans="1:7" ht="15" customHeight="1" x14ac:dyDescent="0.25"/>
    <row r="716" spans="1:7" ht="15" customHeight="1" x14ac:dyDescent="0.25"/>
    <row r="717" spans="1:7" ht="15" customHeight="1" x14ac:dyDescent="0.25"/>
    <row r="718" spans="1:7" ht="15" customHeight="1" x14ac:dyDescent="0.25">
      <c r="A718" s="189"/>
      <c r="B718" s="188"/>
      <c r="C718" s="188"/>
      <c r="D718" s="189"/>
      <c r="E718" s="189"/>
      <c r="F718" s="189"/>
      <c r="G718" s="189"/>
    </row>
    <row r="719" spans="1:7" ht="15" customHeight="1" x14ac:dyDescent="0.25"/>
    <row r="720" spans="1:7" ht="15" customHeight="1" x14ac:dyDescent="0.25"/>
    <row r="721" spans="2:5" ht="15" customHeight="1" x14ac:dyDescent="0.25"/>
    <row r="722" spans="2:5" ht="15" customHeight="1" x14ac:dyDescent="0.25"/>
    <row r="723" spans="2:5" ht="15" customHeight="1" x14ac:dyDescent="0.25"/>
    <row r="724" spans="2:5" ht="15" customHeight="1" x14ac:dyDescent="0.25"/>
    <row r="725" spans="2:5" ht="15" customHeight="1" x14ac:dyDescent="0.25"/>
    <row r="726" spans="2:5" ht="15" customHeight="1" x14ac:dyDescent="0.25"/>
    <row r="727" spans="2:5" ht="15" customHeight="1" x14ac:dyDescent="0.25"/>
    <row r="728" spans="2:5" ht="15" customHeight="1" x14ac:dyDescent="0.25"/>
    <row r="729" spans="2:5" ht="15" customHeight="1" x14ac:dyDescent="0.25"/>
    <row r="730" spans="2:5" ht="15" customHeight="1" x14ac:dyDescent="0.25"/>
    <row r="731" spans="2:5" ht="15" customHeight="1" x14ac:dyDescent="0.25"/>
    <row r="732" spans="2:5" ht="15" customHeight="1" x14ac:dyDescent="0.25"/>
    <row r="733" spans="2:5" ht="15" customHeight="1" x14ac:dyDescent="0.25"/>
    <row r="734" spans="2:5" ht="15" customHeight="1" x14ac:dyDescent="0.25"/>
    <row r="735" spans="2:5" ht="15" customHeight="1" x14ac:dyDescent="0.25">
      <c r="B735" s="198"/>
      <c r="C735" s="198"/>
      <c r="D735" s="199"/>
      <c r="E735" s="199"/>
    </row>
    <row r="736" spans="2:5" ht="15" customHeight="1" x14ac:dyDescent="0.25">
      <c r="B736" s="200"/>
      <c r="E736" s="201"/>
    </row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spans="1:7" ht="15" customHeight="1" x14ac:dyDescent="0.25">
      <c r="B753" s="188"/>
      <c r="E753" s="189"/>
    </row>
    <row r="754" spans="1:7" ht="54.95" customHeight="1" x14ac:dyDescent="0.25">
      <c r="B754" s="195"/>
      <c r="E754" s="194"/>
    </row>
    <row r="755" spans="1:7" ht="30" customHeight="1" x14ac:dyDescent="0.25">
      <c r="B755" s="190"/>
      <c r="E755" s="180"/>
    </row>
    <row r="756" spans="1:7" ht="15" customHeight="1" x14ac:dyDescent="0.25"/>
    <row r="757" spans="1:7" ht="15" customHeight="1" x14ac:dyDescent="0.25"/>
    <row r="758" spans="1:7" ht="15" customHeight="1" x14ac:dyDescent="0.25"/>
    <row r="759" spans="1:7" ht="15" customHeight="1" x14ac:dyDescent="0.25"/>
    <row r="760" spans="1:7" ht="15" customHeight="1" x14ac:dyDescent="0.25">
      <c r="A760" s="189"/>
      <c r="B760" s="188"/>
      <c r="C760" s="188"/>
      <c r="D760" s="189"/>
      <c r="E760" s="189"/>
      <c r="F760" s="189"/>
      <c r="G760" s="189"/>
    </row>
    <row r="761" spans="1:7" ht="15" customHeight="1" x14ac:dyDescent="0.25"/>
    <row r="762" spans="1:7" ht="15" customHeight="1" x14ac:dyDescent="0.25"/>
    <row r="763" spans="1:7" ht="15" customHeight="1" x14ac:dyDescent="0.25"/>
    <row r="764" spans="1:7" ht="15" customHeight="1" x14ac:dyDescent="0.25"/>
    <row r="765" spans="1:7" ht="15" customHeight="1" x14ac:dyDescent="0.25"/>
    <row r="766" spans="1:7" ht="15" customHeight="1" x14ac:dyDescent="0.25"/>
    <row r="767" spans="1:7" ht="15" customHeight="1" x14ac:dyDescent="0.25"/>
    <row r="768" spans="1:7" ht="15" customHeight="1" x14ac:dyDescent="0.25"/>
    <row r="769" spans="2:5" ht="15" customHeight="1" x14ac:dyDescent="0.25"/>
    <row r="770" spans="2:5" ht="15" customHeight="1" x14ac:dyDescent="0.25"/>
    <row r="771" spans="2:5" ht="15" customHeight="1" x14ac:dyDescent="0.25"/>
    <row r="772" spans="2:5" ht="15" customHeight="1" x14ac:dyDescent="0.25"/>
    <row r="773" spans="2:5" ht="15" customHeight="1" x14ac:dyDescent="0.25"/>
    <row r="774" spans="2:5" ht="15" customHeight="1" x14ac:dyDescent="0.25"/>
    <row r="775" spans="2:5" ht="15" customHeight="1" x14ac:dyDescent="0.25"/>
    <row r="776" spans="2:5" ht="15" customHeight="1" x14ac:dyDescent="0.25">
      <c r="B776" s="198"/>
      <c r="C776" s="198"/>
      <c r="D776" s="199"/>
      <c r="E776" s="199"/>
    </row>
    <row r="777" spans="2:5" ht="15" customHeight="1" x14ac:dyDescent="0.25">
      <c r="B777" s="200"/>
      <c r="E777" s="201"/>
    </row>
    <row r="778" spans="2:5" ht="15" customHeight="1" x14ac:dyDescent="0.25"/>
    <row r="779" spans="2:5" ht="15" customHeight="1" x14ac:dyDescent="0.25"/>
    <row r="780" spans="2:5" ht="15" customHeight="1" x14ac:dyDescent="0.25"/>
    <row r="781" spans="2:5" ht="15" customHeight="1" x14ac:dyDescent="0.25"/>
    <row r="782" spans="2:5" ht="15" customHeight="1" x14ac:dyDescent="0.25"/>
    <row r="783" spans="2:5" ht="15" customHeight="1" x14ac:dyDescent="0.25"/>
    <row r="784" spans="2:5" ht="15" customHeight="1" x14ac:dyDescent="0.25"/>
    <row r="785" spans="2:5" ht="15" customHeight="1" x14ac:dyDescent="0.25"/>
    <row r="786" spans="2:5" ht="15" customHeight="1" x14ac:dyDescent="0.25"/>
    <row r="787" spans="2:5" ht="15" customHeight="1" x14ac:dyDescent="0.25"/>
    <row r="788" spans="2:5" ht="15" customHeight="1" x14ac:dyDescent="0.25"/>
    <row r="789" spans="2:5" ht="15" customHeight="1" x14ac:dyDescent="0.25"/>
    <row r="790" spans="2:5" ht="15" customHeight="1" x14ac:dyDescent="0.25"/>
    <row r="791" spans="2:5" ht="15" customHeight="1" x14ac:dyDescent="0.25"/>
    <row r="792" spans="2:5" ht="15" customHeight="1" x14ac:dyDescent="0.25"/>
    <row r="793" spans="2:5" ht="15" customHeight="1" x14ac:dyDescent="0.25"/>
    <row r="794" spans="2:5" ht="15" customHeight="1" x14ac:dyDescent="0.25"/>
    <row r="795" spans="2:5" ht="15" customHeight="1" x14ac:dyDescent="0.25">
      <c r="B795" s="188"/>
      <c r="E795" s="189"/>
    </row>
    <row r="796" spans="2:5" ht="54.95" customHeight="1" x14ac:dyDescent="0.25">
      <c r="B796" s="195"/>
      <c r="E796" s="194"/>
    </row>
    <row r="797" spans="2:5" ht="30" customHeight="1" x14ac:dyDescent="0.25">
      <c r="B797" s="190"/>
      <c r="E797" s="180"/>
    </row>
    <row r="798" spans="2:5" ht="15" customHeight="1" x14ac:dyDescent="0.25"/>
    <row r="799" spans="2:5" ht="15" customHeight="1" x14ac:dyDescent="0.25"/>
    <row r="800" spans="2:5" ht="15" customHeight="1" x14ac:dyDescent="0.25"/>
    <row r="801" spans="1:7" ht="15" customHeight="1" x14ac:dyDescent="0.25"/>
    <row r="802" spans="1:7" ht="15" customHeight="1" x14ac:dyDescent="0.25">
      <c r="A802" s="189"/>
      <c r="B802" s="188"/>
      <c r="C802" s="188"/>
      <c r="D802" s="189"/>
      <c r="E802" s="189"/>
      <c r="F802" s="189"/>
      <c r="G802" s="189"/>
    </row>
    <row r="803" spans="1:7" ht="15" customHeight="1" x14ac:dyDescent="0.25"/>
    <row r="804" spans="1:7" ht="15" customHeight="1" x14ac:dyDescent="0.25"/>
    <row r="805" spans="1:7" ht="15" customHeight="1" x14ac:dyDescent="0.25"/>
    <row r="806" spans="1:7" ht="15" customHeight="1" x14ac:dyDescent="0.25"/>
    <row r="807" spans="1:7" ht="15" customHeight="1" x14ac:dyDescent="0.25"/>
    <row r="808" spans="1:7" ht="15" customHeight="1" x14ac:dyDescent="0.25"/>
    <row r="809" spans="1:7" ht="15" customHeight="1" x14ac:dyDescent="0.25"/>
    <row r="810" spans="1:7" ht="15" customHeight="1" x14ac:dyDescent="0.25"/>
    <row r="811" spans="1:7" ht="15" customHeight="1" x14ac:dyDescent="0.25"/>
    <row r="812" spans="1:7" ht="15" customHeight="1" x14ac:dyDescent="0.25"/>
    <row r="813" spans="1:7" ht="15" customHeight="1" x14ac:dyDescent="0.25"/>
    <row r="814" spans="1:7" ht="15" customHeight="1" x14ac:dyDescent="0.25"/>
    <row r="815" spans="1:7" ht="15" customHeight="1" x14ac:dyDescent="0.25"/>
    <row r="816" spans="1:7" ht="15" customHeight="1" x14ac:dyDescent="0.25"/>
    <row r="817" spans="2:5" ht="15" customHeight="1" x14ac:dyDescent="0.25">
      <c r="B817" s="198"/>
      <c r="C817" s="198"/>
      <c r="D817" s="199"/>
      <c r="E817" s="199"/>
    </row>
    <row r="818" spans="2:5" ht="15" customHeight="1" x14ac:dyDescent="0.25">
      <c r="B818" s="200"/>
      <c r="E818" s="201"/>
    </row>
    <row r="819" spans="2:5" ht="15" customHeight="1" x14ac:dyDescent="0.25"/>
    <row r="820" spans="2:5" ht="15" customHeight="1" x14ac:dyDescent="0.25"/>
    <row r="821" spans="2:5" ht="15" customHeight="1" x14ac:dyDescent="0.25"/>
    <row r="822" spans="2:5" ht="15" customHeight="1" x14ac:dyDescent="0.25"/>
    <row r="823" spans="2:5" ht="15" customHeight="1" x14ac:dyDescent="0.25"/>
    <row r="824" spans="2:5" ht="15" customHeight="1" x14ac:dyDescent="0.25"/>
    <row r="825" spans="2:5" ht="15" customHeight="1" x14ac:dyDescent="0.25"/>
    <row r="826" spans="2:5" ht="15" customHeight="1" x14ac:dyDescent="0.25"/>
    <row r="827" spans="2:5" ht="15" customHeight="1" x14ac:dyDescent="0.25"/>
    <row r="828" spans="2:5" ht="15" customHeight="1" x14ac:dyDescent="0.25"/>
    <row r="829" spans="2:5" ht="15" customHeight="1" x14ac:dyDescent="0.25"/>
    <row r="830" spans="2:5" ht="15" customHeight="1" x14ac:dyDescent="0.25"/>
    <row r="831" spans="2:5" ht="15" customHeight="1" x14ac:dyDescent="0.25"/>
    <row r="832" spans="2:5" ht="15" customHeight="1" x14ac:dyDescent="0.25"/>
    <row r="833" spans="1:7" ht="15" customHeight="1" x14ac:dyDescent="0.25"/>
    <row r="834" spans="1:7" ht="15" customHeight="1" x14ac:dyDescent="0.25"/>
    <row r="835" spans="1:7" ht="15" customHeight="1" x14ac:dyDescent="0.25"/>
    <row r="836" spans="1:7" ht="15" customHeight="1" x14ac:dyDescent="0.25"/>
    <row r="837" spans="1:7" ht="15" customHeight="1" x14ac:dyDescent="0.25">
      <c r="B837" s="188"/>
      <c r="E837" s="189"/>
    </row>
    <row r="838" spans="1:7" ht="54.95" customHeight="1" x14ac:dyDescent="0.25">
      <c r="B838" s="195"/>
      <c r="E838" s="194"/>
    </row>
    <row r="839" spans="1:7" ht="30" customHeight="1" x14ac:dyDescent="0.25">
      <c r="B839" s="190"/>
      <c r="E839" s="180"/>
    </row>
    <row r="840" spans="1:7" ht="15" customHeight="1" x14ac:dyDescent="0.25"/>
    <row r="841" spans="1:7" ht="15" customHeight="1" x14ac:dyDescent="0.25"/>
    <row r="842" spans="1:7" ht="15" customHeight="1" x14ac:dyDescent="0.25"/>
    <row r="843" spans="1:7" ht="15" customHeight="1" x14ac:dyDescent="0.25"/>
    <row r="844" spans="1:7" ht="15" customHeight="1" x14ac:dyDescent="0.25">
      <c r="A844" s="189"/>
      <c r="B844" s="188"/>
      <c r="C844" s="188"/>
      <c r="D844" s="189"/>
      <c r="E844" s="189"/>
      <c r="F844" s="189"/>
      <c r="G844" s="189"/>
    </row>
    <row r="845" spans="1:7" ht="15" customHeight="1" x14ac:dyDescent="0.25"/>
    <row r="846" spans="1:7" ht="15" customHeight="1" x14ac:dyDescent="0.25"/>
    <row r="847" spans="1:7" ht="15" customHeight="1" x14ac:dyDescent="0.25"/>
    <row r="848" spans="1:7" ht="15" customHeight="1" x14ac:dyDescent="0.25"/>
    <row r="849" spans="2:5" ht="15" customHeight="1" x14ac:dyDescent="0.25"/>
    <row r="850" spans="2:5" ht="15" customHeight="1" x14ac:dyDescent="0.25"/>
    <row r="851" spans="2:5" ht="15" customHeight="1" x14ac:dyDescent="0.25"/>
    <row r="852" spans="2:5" ht="15" customHeight="1" x14ac:dyDescent="0.25"/>
    <row r="853" spans="2:5" ht="15" customHeight="1" x14ac:dyDescent="0.25"/>
    <row r="854" spans="2:5" ht="15" customHeight="1" x14ac:dyDescent="0.25"/>
    <row r="855" spans="2:5" ht="15" customHeight="1" x14ac:dyDescent="0.25"/>
    <row r="856" spans="2:5" ht="15" customHeight="1" x14ac:dyDescent="0.25"/>
    <row r="857" spans="2:5" ht="15" customHeight="1" x14ac:dyDescent="0.25"/>
    <row r="858" spans="2:5" ht="15" customHeight="1" x14ac:dyDescent="0.25">
      <c r="B858" s="198"/>
      <c r="C858" s="198"/>
      <c r="D858" s="199"/>
      <c r="E858" s="199"/>
    </row>
    <row r="859" spans="2:5" ht="15" customHeight="1" x14ac:dyDescent="0.25">
      <c r="B859" s="200"/>
      <c r="E859" s="201"/>
    </row>
    <row r="860" spans="2:5" ht="15" customHeight="1" x14ac:dyDescent="0.25"/>
    <row r="861" spans="2:5" ht="15" customHeight="1" x14ac:dyDescent="0.25"/>
    <row r="862" spans="2:5" ht="15" customHeight="1" x14ac:dyDescent="0.25"/>
    <row r="863" spans="2:5" ht="15" customHeight="1" x14ac:dyDescent="0.25"/>
    <row r="864" spans="2:5" ht="15" customHeight="1" x14ac:dyDescent="0.25"/>
    <row r="865" spans="2:5" ht="15" customHeight="1" x14ac:dyDescent="0.25"/>
    <row r="866" spans="2:5" ht="15" customHeight="1" x14ac:dyDescent="0.25"/>
    <row r="867" spans="2:5" ht="15" customHeight="1" x14ac:dyDescent="0.25"/>
    <row r="868" spans="2:5" ht="15" customHeight="1" x14ac:dyDescent="0.25"/>
    <row r="869" spans="2:5" ht="15" customHeight="1" x14ac:dyDescent="0.25"/>
    <row r="870" spans="2:5" ht="15" customHeight="1" x14ac:dyDescent="0.25"/>
    <row r="871" spans="2:5" ht="15" customHeight="1" x14ac:dyDescent="0.25"/>
    <row r="872" spans="2:5" ht="15" customHeight="1" x14ac:dyDescent="0.25"/>
    <row r="873" spans="2:5" ht="15" customHeight="1" x14ac:dyDescent="0.25"/>
    <row r="874" spans="2:5" ht="15" customHeight="1" x14ac:dyDescent="0.25"/>
    <row r="875" spans="2:5" ht="15" customHeight="1" x14ac:dyDescent="0.25"/>
    <row r="876" spans="2:5" ht="15" customHeight="1" x14ac:dyDescent="0.25"/>
    <row r="877" spans="2:5" ht="15" customHeight="1" x14ac:dyDescent="0.25"/>
    <row r="878" spans="2:5" ht="15" customHeight="1" x14ac:dyDescent="0.25"/>
    <row r="879" spans="2:5" ht="15" customHeight="1" x14ac:dyDescent="0.25">
      <c r="B879" s="188"/>
      <c r="E879" s="189"/>
    </row>
    <row r="880" spans="2:5" ht="54.95" customHeight="1" x14ac:dyDescent="0.25">
      <c r="B880" s="195"/>
      <c r="E880" s="194"/>
    </row>
    <row r="881" spans="1:7" ht="30" customHeight="1" x14ac:dyDescent="0.25">
      <c r="B881" s="190"/>
      <c r="E881" s="180"/>
    </row>
    <row r="882" spans="1:7" ht="15" customHeight="1" x14ac:dyDescent="0.25"/>
    <row r="883" spans="1:7" ht="15" customHeight="1" x14ac:dyDescent="0.25"/>
    <row r="884" spans="1:7" ht="15" customHeight="1" x14ac:dyDescent="0.25"/>
    <row r="885" spans="1:7" ht="15" customHeight="1" x14ac:dyDescent="0.25"/>
    <row r="886" spans="1:7" ht="15" customHeight="1" x14ac:dyDescent="0.25">
      <c r="A886" s="189"/>
      <c r="B886" s="188"/>
      <c r="C886" s="188"/>
      <c r="D886" s="189"/>
      <c r="E886" s="189"/>
      <c r="F886" s="189"/>
      <c r="G886" s="189"/>
    </row>
    <row r="887" spans="1:7" ht="15" customHeight="1" x14ac:dyDescent="0.25"/>
    <row r="888" spans="1:7" ht="15" customHeight="1" x14ac:dyDescent="0.25"/>
    <row r="889" spans="1:7" ht="15" customHeight="1" x14ac:dyDescent="0.25"/>
    <row r="890" spans="1:7" ht="15" customHeight="1" x14ac:dyDescent="0.25"/>
    <row r="891" spans="1:7" ht="15" customHeight="1" x14ac:dyDescent="0.25"/>
    <row r="892" spans="1:7" ht="15" customHeight="1" x14ac:dyDescent="0.25"/>
    <row r="893" spans="1:7" ht="15" customHeight="1" x14ac:dyDescent="0.25"/>
    <row r="894" spans="1:7" ht="15" customHeight="1" x14ac:dyDescent="0.25"/>
    <row r="895" spans="1:7" ht="15" customHeight="1" x14ac:dyDescent="0.25"/>
    <row r="896" spans="1:7" ht="15" customHeight="1" x14ac:dyDescent="0.25"/>
    <row r="897" spans="2:5" ht="15" customHeight="1" x14ac:dyDescent="0.25"/>
    <row r="898" spans="2:5" ht="15" customHeight="1" x14ac:dyDescent="0.25"/>
    <row r="899" spans="2:5" ht="15" customHeight="1" x14ac:dyDescent="0.25">
      <c r="B899" s="198"/>
      <c r="C899" s="198"/>
      <c r="D899" s="199"/>
      <c r="E899" s="199"/>
    </row>
    <row r="900" spans="2:5" ht="15" customHeight="1" x14ac:dyDescent="0.25">
      <c r="B900" s="200"/>
      <c r="E900" s="201"/>
    </row>
    <row r="901" spans="2:5" ht="15" customHeight="1" x14ac:dyDescent="0.25"/>
    <row r="902" spans="2:5" ht="15" customHeight="1" x14ac:dyDescent="0.25"/>
    <row r="903" spans="2:5" ht="15" customHeight="1" x14ac:dyDescent="0.25"/>
    <row r="904" spans="2:5" ht="15" customHeight="1" x14ac:dyDescent="0.25"/>
    <row r="905" spans="2:5" ht="15" customHeight="1" x14ac:dyDescent="0.25"/>
    <row r="906" spans="2:5" ht="15" customHeight="1" x14ac:dyDescent="0.25"/>
    <row r="907" spans="2:5" ht="15" customHeight="1" x14ac:dyDescent="0.25"/>
    <row r="908" spans="2:5" ht="15" customHeight="1" x14ac:dyDescent="0.25"/>
    <row r="909" spans="2:5" ht="15" customHeight="1" x14ac:dyDescent="0.25"/>
    <row r="910" spans="2:5" ht="15" customHeight="1" x14ac:dyDescent="0.25"/>
    <row r="911" spans="2:5" ht="15" customHeight="1" x14ac:dyDescent="0.25"/>
    <row r="912" spans="2:5" ht="15" customHeight="1" x14ac:dyDescent="0.25"/>
    <row r="913" spans="1:7" ht="15" customHeight="1" x14ac:dyDescent="0.25"/>
    <row r="914" spans="1:7" ht="15" customHeight="1" x14ac:dyDescent="0.25"/>
    <row r="915" spans="1:7" ht="15" customHeight="1" x14ac:dyDescent="0.25"/>
    <row r="916" spans="1:7" ht="15" customHeight="1" x14ac:dyDescent="0.25"/>
    <row r="917" spans="1:7" ht="15" customHeight="1" x14ac:dyDescent="0.25"/>
    <row r="918" spans="1:7" ht="15" customHeight="1" x14ac:dyDescent="0.25"/>
    <row r="919" spans="1:7" ht="15" customHeight="1" x14ac:dyDescent="0.25"/>
    <row r="920" spans="1:7" ht="15" customHeight="1" x14ac:dyDescent="0.25"/>
    <row r="921" spans="1:7" ht="15" customHeight="1" x14ac:dyDescent="0.25">
      <c r="B921" s="188"/>
      <c r="E921" s="189"/>
    </row>
    <row r="922" spans="1:7" ht="54.95" customHeight="1" x14ac:dyDescent="0.25">
      <c r="B922" s="195"/>
      <c r="E922" s="194"/>
    </row>
    <row r="923" spans="1:7" ht="30" customHeight="1" x14ac:dyDescent="0.25">
      <c r="B923" s="190"/>
      <c r="E923" s="180"/>
    </row>
    <row r="924" spans="1:7" ht="15" customHeight="1" x14ac:dyDescent="0.25"/>
    <row r="925" spans="1:7" ht="15" customHeight="1" x14ac:dyDescent="0.25"/>
    <row r="926" spans="1:7" ht="15" customHeight="1" x14ac:dyDescent="0.25"/>
    <row r="927" spans="1:7" ht="15" customHeight="1" x14ac:dyDescent="0.25"/>
    <row r="928" spans="1:7" ht="15" customHeight="1" x14ac:dyDescent="0.25">
      <c r="A928" s="189"/>
      <c r="B928" s="188"/>
      <c r="C928" s="188"/>
      <c r="D928" s="189"/>
      <c r="E928" s="189"/>
      <c r="F928" s="189"/>
      <c r="G928" s="189"/>
    </row>
    <row r="929" spans="2:8" ht="15" customHeight="1" x14ac:dyDescent="0.25"/>
    <row r="930" spans="2:8" ht="15" customHeight="1" x14ac:dyDescent="0.25"/>
    <row r="931" spans="2:8" ht="15" customHeight="1" x14ac:dyDescent="0.25"/>
    <row r="932" spans="2:8" ht="15" customHeight="1" x14ac:dyDescent="0.25"/>
    <row r="933" spans="2:8" ht="15" customHeight="1" x14ac:dyDescent="0.25"/>
    <row r="934" spans="2:8" ht="15" customHeight="1" x14ac:dyDescent="0.25"/>
    <row r="935" spans="2:8" ht="15" customHeight="1" x14ac:dyDescent="0.25"/>
    <row r="936" spans="2:8" ht="15" customHeight="1" x14ac:dyDescent="0.25"/>
    <row r="937" spans="2:8" ht="15" customHeight="1" x14ac:dyDescent="0.25"/>
    <row r="938" spans="2:8" ht="15" customHeight="1" x14ac:dyDescent="0.25"/>
    <row r="939" spans="2:8" ht="15" customHeight="1" x14ac:dyDescent="0.25">
      <c r="H939" s="154"/>
    </row>
    <row r="940" spans="2:8" ht="15" customHeight="1" x14ac:dyDescent="0.25">
      <c r="B940" s="198"/>
      <c r="C940" s="198"/>
      <c r="D940" s="199"/>
      <c r="E940" s="199"/>
      <c r="H940" s="154"/>
    </row>
    <row r="941" spans="2:8" ht="15" customHeight="1" x14ac:dyDescent="0.25">
      <c r="B941" s="200"/>
      <c r="E941" s="201"/>
      <c r="H941" s="154"/>
    </row>
    <row r="942" spans="2:8" ht="15" customHeight="1" x14ac:dyDescent="0.25">
      <c r="H942" s="154"/>
    </row>
    <row r="943" spans="2:8" ht="15" customHeight="1" x14ac:dyDescent="0.25">
      <c r="H943" s="154"/>
    </row>
    <row r="944" spans="2:8" ht="15" customHeight="1" x14ac:dyDescent="0.25">
      <c r="H944" s="154"/>
    </row>
    <row r="945" spans="2:5" ht="15" customHeight="1" x14ac:dyDescent="0.25"/>
    <row r="946" spans="2:5" ht="15" customHeight="1" x14ac:dyDescent="0.25"/>
    <row r="947" spans="2:5" ht="15" customHeight="1" x14ac:dyDescent="0.25"/>
    <row r="948" spans="2:5" ht="15" customHeight="1" x14ac:dyDescent="0.25"/>
    <row r="949" spans="2:5" ht="15" customHeight="1" x14ac:dyDescent="0.25"/>
    <row r="950" spans="2:5" ht="15" customHeight="1" x14ac:dyDescent="0.25"/>
    <row r="951" spans="2:5" ht="15" customHeight="1" x14ac:dyDescent="0.25"/>
    <row r="952" spans="2:5" ht="15" customHeight="1" x14ac:dyDescent="0.25"/>
    <row r="953" spans="2:5" ht="15" customHeight="1" x14ac:dyDescent="0.25"/>
    <row r="954" spans="2:5" ht="15" customHeight="1" x14ac:dyDescent="0.25"/>
    <row r="955" spans="2:5" ht="15" customHeight="1" x14ac:dyDescent="0.25"/>
    <row r="956" spans="2:5" ht="15" customHeight="1" x14ac:dyDescent="0.25"/>
    <row r="957" spans="2:5" ht="15" customHeight="1" x14ac:dyDescent="0.25"/>
    <row r="958" spans="2:5" ht="15" customHeight="1" x14ac:dyDescent="0.25"/>
    <row r="959" spans="2:5" ht="15" customHeight="1" x14ac:dyDescent="0.25"/>
    <row r="960" spans="2:5" ht="15" customHeight="1" x14ac:dyDescent="0.25">
      <c r="B960" s="184"/>
      <c r="C960" s="184"/>
      <c r="D960" s="183"/>
      <c r="E960" s="183"/>
    </row>
    <row r="961" spans="1:7" ht="15" customHeight="1" x14ac:dyDescent="0.25">
      <c r="B961" s="184"/>
      <c r="C961" s="184"/>
      <c r="D961" s="183"/>
      <c r="E961" s="183"/>
    </row>
    <row r="962" spans="1:7" ht="15" customHeight="1" x14ac:dyDescent="0.25"/>
    <row r="963" spans="1:7" ht="15" customHeight="1" x14ac:dyDescent="0.25">
      <c r="B963" s="188"/>
      <c r="E963" s="189"/>
    </row>
    <row r="964" spans="1:7" ht="54.95" customHeight="1" x14ac:dyDescent="0.25">
      <c r="B964" s="195"/>
      <c r="E964" s="194"/>
    </row>
    <row r="965" spans="1:7" ht="30" customHeight="1" x14ac:dyDescent="0.25">
      <c r="B965" s="190"/>
      <c r="E965" s="180"/>
    </row>
    <row r="966" spans="1:7" ht="15" customHeight="1" x14ac:dyDescent="0.25"/>
    <row r="967" spans="1:7" ht="15" customHeight="1" x14ac:dyDescent="0.25"/>
    <row r="968" spans="1:7" ht="15" customHeight="1" x14ac:dyDescent="0.25"/>
    <row r="969" spans="1:7" ht="15" customHeight="1" x14ac:dyDescent="0.25"/>
    <row r="970" spans="1:7" ht="15" customHeight="1" x14ac:dyDescent="0.25">
      <c r="A970" s="189"/>
      <c r="B970" s="188"/>
      <c r="C970" s="188"/>
      <c r="D970" s="189"/>
      <c r="E970" s="189"/>
      <c r="F970" s="189"/>
      <c r="G970" s="189"/>
    </row>
    <row r="971" spans="1:7" ht="15" customHeight="1" x14ac:dyDescent="0.25"/>
    <row r="972" spans="1:7" ht="15" customHeight="1" x14ac:dyDescent="0.25"/>
    <row r="973" spans="1:7" ht="15" customHeight="1" x14ac:dyDescent="0.25"/>
    <row r="974" spans="1:7" ht="15" customHeight="1" x14ac:dyDescent="0.25"/>
    <row r="975" spans="1:7" ht="15" customHeight="1" x14ac:dyDescent="0.25"/>
    <row r="976" spans="1:7" ht="15" customHeight="1" x14ac:dyDescent="0.25"/>
    <row r="977" spans="2:5" ht="15" customHeight="1" x14ac:dyDescent="0.25"/>
    <row r="978" spans="2:5" ht="15" customHeight="1" x14ac:dyDescent="0.25"/>
    <row r="979" spans="2:5" ht="15" customHeight="1" x14ac:dyDescent="0.25"/>
    <row r="980" spans="2:5" ht="15" customHeight="1" x14ac:dyDescent="0.25"/>
    <row r="981" spans="2:5" ht="15" customHeight="1" x14ac:dyDescent="0.25">
      <c r="B981" s="198"/>
      <c r="C981" s="198"/>
      <c r="D981" s="199"/>
      <c r="E981" s="199"/>
    </row>
    <row r="982" spans="2:5" ht="15" customHeight="1" x14ac:dyDescent="0.25">
      <c r="B982" s="200"/>
      <c r="E982" s="201"/>
    </row>
    <row r="983" spans="2:5" ht="15" customHeight="1" x14ac:dyDescent="0.25"/>
    <row r="984" spans="2:5" ht="15" customHeight="1" x14ac:dyDescent="0.25"/>
    <row r="985" spans="2:5" ht="15" customHeight="1" x14ac:dyDescent="0.25"/>
    <row r="986" spans="2:5" ht="15" customHeight="1" x14ac:dyDescent="0.25"/>
    <row r="987" spans="2:5" ht="15" customHeight="1" x14ac:dyDescent="0.25"/>
    <row r="988" spans="2:5" ht="15" customHeight="1" x14ac:dyDescent="0.25"/>
    <row r="989" spans="2:5" ht="15" customHeight="1" x14ac:dyDescent="0.25"/>
    <row r="990" spans="2:5" ht="15" customHeight="1" x14ac:dyDescent="0.25"/>
    <row r="991" spans="2:5" ht="15" customHeight="1" x14ac:dyDescent="0.25"/>
    <row r="992" spans="2:5" ht="15" customHeight="1" x14ac:dyDescent="0.25"/>
    <row r="993" spans="2:5" ht="15" customHeight="1" x14ac:dyDescent="0.25"/>
    <row r="994" spans="2:5" ht="15" customHeight="1" x14ac:dyDescent="0.25"/>
    <row r="995" spans="2:5" ht="15" customHeight="1" x14ac:dyDescent="0.25"/>
    <row r="996" spans="2:5" ht="15" customHeight="1" x14ac:dyDescent="0.25"/>
    <row r="997" spans="2:5" ht="15" customHeight="1" x14ac:dyDescent="0.25"/>
    <row r="998" spans="2:5" ht="15" customHeight="1" x14ac:dyDescent="0.25"/>
    <row r="999" spans="2:5" ht="15" customHeight="1" x14ac:dyDescent="0.25"/>
    <row r="1000" spans="2:5" ht="15" customHeight="1" x14ac:dyDescent="0.25"/>
    <row r="1001" spans="2:5" ht="15" customHeight="1" x14ac:dyDescent="0.25"/>
    <row r="1002" spans="2:5" ht="15" customHeight="1" x14ac:dyDescent="0.25"/>
    <row r="1003" spans="2:5" ht="15" customHeight="1" x14ac:dyDescent="0.25"/>
    <row r="1004" spans="2:5" ht="15" customHeight="1" x14ac:dyDescent="0.25"/>
    <row r="1005" spans="2:5" ht="15" customHeight="1" x14ac:dyDescent="0.25">
      <c r="B1005" s="188"/>
      <c r="E1005" s="189"/>
    </row>
    <row r="1006" spans="2:5" ht="54.95" customHeight="1" x14ac:dyDescent="0.25">
      <c r="B1006" s="195"/>
      <c r="E1006" s="194"/>
    </row>
    <row r="1007" spans="2:5" ht="30" customHeight="1" x14ac:dyDescent="0.25">
      <c r="B1007" s="190"/>
      <c r="E1007" s="180"/>
    </row>
    <row r="1008" spans="2:5" ht="15" customHeight="1" x14ac:dyDescent="0.25"/>
    <row r="1009" spans="1:7" ht="15" customHeight="1" x14ac:dyDescent="0.25"/>
    <row r="1010" spans="1:7" ht="15" customHeight="1" x14ac:dyDescent="0.25"/>
    <row r="1011" spans="1:7" ht="15" customHeight="1" x14ac:dyDescent="0.25"/>
    <row r="1012" spans="1:7" ht="15" customHeight="1" x14ac:dyDescent="0.25">
      <c r="A1012" s="189"/>
      <c r="B1012" s="188"/>
      <c r="C1012" s="188"/>
      <c r="D1012" s="189"/>
      <c r="E1012" s="189"/>
      <c r="F1012" s="189"/>
      <c r="G1012" s="189"/>
    </row>
    <row r="1013" spans="1:7" ht="15" customHeight="1" x14ac:dyDescent="0.25"/>
    <row r="1014" spans="1:7" ht="15" customHeight="1" x14ac:dyDescent="0.25"/>
    <row r="1015" spans="1:7" ht="15" customHeight="1" x14ac:dyDescent="0.25"/>
    <row r="1016" spans="1:7" ht="15" customHeight="1" x14ac:dyDescent="0.25"/>
    <row r="1017" spans="1:7" ht="15" customHeight="1" x14ac:dyDescent="0.25"/>
    <row r="1018" spans="1:7" ht="15" customHeight="1" x14ac:dyDescent="0.25"/>
    <row r="1019" spans="1:7" ht="15" customHeight="1" x14ac:dyDescent="0.25"/>
    <row r="1020" spans="1:7" ht="15" customHeight="1" x14ac:dyDescent="0.25"/>
    <row r="1021" spans="1:7" ht="15" customHeight="1" x14ac:dyDescent="0.25"/>
    <row r="1022" spans="1:7" ht="15" customHeight="1" x14ac:dyDescent="0.25">
      <c r="B1022" s="198"/>
      <c r="C1022" s="198"/>
      <c r="D1022" s="199"/>
      <c r="E1022" s="199"/>
    </row>
    <row r="1023" spans="1:7" ht="15" customHeight="1" x14ac:dyDescent="0.25">
      <c r="B1023" s="200"/>
      <c r="E1023" s="201"/>
    </row>
    <row r="1024" spans="1:7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spans="1:7" ht="15" customHeight="1" x14ac:dyDescent="0.25"/>
    <row r="1042" spans="1:7" ht="15" customHeight="1" x14ac:dyDescent="0.25"/>
    <row r="1043" spans="1:7" ht="15" customHeight="1" x14ac:dyDescent="0.25"/>
    <row r="1044" spans="1:7" ht="15" customHeight="1" x14ac:dyDescent="0.25"/>
    <row r="1045" spans="1:7" ht="15" customHeight="1" x14ac:dyDescent="0.25"/>
    <row r="1046" spans="1:7" ht="15" customHeight="1" x14ac:dyDescent="0.25"/>
    <row r="1047" spans="1:7" ht="15" customHeight="1" x14ac:dyDescent="0.25">
      <c r="B1047" s="188"/>
      <c r="E1047" s="189"/>
    </row>
    <row r="1048" spans="1:7" ht="54.95" customHeight="1" x14ac:dyDescent="0.25">
      <c r="B1048" s="195"/>
      <c r="E1048" s="194"/>
    </row>
    <row r="1049" spans="1:7" ht="30" customHeight="1" x14ac:dyDescent="0.25">
      <c r="B1049" s="190"/>
      <c r="E1049" s="180"/>
    </row>
    <row r="1050" spans="1:7" ht="15" customHeight="1" x14ac:dyDescent="0.25"/>
    <row r="1051" spans="1:7" ht="15" customHeight="1" x14ac:dyDescent="0.25"/>
    <row r="1052" spans="1:7" ht="15" customHeight="1" x14ac:dyDescent="0.25"/>
    <row r="1053" spans="1:7" ht="15" customHeight="1" x14ac:dyDescent="0.25"/>
    <row r="1054" spans="1:7" ht="15" customHeight="1" x14ac:dyDescent="0.25">
      <c r="A1054" s="189"/>
      <c r="B1054" s="188"/>
      <c r="C1054" s="188"/>
      <c r="D1054" s="189"/>
      <c r="E1054" s="189"/>
      <c r="F1054" s="189"/>
      <c r="G1054" s="189"/>
    </row>
    <row r="1055" spans="1:7" ht="15" customHeight="1" x14ac:dyDescent="0.25"/>
    <row r="1056" spans="1:7" ht="15" customHeight="1" x14ac:dyDescent="0.25"/>
    <row r="1057" spans="2:5" ht="15" customHeight="1" x14ac:dyDescent="0.25"/>
    <row r="1058" spans="2:5" ht="15" customHeight="1" x14ac:dyDescent="0.25"/>
    <row r="1059" spans="2:5" ht="15" customHeight="1" x14ac:dyDescent="0.25"/>
    <row r="1060" spans="2:5" ht="15" customHeight="1" x14ac:dyDescent="0.25"/>
    <row r="1061" spans="2:5" ht="15" customHeight="1" x14ac:dyDescent="0.25"/>
    <row r="1062" spans="2:5" ht="15" customHeight="1" x14ac:dyDescent="0.25"/>
    <row r="1063" spans="2:5" ht="15" customHeight="1" x14ac:dyDescent="0.25">
      <c r="B1063" s="198"/>
      <c r="C1063" s="198"/>
      <c r="D1063" s="199"/>
      <c r="E1063" s="199"/>
    </row>
    <row r="1064" spans="2:5" ht="15" customHeight="1" x14ac:dyDescent="0.25">
      <c r="B1064" s="200"/>
      <c r="E1064" s="201"/>
    </row>
    <row r="1065" spans="2:5" ht="15" customHeight="1" x14ac:dyDescent="0.25"/>
    <row r="1066" spans="2:5" ht="15" customHeight="1" x14ac:dyDescent="0.25"/>
    <row r="1067" spans="2:5" ht="15" customHeight="1" x14ac:dyDescent="0.25"/>
    <row r="1068" spans="2:5" ht="15" customHeight="1" x14ac:dyDescent="0.25"/>
    <row r="1069" spans="2:5" ht="15" customHeight="1" x14ac:dyDescent="0.25"/>
    <row r="1070" spans="2:5" ht="15" customHeight="1" x14ac:dyDescent="0.25"/>
    <row r="1071" spans="2:5" ht="15" customHeight="1" x14ac:dyDescent="0.25"/>
    <row r="1072" spans="2:5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1:7" ht="15" customHeight="1" x14ac:dyDescent="0.25">
      <c r="B1089" s="188"/>
      <c r="E1089" s="189"/>
    </row>
    <row r="1090" spans="1:7" ht="54.95" customHeight="1" x14ac:dyDescent="0.25">
      <c r="B1090" s="195"/>
      <c r="E1090" s="194"/>
    </row>
    <row r="1091" spans="1:7" ht="30" customHeight="1" x14ac:dyDescent="0.25">
      <c r="B1091" s="190"/>
      <c r="E1091" s="180"/>
    </row>
    <row r="1092" spans="1:7" ht="15" customHeight="1" x14ac:dyDescent="0.25"/>
    <row r="1093" spans="1:7" ht="15" customHeight="1" x14ac:dyDescent="0.25"/>
    <row r="1094" spans="1:7" ht="15" customHeight="1" x14ac:dyDescent="0.25"/>
    <row r="1095" spans="1:7" ht="15" customHeight="1" x14ac:dyDescent="0.25"/>
    <row r="1096" spans="1:7" ht="15" customHeight="1" x14ac:dyDescent="0.25">
      <c r="A1096" s="189"/>
      <c r="B1096" s="188"/>
      <c r="C1096" s="188"/>
      <c r="D1096" s="189"/>
      <c r="E1096" s="189"/>
      <c r="F1096" s="189"/>
      <c r="G1096" s="189"/>
    </row>
    <row r="1097" spans="1:7" ht="15" customHeight="1" x14ac:dyDescent="0.25"/>
    <row r="1098" spans="1:7" ht="15" customHeight="1" x14ac:dyDescent="0.25"/>
    <row r="1099" spans="1:7" ht="15" customHeight="1" x14ac:dyDescent="0.25"/>
    <row r="1100" spans="1:7" ht="15" customHeight="1" x14ac:dyDescent="0.25"/>
    <row r="1101" spans="1:7" ht="15" customHeight="1" x14ac:dyDescent="0.25"/>
    <row r="1102" spans="1:7" ht="15" customHeight="1" x14ac:dyDescent="0.25"/>
    <row r="1103" spans="1:7" ht="15" customHeight="1" x14ac:dyDescent="0.25"/>
    <row r="1104" spans="1:7" ht="15" customHeight="1" x14ac:dyDescent="0.25">
      <c r="B1104" s="198"/>
      <c r="C1104" s="198"/>
      <c r="D1104" s="199"/>
      <c r="E1104" s="199"/>
    </row>
    <row r="1105" spans="2:5" ht="15" customHeight="1" x14ac:dyDescent="0.25">
      <c r="B1105" s="200"/>
      <c r="E1105" s="201"/>
    </row>
    <row r="1106" spans="2:5" ht="15" customHeight="1" x14ac:dyDescent="0.25"/>
    <row r="1107" spans="2:5" ht="15" customHeight="1" x14ac:dyDescent="0.25"/>
    <row r="1108" spans="2:5" ht="15" customHeight="1" x14ac:dyDescent="0.25"/>
    <row r="1109" spans="2:5" ht="15" customHeight="1" x14ac:dyDescent="0.25"/>
    <row r="1110" spans="2:5" ht="15" customHeight="1" x14ac:dyDescent="0.25"/>
    <row r="1111" spans="2:5" ht="15" customHeight="1" x14ac:dyDescent="0.25"/>
    <row r="1112" spans="2:5" ht="15" customHeight="1" x14ac:dyDescent="0.25"/>
    <row r="1113" spans="2:5" ht="15" customHeight="1" x14ac:dyDescent="0.25"/>
    <row r="1114" spans="2:5" ht="15" customHeight="1" x14ac:dyDescent="0.25"/>
    <row r="1115" spans="2:5" ht="15" customHeight="1" x14ac:dyDescent="0.25"/>
    <row r="1116" spans="2:5" ht="15" customHeight="1" x14ac:dyDescent="0.25"/>
    <row r="1117" spans="2:5" ht="15" customHeight="1" x14ac:dyDescent="0.25"/>
    <row r="1118" spans="2:5" ht="15" customHeight="1" x14ac:dyDescent="0.25"/>
    <row r="1119" spans="2:5" ht="15" customHeight="1" x14ac:dyDescent="0.25"/>
    <row r="1120" spans="2:5" ht="15" customHeight="1" x14ac:dyDescent="0.25"/>
    <row r="1121" spans="2:5" ht="15" customHeight="1" x14ac:dyDescent="0.25"/>
    <row r="1122" spans="2:5" ht="15" customHeight="1" x14ac:dyDescent="0.25"/>
    <row r="1123" spans="2:5" ht="15" customHeight="1" x14ac:dyDescent="0.25"/>
    <row r="1124" spans="2:5" ht="15" customHeight="1" x14ac:dyDescent="0.25"/>
    <row r="1125" spans="2:5" ht="15" customHeight="1" x14ac:dyDescent="0.25"/>
    <row r="1126" spans="2:5" ht="15" customHeight="1" x14ac:dyDescent="0.25"/>
    <row r="1127" spans="2:5" ht="15" customHeight="1" x14ac:dyDescent="0.25"/>
    <row r="1128" spans="2:5" ht="15" customHeight="1" x14ac:dyDescent="0.25"/>
    <row r="1129" spans="2:5" ht="15" customHeight="1" x14ac:dyDescent="0.25"/>
    <row r="1130" spans="2:5" ht="15" customHeight="1" x14ac:dyDescent="0.25"/>
    <row r="1131" spans="2:5" ht="15" customHeight="1" x14ac:dyDescent="0.25">
      <c r="B1131" s="188"/>
      <c r="E1131" s="189"/>
    </row>
    <row r="1132" spans="2:5" ht="54.95" customHeight="1" x14ac:dyDescent="0.25">
      <c r="B1132" s="195"/>
      <c r="E1132" s="194"/>
    </row>
    <row r="1133" spans="2:5" ht="30" customHeight="1" x14ac:dyDescent="0.25">
      <c r="B1133" s="190"/>
      <c r="E1133" s="180"/>
    </row>
    <row r="1134" spans="2:5" ht="15" customHeight="1" x14ac:dyDescent="0.25"/>
    <row r="1135" spans="2:5" ht="15" customHeight="1" x14ac:dyDescent="0.25"/>
    <row r="1136" spans="2:5" ht="15" customHeight="1" x14ac:dyDescent="0.25"/>
    <row r="1137" spans="1:7" ht="15" customHeight="1" x14ac:dyDescent="0.25"/>
    <row r="1138" spans="1:7" ht="15" customHeight="1" x14ac:dyDescent="0.25">
      <c r="A1138" s="189"/>
      <c r="B1138" s="188"/>
      <c r="C1138" s="188"/>
      <c r="D1138" s="189"/>
      <c r="E1138" s="189"/>
      <c r="F1138" s="189"/>
      <c r="G1138" s="189"/>
    </row>
    <row r="1139" spans="1:7" ht="15" customHeight="1" x14ac:dyDescent="0.25"/>
    <row r="1140" spans="1:7" ht="15" customHeight="1" x14ac:dyDescent="0.25"/>
    <row r="1141" spans="1:7" ht="15" customHeight="1" x14ac:dyDescent="0.25"/>
    <row r="1142" spans="1:7" ht="15" customHeight="1" x14ac:dyDescent="0.25"/>
    <row r="1143" spans="1:7" ht="15" customHeight="1" x14ac:dyDescent="0.25"/>
    <row r="1144" spans="1:7" ht="15" customHeight="1" x14ac:dyDescent="0.25"/>
    <row r="1145" spans="1:7" ht="15" customHeight="1" x14ac:dyDescent="0.25">
      <c r="B1145" s="198"/>
      <c r="C1145" s="198"/>
      <c r="D1145" s="199"/>
      <c r="E1145" s="199"/>
    </row>
    <row r="1146" spans="1:7" ht="15" customHeight="1" x14ac:dyDescent="0.25">
      <c r="B1146" s="200"/>
      <c r="E1146" s="201"/>
    </row>
    <row r="1147" spans="1:7" ht="15" customHeight="1" x14ac:dyDescent="0.25"/>
    <row r="1148" spans="1:7" ht="15" customHeight="1" x14ac:dyDescent="0.25"/>
    <row r="1149" spans="1:7" ht="15" customHeight="1" x14ac:dyDescent="0.25"/>
    <row r="1150" spans="1:7" ht="15" customHeight="1" x14ac:dyDescent="0.25"/>
    <row r="1151" spans="1:7" ht="15" customHeight="1" x14ac:dyDescent="0.25"/>
    <row r="1152" spans="1:7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1:7" ht="15" customHeight="1" x14ac:dyDescent="0.25"/>
    <row r="1170" spans="1:7" ht="15" customHeight="1" x14ac:dyDescent="0.25"/>
    <row r="1171" spans="1:7" ht="15" customHeight="1" x14ac:dyDescent="0.25"/>
    <row r="1172" spans="1:7" ht="15" customHeight="1" x14ac:dyDescent="0.25"/>
    <row r="1173" spans="1:7" ht="15" customHeight="1" x14ac:dyDescent="0.25">
      <c r="B1173" s="188"/>
      <c r="E1173" s="189"/>
    </row>
    <row r="1174" spans="1:7" ht="54.95" customHeight="1" x14ac:dyDescent="0.25">
      <c r="B1174" s="195"/>
      <c r="E1174" s="194"/>
    </row>
    <row r="1175" spans="1:7" ht="30" customHeight="1" x14ac:dyDescent="0.25">
      <c r="B1175" s="190"/>
      <c r="E1175" s="180"/>
    </row>
    <row r="1176" spans="1:7" ht="15" customHeight="1" x14ac:dyDescent="0.25"/>
    <row r="1177" spans="1:7" ht="15" customHeight="1" x14ac:dyDescent="0.25"/>
    <row r="1178" spans="1:7" ht="15" customHeight="1" x14ac:dyDescent="0.25"/>
    <row r="1179" spans="1:7" ht="15" customHeight="1" x14ac:dyDescent="0.25"/>
    <row r="1180" spans="1:7" ht="15" customHeight="1" x14ac:dyDescent="0.25">
      <c r="A1180" s="189"/>
      <c r="B1180" s="188"/>
      <c r="C1180" s="188"/>
      <c r="D1180" s="189"/>
      <c r="E1180" s="189"/>
      <c r="F1180" s="189"/>
      <c r="G1180" s="189"/>
    </row>
    <row r="1181" spans="1:7" ht="15" customHeight="1" x14ac:dyDescent="0.25"/>
    <row r="1182" spans="1:7" ht="15" customHeight="1" x14ac:dyDescent="0.25"/>
    <row r="1183" spans="1:7" ht="15" customHeight="1" x14ac:dyDescent="0.25"/>
    <row r="1184" spans="1:7" ht="15" customHeight="1" x14ac:dyDescent="0.25"/>
    <row r="1185" spans="2:5" ht="15" customHeight="1" x14ac:dyDescent="0.25"/>
    <row r="1186" spans="2:5" ht="15" customHeight="1" x14ac:dyDescent="0.25">
      <c r="B1186" s="184"/>
      <c r="C1186" s="184"/>
      <c r="D1186" s="183"/>
      <c r="E1186" s="183"/>
    </row>
    <row r="1187" spans="2:5" ht="15" customHeight="1" x14ac:dyDescent="0.25">
      <c r="B1187" s="185"/>
      <c r="E1187" s="186"/>
    </row>
    <row r="1188" spans="2:5" ht="15" customHeight="1" x14ac:dyDescent="0.25"/>
    <row r="1189" spans="2:5" ht="15" customHeight="1" x14ac:dyDescent="0.25"/>
    <row r="1190" spans="2:5" ht="15" customHeight="1" x14ac:dyDescent="0.25"/>
    <row r="1191" spans="2:5" ht="15" customHeight="1" x14ac:dyDescent="0.25"/>
    <row r="1192" spans="2:5" ht="15" customHeight="1" x14ac:dyDescent="0.25"/>
    <row r="1193" spans="2:5" ht="15" customHeight="1" x14ac:dyDescent="0.25"/>
    <row r="1194" spans="2:5" ht="15" customHeight="1" x14ac:dyDescent="0.25"/>
    <row r="1195" spans="2:5" ht="15" customHeight="1" x14ac:dyDescent="0.25"/>
    <row r="1196" spans="2:5" ht="15" customHeight="1" x14ac:dyDescent="0.25"/>
    <row r="1197" spans="2:5" ht="15" customHeight="1" x14ac:dyDescent="0.25"/>
    <row r="1198" spans="2:5" ht="15" customHeight="1" x14ac:dyDescent="0.25"/>
    <row r="1199" spans="2:5" ht="15" customHeight="1" x14ac:dyDescent="0.25"/>
    <row r="1200" spans="2:5" ht="15" customHeight="1" x14ac:dyDescent="0.25"/>
    <row r="1201" spans="2:5" ht="15" customHeight="1" x14ac:dyDescent="0.25"/>
    <row r="1202" spans="2:5" ht="15" customHeight="1" x14ac:dyDescent="0.25"/>
    <row r="1203" spans="2:5" ht="15" customHeight="1" x14ac:dyDescent="0.25"/>
    <row r="1204" spans="2:5" ht="15" customHeight="1" x14ac:dyDescent="0.25"/>
    <row r="1205" spans="2:5" ht="15" customHeight="1" x14ac:dyDescent="0.25"/>
    <row r="1206" spans="2:5" ht="15" customHeight="1" x14ac:dyDescent="0.25"/>
    <row r="1207" spans="2:5" ht="15" customHeight="1" x14ac:dyDescent="0.25"/>
    <row r="1208" spans="2:5" ht="15" customHeight="1" x14ac:dyDescent="0.25"/>
    <row r="1209" spans="2:5" ht="15" customHeight="1" x14ac:dyDescent="0.25"/>
    <row r="1210" spans="2:5" ht="15" customHeight="1" x14ac:dyDescent="0.25"/>
    <row r="1211" spans="2:5" ht="15" customHeight="1" x14ac:dyDescent="0.25"/>
    <row r="1212" spans="2:5" ht="15" customHeight="1" x14ac:dyDescent="0.25"/>
    <row r="1213" spans="2:5" ht="15" customHeight="1" x14ac:dyDescent="0.25"/>
    <row r="1214" spans="2:5" ht="15" customHeight="1" x14ac:dyDescent="0.25"/>
    <row r="1215" spans="2:5" ht="15" customHeight="1" x14ac:dyDescent="0.25">
      <c r="B1215" s="188"/>
      <c r="E1215" s="189"/>
    </row>
    <row r="1216" spans="2:5" ht="54.95" customHeight="1" x14ac:dyDescent="0.25">
      <c r="B1216" s="195"/>
      <c r="E1216" s="194"/>
    </row>
    <row r="1217" spans="1:7" ht="30" customHeight="1" x14ac:dyDescent="0.25">
      <c r="B1217" s="190"/>
      <c r="E1217" s="180"/>
    </row>
    <row r="1218" spans="1:7" ht="15" customHeight="1" x14ac:dyDescent="0.25"/>
    <row r="1219" spans="1:7" ht="15" customHeight="1" x14ac:dyDescent="0.25"/>
    <row r="1220" spans="1:7" ht="15" customHeight="1" x14ac:dyDescent="0.25"/>
    <row r="1221" spans="1:7" ht="15" customHeight="1" x14ac:dyDescent="0.25"/>
    <row r="1222" spans="1:7" ht="15" customHeight="1" x14ac:dyDescent="0.25">
      <c r="A1222" s="189"/>
      <c r="B1222" s="188"/>
      <c r="C1222" s="188"/>
      <c r="D1222" s="189"/>
      <c r="E1222" s="189"/>
      <c r="F1222" s="189"/>
      <c r="G1222" s="189"/>
    </row>
    <row r="1223" spans="1:7" ht="15" customHeight="1" x14ac:dyDescent="0.25"/>
    <row r="1224" spans="1:7" ht="15" customHeight="1" x14ac:dyDescent="0.25"/>
    <row r="1225" spans="1:7" ht="15" customHeight="1" x14ac:dyDescent="0.25"/>
    <row r="1226" spans="1:7" ht="15" customHeight="1" x14ac:dyDescent="0.25"/>
    <row r="1227" spans="1:7" ht="15" customHeight="1" x14ac:dyDescent="0.25">
      <c r="B1227" s="198"/>
      <c r="C1227" s="198"/>
      <c r="D1227" s="199"/>
      <c r="E1227" s="199"/>
    </row>
    <row r="1228" spans="1:7" ht="15" customHeight="1" x14ac:dyDescent="0.25">
      <c r="B1228" s="200"/>
      <c r="E1228" s="201"/>
    </row>
    <row r="1229" spans="1:7" ht="15" customHeight="1" x14ac:dyDescent="0.25"/>
    <row r="1230" spans="1:7" ht="15" customHeight="1" x14ac:dyDescent="0.25"/>
    <row r="1231" spans="1:7" ht="15" customHeight="1" x14ac:dyDescent="0.25"/>
    <row r="1232" spans="1:7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spans="1:7" ht="15" customHeight="1" x14ac:dyDescent="0.25"/>
    <row r="1250" spans="1:7" ht="15" customHeight="1" x14ac:dyDescent="0.25"/>
    <row r="1251" spans="1:7" ht="15" customHeight="1" x14ac:dyDescent="0.25"/>
    <row r="1252" spans="1:7" ht="15" customHeight="1" x14ac:dyDescent="0.25"/>
    <row r="1253" spans="1:7" ht="15" customHeight="1" x14ac:dyDescent="0.25"/>
    <row r="1254" spans="1:7" ht="15" customHeight="1" x14ac:dyDescent="0.25"/>
    <row r="1255" spans="1:7" ht="15" customHeight="1" x14ac:dyDescent="0.25"/>
    <row r="1256" spans="1:7" ht="15" customHeight="1" x14ac:dyDescent="0.25"/>
    <row r="1257" spans="1:7" ht="15" customHeight="1" x14ac:dyDescent="0.25">
      <c r="B1257" s="188"/>
      <c r="E1257" s="189"/>
    </row>
    <row r="1258" spans="1:7" ht="54.95" customHeight="1" x14ac:dyDescent="0.25">
      <c r="B1258" s="195"/>
      <c r="E1258" s="194"/>
    </row>
    <row r="1259" spans="1:7" ht="30" customHeight="1" x14ac:dyDescent="0.25">
      <c r="B1259" s="190"/>
      <c r="E1259" s="180"/>
    </row>
    <row r="1260" spans="1:7" ht="15" customHeight="1" x14ac:dyDescent="0.25"/>
    <row r="1261" spans="1:7" ht="15" customHeight="1" x14ac:dyDescent="0.25"/>
    <row r="1262" spans="1:7" ht="15" customHeight="1" x14ac:dyDescent="0.25"/>
    <row r="1263" spans="1:7" ht="15" customHeight="1" x14ac:dyDescent="0.25"/>
    <row r="1264" spans="1:7" ht="15" customHeight="1" x14ac:dyDescent="0.25">
      <c r="A1264" s="189"/>
      <c r="B1264" s="188"/>
      <c r="C1264" s="188"/>
      <c r="D1264" s="189"/>
      <c r="E1264" s="189"/>
      <c r="F1264" s="189"/>
      <c r="G1264" s="189"/>
    </row>
    <row r="1265" spans="2:5" ht="15" customHeight="1" x14ac:dyDescent="0.25"/>
    <row r="1266" spans="2:5" ht="15" customHeight="1" x14ac:dyDescent="0.25"/>
    <row r="1267" spans="2:5" ht="15" customHeight="1" x14ac:dyDescent="0.25"/>
    <row r="1268" spans="2:5" ht="15" customHeight="1" x14ac:dyDescent="0.25">
      <c r="B1268" s="198"/>
      <c r="C1268" s="198"/>
      <c r="D1268" s="199"/>
      <c r="E1268" s="199"/>
    </row>
    <row r="1269" spans="2:5" ht="15" customHeight="1" x14ac:dyDescent="0.25">
      <c r="B1269" s="200"/>
      <c r="E1269" s="201"/>
    </row>
    <row r="1270" spans="2:5" ht="15" customHeight="1" x14ac:dyDescent="0.25"/>
    <row r="1271" spans="2:5" ht="15" customHeight="1" x14ac:dyDescent="0.25"/>
    <row r="1272" spans="2:5" ht="15" customHeight="1" x14ac:dyDescent="0.25"/>
    <row r="1273" spans="2:5" ht="15" customHeight="1" x14ac:dyDescent="0.25"/>
    <row r="1274" spans="2:5" ht="15" customHeight="1" x14ac:dyDescent="0.25"/>
    <row r="1275" spans="2:5" ht="15" customHeight="1" x14ac:dyDescent="0.25"/>
    <row r="1276" spans="2:5" ht="15" customHeight="1" x14ac:dyDescent="0.25"/>
    <row r="1277" spans="2:5" ht="15" customHeight="1" x14ac:dyDescent="0.25"/>
    <row r="1278" spans="2:5" ht="15" customHeight="1" x14ac:dyDescent="0.25"/>
    <row r="1279" spans="2:5" ht="15" customHeight="1" x14ac:dyDescent="0.25"/>
    <row r="1280" spans="2:5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spans="1:7" ht="15" customHeight="1" x14ac:dyDescent="0.25"/>
    <row r="1298" spans="1:7" ht="15" customHeight="1" x14ac:dyDescent="0.25"/>
    <row r="1299" spans="1:7" ht="15" customHeight="1" x14ac:dyDescent="0.25">
      <c r="B1299" s="188"/>
      <c r="E1299" s="189"/>
    </row>
    <row r="1300" spans="1:7" ht="54.95" customHeight="1" x14ac:dyDescent="0.25">
      <c r="B1300" s="195"/>
      <c r="E1300" s="194"/>
    </row>
    <row r="1301" spans="1:7" ht="30" customHeight="1" x14ac:dyDescent="0.25">
      <c r="B1301" s="190"/>
      <c r="E1301" s="180"/>
    </row>
    <row r="1302" spans="1:7" ht="15" customHeight="1" x14ac:dyDescent="0.25"/>
    <row r="1303" spans="1:7" ht="15" customHeight="1" x14ac:dyDescent="0.25"/>
    <row r="1304" spans="1:7" ht="15" customHeight="1" x14ac:dyDescent="0.25"/>
    <row r="1305" spans="1:7" ht="15" customHeight="1" x14ac:dyDescent="0.25"/>
    <row r="1306" spans="1:7" ht="15" customHeight="1" x14ac:dyDescent="0.25">
      <c r="A1306" s="189"/>
      <c r="B1306" s="188"/>
      <c r="C1306" s="188"/>
      <c r="D1306" s="189"/>
      <c r="E1306" s="189"/>
      <c r="F1306" s="189"/>
      <c r="G1306" s="189"/>
    </row>
    <row r="1307" spans="1:7" ht="15" customHeight="1" x14ac:dyDescent="0.25"/>
    <row r="1308" spans="1:7" ht="15" customHeight="1" x14ac:dyDescent="0.25"/>
    <row r="1309" spans="1:7" ht="15" customHeight="1" x14ac:dyDescent="0.25">
      <c r="B1309" s="198"/>
      <c r="C1309" s="198"/>
      <c r="D1309" s="199"/>
      <c r="E1309" s="199"/>
    </row>
    <row r="1310" spans="1:7" ht="15" customHeight="1" x14ac:dyDescent="0.25">
      <c r="B1310" s="200"/>
      <c r="E1310" s="201"/>
    </row>
    <row r="1311" spans="1:7" ht="15" customHeight="1" x14ac:dyDescent="0.25"/>
    <row r="1312" spans="1:7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spans="2:5" ht="15" customHeight="1" x14ac:dyDescent="0.25"/>
    <row r="1330" spans="2:5" ht="15" customHeight="1" x14ac:dyDescent="0.25"/>
    <row r="1331" spans="2:5" ht="15" customHeight="1" x14ac:dyDescent="0.25"/>
    <row r="1332" spans="2:5" ht="15" customHeight="1" x14ac:dyDescent="0.25"/>
    <row r="1333" spans="2:5" ht="15" customHeight="1" x14ac:dyDescent="0.25"/>
    <row r="1334" spans="2:5" ht="15" customHeight="1" x14ac:dyDescent="0.25"/>
    <row r="1335" spans="2:5" ht="15" customHeight="1" x14ac:dyDescent="0.25"/>
    <row r="1336" spans="2:5" ht="15" customHeight="1" x14ac:dyDescent="0.25"/>
    <row r="1337" spans="2:5" ht="15" customHeight="1" x14ac:dyDescent="0.25"/>
    <row r="1338" spans="2:5" ht="15" customHeight="1" x14ac:dyDescent="0.25"/>
    <row r="1339" spans="2:5" ht="15" customHeight="1" x14ac:dyDescent="0.25"/>
    <row r="1340" spans="2:5" ht="15" customHeight="1" x14ac:dyDescent="0.25"/>
    <row r="1341" spans="2:5" ht="15" customHeight="1" x14ac:dyDescent="0.25">
      <c r="B1341" s="188"/>
      <c r="E1341" s="189"/>
    </row>
    <row r="1342" spans="2:5" ht="54.95" customHeight="1" x14ac:dyDescent="0.25">
      <c r="B1342" s="195"/>
      <c r="E1342" s="194"/>
    </row>
    <row r="1343" spans="2:5" ht="30" customHeight="1" x14ac:dyDescent="0.25">
      <c r="B1343" s="190"/>
      <c r="E1343" s="180"/>
    </row>
    <row r="1344" spans="2:5" ht="15" customHeight="1" x14ac:dyDescent="0.25"/>
    <row r="1345" spans="1:7" ht="15" customHeight="1" x14ac:dyDescent="0.25"/>
    <row r="1346" spans="1:7" ht="15" customHeight="1" x14ac:dyDescent="0.25"/>
    <row r="1347" spans="1:7" ht="15" customHeight="1" x14ac:dyDescent="0.25"/>
    <row r="1348" spans="1:7" ht="15" customHeight="1" x14ac:dyDescent="0.25">
      <c r="A1348" s="189"/>
      <c r="B1348" s="188"/>
      <c r="C1348" s="188"/>
      <c r="D1348" s="189"/>
      <c r="E1348" s="189"/>
      <c r="F1348" s="189"/>
      <c r="G1348" s="189"/>
    </row>
    <row r="1349" spans="1:7" ht="15" customHeight="1" x14ac:dyDescent="0.25"/>
    <row r="1350" spans="1:7" ht="15" customHeight="1" x14ac:dyDescent="0.25">
      <c r="B1350" s="184"/>
      <c r="C1350" s="184"/>
      <c r="D1350" s="183"/>
      <c r="E1350" s="183"/>
    </row>
    <row r="1351" spans="1:7" ht="15" customHeight="1" x14ac:dyDescent="0.25">
      <c r="B1351" s="185"/>
      <c r="E1351" s="186"/>
    </row>
    <row r="1352" spans="1:7" ht="15" customHeight="1" x14ac:dyDescent="0.25"/>
    <row r="1353" spans="1:7" ht="15" customHeight="1" x14ac:dyDescent="0.25"/>
    <row r="1354" spans="1:7" ht="15" customHeight="1" x14ac:dyDescent="0.25"/>
    <row r="1355" spans="1:7" ht="15" customHeight="1" x14ac:dyDescent="0.25"/>
    <row r="1356" spans="1:7" ht="15" customHeight="1" x14ac:dyDescent="0.25"/>
    <row r="1357" spans="1:7" ht="15" customHeight="1" x14ac:dyDescent="0.25"/>
    <row r="1358" spans="1:7" ht="15" customHeight="1" x14ac:dyDescent="0.25"/>
    <row r="1359" spans="1:7" ht="15" customHeight="1" x14ac:dyDescent="0.25"/>
    <row r="1360" spans="1:7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spans="1:7" ht="15" customHeight="1" x14ac:dyDescent="0.25"/>
    <row r="1378" spans="1:7" ht="15" customHeight="1" x14ac:dyDescent="0.25"/>
    <row r="1379" spans="1:7" ht="15" customHeight="1" x14ac:dyDescent="0.25"/>
    <row r="1380" spans="1:7" ht="15" customHeight="1" x14ac:dyDescent="0.25"/>
    <row r="1381" spans="1:7" ht="15" customHeight="1" x14ac:dyDescent="0.25"/>
    <row r="1382" spans="1:7" ht="15" customHeight="1" x14ac:dyDescent="0.25"/>
    <row r="1383" spans="1:7" ht="15" customHeight="1" x14ac:dyDescent="0.25">
      <c r="B1383" s="188"/>
      <c r="E1383" s="189"/>
    </row>
    <row r="1384" spans="1:7" ht="54.95" customHeight="1" x14ac:dyDescent="0.25">
      <c r="B1384" s="195"/>
      <c r="E1384" s="194"/>
    </row>
    <row r="1385" spans="1:7" ht="30" customHeight="1" x14ac:dyDescent="0.25">
      <c r="B1385" s="190"/>
      <c r="E1385" s="180"/>
    </row>
    <row r="1386" spans="1:7" ht="15" customHeight="1" x14ac:dyDescent="0.25"/>
    <row r="1387" spans="1:7" ht="15" customHeight="1" x14ac:dyDescent="0.25"/>
    <row r="1388" spans="1:7" ht="15" customHeight="1" x14ac:dyDescent="0.25"/>
    <row r="1389" spans="1:7" ht="15" customHeight="1" x14ac:dyDescent="0.25"/>
    <row r="1390" spans="1:7" ht="15" customHeight="1" x14ac:dyDescent="0.25">
      <c r="A1390" s="189"/>
      <c r="B1390" s="188"/>
      <c r="C1390" s="188"/>
      <c r="D1390" s="189"/>
      <c r="E1390" s="189"/>
      <c r="F1390" s="189"/>
      <c r="G1390" s="189"/>
    </row>
    <row r="1391" spans="1:7" ht="15" customHeight="1" x14ac:dyDescent="0.25">
      <c r="B1391" s="184"/>
      <c r="C1391" s="184"/>
      <c r="D1391" s="183"/>
      <c r="E1391" s="183"/>
    </row>
    <row r="1392" spans="1:7" ht="15" customHeight="1" x14ac:dyDescent="0.25">
      <c r="B1392" s="185"/>
      <c r="E1392" s="186"/>
    </row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1:7" ht="15" customHeight="1" x14ac:dyDescent="0.25">
      <c r="B1425" s="188"/>
      <c r="E1425" s="189"/>
    </row>
    <row r="1426" spans="1:7" ht="54.95" customHeight="1" x14ac:dyDescent="0.25">
      <c r="B1426" s="195"/>
      <c r="E1426" s="194"/>
    </row>
    <row r="1427" spans="1:7" ht="30" customHeight="1" x14ac:dyDescent="0.25">
      <c r="B1427" s="190"/>
      <c r="E1427" s="180"/>
    </row>
    <row r="1428" spans="1:7" ht="15" customHeight="1" x14ac:dyDescent="0.25"/>
    <row r="1429" spans="1:7" ht="15" customHeight="1" x14ac:dyDescent="0.25"/>
    <row r="1430" spans="1:7" ht="15" customHeight="1" x14ac:dyDescent="0.25"/>
    <row r="1431" spans="1:7" ht="15" customHeight="1" x14ac:dyDescent="0.25"/>
    <row r="1432" spans="1:7" ht="15" customHeight="1" x14ac:dyDescent="0.25">
      <c r="A1432" s="189"/>
      <c r="B1432" s="188"/>
      <c r="C1432" s="188"/>
      <c r="D1432" s="189"/>
      <c r="E1432" s="189"/>
      <c r="F1432" s="189"/>
      <c r="G1432" s="189"/>
    </row>
    <row r="1433" spans="1:7" ht="15" customHeight="1" x14ac:dyDescent="0.25">
      <c r="B1433" s="185"/>
      <c r="E1433" s="186"/>
    </row>
    <row r="1434" spans="1:7" ht="15" customHeight="1" x14ac:dyDescent="0.25"/>
    <row r="1435" spans="1:7" ht="15" customHeight="1" x14ac:dyDescent="0.25"/>
    <row r="1436" spans="1:7" ht="15" customHeight="1" x14ac:dyDescent="0.25"/>
    <row r="1437" spans="1:7" ht="15" customHeight="1" x14ac:dyDescent="0.25"/>
    <row r="1438" spans="1:7" ht="15" customHeight="1" x14ac:dyDescent="0.25"/>
    <row r="1439" spans="1:7" ht="15" customHeight="1" x14ac:dyDescent="0.25"/>
    <row r="1440" spans="1:7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spans="2:5" ht="15" customHeight="1" x14ac:dyDescent="0.25"/>
    <row r="1458" spans="2:5" ht="15" customHeight="1" x14ac:dyDescent="0.25"/>
    <row r="1459" spans="2:5" ht="15" customHeight="1" x14ac:dyDescent="0.25"/>
    <row r="1460" spans="2:5" ht="15" customHeight="1" x14ac:dyDescent="0.25"/>
    <row r="1461" spans="2:5" ht="15" customHeight="1" x14ac:dyDescent="0.25"/>
    <row r="1462" spans="2:5" ht="15" customHeight="1" x14ac:dyDescent="0.25"/>
    <row r="1463" spans="2:5" ht="15" customHeight="1" x14ac:dyDescent="0.25"/>
    <row r="1464" spans="2:5" ht="15" customHeight="1" x14ac:dyDescent="0.25"/>
    <row r="1465" spans="2:5" ht="15" customHeight="1" x14ac:dyDescent="0.25"/>
    <row r="1466" spans="2:5" ht="15" customHeight="1" x14ac:dyDescent="0.25"/>
    <row r="1467" spans="2:5" ht="15" customHeight="1" x14ac:dyDescent="0.25">
      <c r="B1467" s="188"/>
      <c r="E1467" s="189"/>
    </row>
    <row r="1468" spans="2:5" ht="54.95" customHeight="1" x14ac:dyDescent="0.25">
      <c r="B1468" s="195"/>
      <c r="E1468" s="194"/>
    </row>
    <row r="1469" spans="2:5" ht="30" customHeight="1" x14ac:dyDescent="0.25">
      <c r="B1469" s="190"/>
      <c r="E1469" s="180"/>
    </row>
    <row r="1470" spans="2:5" ht="15" customHeight="1" x14ac:dyDescent="0.25"/>
    <row r="1471" spans="2:5" ht="15" customHeight="1" x14ac:dyDescent="0.25"/>
    <row r="1472" spans="2:5" ht="15" customHeight="1" x14ac:dyDescent="0.25"/>
    <row r="1473" spans="1:7" ht="15" customHeight="1" x14ac:dyDescent="0.25">
      <c r="B1473" s="184"/>
      <c r="C1473" s="184"/>
      <c r="D1473" s="183"/>
      <c r="E1473" s="183"/>
    </row>
    <row r="1474" spans="1:7" ht="15" customHeight="1" x14ac:dyDescent="0.25">
      <c r="A1474" s="189"/>
      <c r="B1474" s="188"/>
      <c r="C1474" s="188"/>
      <c r="D1474" s="189"/>
      <c r="E1474" s="189"/>
      <c r="F1474" s="189"/>
      <c r="G1474" s="189"/>
    </row>
    <row r="1475" spans="1:7" ht="15" customHeight="1" x14ac:dyDescent="0.25"/>
    <row r="1476" spans="1:7" ht="15" customHeight="1" x14ac:dyDescent="0.25"/>
    <row r="1477" spans="1:7" ht="15" customHeight="1" x14ac:dyDescent="0.25"/>
    <row r="1478" spans="1:7" ht="15" customHeight="1" x14ac:dyDescent="0.25"/>
    <row r="1479" spans="1:7" ht="15" customHeight="1" x14ac:dyDescent="0.25"/>
    <row r="1480" spans="1:7" ht="15" customHeight="1" x14ac:dyDescent="0.25"/>
    <row r="1481" spans="1:7" ht="15" customHeight="1" x14ac:dyDescent="0.25"/>
    <row r="1482" spans="1:7" ht="15" customHeight="1" x14ac:dyDescent="0.25"/>
    <row r="1483" spans="1:7" ht="15" customHeight="1" x14ac:dyDescent="0.25"/>
    <row r="1484" spans="1:7" ht="15" customHeight="1" x14ac:dyDescent="0.25"/>
    <row r="1485" spans="1:7" ht="15" customHeight="1" x14ac:dyDescent="0.25"/>
    <row r="1486" spans="1:7" ht="15" customHeight="1" x14ac:dyDescent="0.25"/>
    <row r="1487" spans="1:7" ht="15" customHeight="1" x14ac:dyDescent="0.25"/>
    <row r="1488" spans="1:7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spans="1:7" ht="15" customHeight="1" x14ac:dyDescent="0.25"/>
    <row r="1506" spans="1:7" ht="15" customHeight="1" x14ac:dyDescent="0.25">
      <c r="B1506" s="190"/>
      <c r="C1506" s="190"/>
      <c r="D1506" s="180"/>
      <c r="E1506" s="180"/>
    </row>
    <row r="1507" spans="1:7" ht="15" customHeight="1" x14ac:dyDescent="0.25">
      <c r="B1507" s="188"/>
      <c r="E1507" s="189"/>
    </row>
    <row r="1508" spans="1:7" ht="54.95" customHeight="1" x14ac:dyDescent="0.25">
      <c r="B1508" s="195"/>
      <c r="E1508" s="194"/>
    </row>
    <row r="1509" spans="1:7" ht="30" customHeight="1" x14ac:dyDescent="0.25">
      <c r="B1509" s="214"/>
      <c r="C1509" s="214"/>
      <c r="D1509" s="215"/>
      <c r="E1509" s="215"/>
    </row>
    <row r="1510" spans="1:7" ht="54.95" customHeight="1" x14ac:dyDescent="0.25">
      <c r="B1510" s="195"/>
      <c r="C1510" s="195"/>
      <c r="D1510" s="194"/>
      <c r="E1510" s="194"/>
    </row>
    <row r="1511" spans="1:7" ht="15" customHeight="1" x14ac:dyDescent="0.25"/>
    <row r="1512" spans="1:7" ht="15" customHeight="1" x14ac:dyDescent="0.25">
      <c r="B1512" s="184"/>
      <c r="C1512" s="184"/>
      <c r="D1512" s="183"/>
      <c r="E1512" s="183"/>
    </row>
    <row r="1513" spans="1:7" ht="15" customHeight="1" x14ac:dyDescent="0.25">
      <c r="B1513" s="185"/>
      <c r="E1513" s="186"/>
    </row>
    <row r="1514" spans="1:7" ht="15" customHeight="1" x14ac:dyDescent="0.25">
      <c r="A1514" s="189"/>
      <c r="B1514" s="188"/>
      <c r="C1514" s="188"/>
      <c r="D1514" s="189"/>
      <c r="E1514" s="189"/>
      <c r="F1514" s="189"/>
      <c r="G1514" s="189"/>
    </row>
    <row r="1515" spans="1:7" ht="15" customHeight="1" x14ac:dyDescent="0.25"/>
    <row r="1516" spans="1:7" ht="15" customHeight="1" x14ac:dyDescent="0.25"/>
    <row r="1517" spans="1:7" ht="15" customHeight="1" x14ac:dyDescent="0.25"/>
    <row r="1518" spans="1:7" ht="15" customHeight="1" x14ac:dyDescent="0.25"/>
    <row r="1519" spans="1:7" ht="15" customHeight="1" x14ac:dyDescent="0.25"/>
    <row r="1520" spans="1:7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spans="2:5" ht="15" customHeight="1" x14ac:dyDescent="0.25"/>
    <row r="1538" spans="2:5" ht="15" customHeight="1" x14ac:dyDescent="0.25"/>
    <row r="1539" spans="2:5" ht="15" customHeight="1" x14ac:dyDescent="0.25"/>
    <row r="1540" spans="2:5" ht="15" customHeight="1" x14ac:dyDescent="0.25"/>
    <row r="1541" spans="2:5" ht="15" customHeight="1" x14ac:dyDescent="0.25"/>
    <row r="1542" spans="2:5" ht="15" customHeight="1" x14ac:dyDescent="0.25"/>
    <row r="1543" spans="2:5" ht="15" customHeight="1" x14ac:dyDescent="0.25"/>
    <row r="1544" spans="2:5" ht="15" customHeight="1" x14ac:dyDescent="0.25"/>
    <row r="1545" spans="2:5" ht="15" customHeight="1" x14ac:dyDescent="0.25"/>
    <row r="1546" spans="2:5" ht="15" customHeight="1" x14ac:dyDescent="0.25"/>
    <row r="1547" spans="2:5" ht="15" customHeight="1" x14ac:dyDescent="0.25"/>
    <row r="1548" spans="2:5" ht="15" customHeight="1" x14ac:dyDescent="0.25"/>
    <row r="1549" spans="2:5" ht="15" customHeight="1" x14ac:dyDescent="0.25">
      <c r="B1549" s="188"/>
      <c r="E1549" s="189"/>
    </row>
    <row r="1550" spans="2:5" ht="54.95" customHeight="1" x14ac:dyDescent="0.25">
      <c r="B1550" s="195"/>
      <c r="E1550" s="194"/>
    </row>
    <row r="1551" spans="2:5" ht="30" customHeight="1" x14ac:dyDescent="0.25">
      <c r="B1551" s="190"/>
      <c r="E1551" s="180"/>
    </row>
    <row r="1552" spans="2:5" ht="15" customHeight="1" x14ac:dyDescent="0.25"/>
    <row r="1553" spans="1:7" ht="15" customHeight="1" x14ac:dyDescent="0.25">
      <c r="B1553" s="184"/>
      <c r="C1553" s="184"/>
      <c r="D1553" s="183"/>
      <c r="E1553" s="183"/>
    </row>
    <row r="1554" spans="1:7" ht="15" customHeight="1" x14ac:dyDescent="0.25">
      <c r="B1554" s="185"/>
      <c r="E1554" s="186"/>
    </row>
    <row r="1555" spans="1:7" ht="15" customHeight="1" x14ac:dyDescent="0.25"/>
    <row r="1556" spans="1:7" ht="15" customHeight="1" x14ac:dyDescent="0.25">
      <c r="A1556" s="189"/>
      <c r="B1556" s="188"/>
      <c r="C1556" s="188"/>
      <c r="D1556" s="189"/>
      <c r="E1556" s="189"/>
      <c r="F1556" s="189"/>
      <c r="G1556" s="189"/>
    </row>
    <row r="1557" spans="1:7" ht="15" customHeight="1" x14ac:dyDescent="0.25"/>
    <row r="1558" spans="1:7" ht="15" customHeight="1" x14ac:dyDescent="0.25"/>
    <row r="1559" spans="1:7" ht="15" customHeight="1" x14ac:dyDescent="0.25"/>
    <row r="1560" spans="1:7" ht="15" customHeight="1" x14ac:dyDescent="0.25"/>
    <row r="1561" spans="1:7" ht="15" customHeight="1" x14ac:dyDescent="0.25"/>
    <row r="1562" spans="1:7" ht="15" customHeight="1" x14ac:dyDescent="0.25"/>
    <row r="1563" spans="1:7" ht="15" customHeight="1" x14ac:dyDescent="0.25"/>
    <row r="1564" spans="1:7" ht="15" customHeight="1" x14ac:dyDescent="0.25"/>
    <row r="1565" spans="1:7" ht="15" customHeight="1" x14ac:dyDescent="0.25"/>
    <row r="1566" spans="1:7" ht="15" customHeight="1" x14ac:dyDescent="0.25"/>
    <row r="1567" spans="1:7" ht="15" customHeight="1" x14ac:dyDescent="0.25"/>
    <row r="1568" spans="1:7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spans="1:7" ht="15" customHeight="1" x14ac:dyDescent="0.25"/>
    <row r="1586" spans="1:7" ht="15" customHeight="1" x14ac:dyDescent="0.25"/>
    <row r="1587" spans="1:7" ht="15" customHeight="1" x14ac:dyDescent="0.25"/>
    <row r="1588" spans="1:7" ht="15" customHeight="1" x14ac:dyDescent="0.25"/>
    <row r="1589" spans="1:7" ht="15" customHeight="1" x14ac:dyDescent="0.25"/>
    <row r="1590" spans="1:7" ht="15" customHeight="1" x14ac:dyDescent="0.25"/>
    <row r="1591" spans="1:7" ht="15" customHeight="1" x14ac:dyDescent="0.25">
      <c r="B1591" s="188"/>
      <c r="C1591" s="188"/>
      <c r="D1591" s="189"/>
      <c r="E1591" s="213"/>
    </row>
    <row r="1592" spans="1:7" ht="54.95" customHeight="1" x14ac:dyDescent="0.25">
      <c r="B1592" s="195"/>
      <c r="C1592" s="195"/>
      <c r="D1592" s="194"/>
      <c r="E1592" s="194"/>
    </row>
    <row r="1593" spans="1:7" ht="30" customHeight="1" x14ac:dyDescent="0.25">
      <c r="B1593" s="190"/>
      <c r="C1593" s="190"/>
      <c r="D1593" s="180"/>
      <c r="E1593" s="180"/>
    </row>
    <row r="1594" spans="1:7" s="174" customFormat="1" ht="54.95" customHeight="1" x14ac:dyDescent="0.25">
      <c r="A1594" s="177"/>
      <c r="B1594" s="184"/>
      <c r="C1594" s="184"/>
      <c r="D1594" s="183"/>
      <c r="E1594" s="183"/>
      <c r="F1594" s="212"/>
      <c r="G1594" s="212"/>
    </row>
    <row r="1595" spans="1:7" ht="15" customHeight="1" x14ac:dyDescent="0.25"/>
    <row r="1596" spans="1:7" ht="30" customHeight="1" x14ac:dyDescent="0.25"/>
    <row r="1597" spans="1:7" ht="15" customHeight="1" x14ac:dyDescent="0.25"/>
    <row r="1598" spans="1:7" ht="15" customHeight="1" x14ac:dyDescent="0.25">
      <c r="A1598" s="189"/>
      <c r="B1598" s="188"/>
      <c r="C1598" s="188"/>
      <c r="D1598" s="189"/>
      <c r="E1598" s="189"/>
      <c r="F1598" s="189"/>
      <c r="G1598" s="189"/>
    </row>
    <row r="1599" spans="1:7" ht="15" customHeight="1" x14ac:dyDescent="0.25"/>
    <row r="1600" spans="1:7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spans="1:7" ht="15" customHeight="1" x14ac:dyDescent="0.25"/>
    <row r="1634" spans="1:7" ht="15" customHeight="1" x14ac:dyDescent="0.25"/>
    <row r="1635" spans="1:7" ht="15" customHeight="1" x14ac:dyDescent="0.25"/>
    <row r="1636" spans="1:7" ht="15" customHeight="1" x14ac:dyDescent="0.25"/>
    <row r="1637" spans="1:7" ht="30" customHeight="1" x14ac:dyDescent="0.25"/>
    <row r="1638" spans="1:7" ht="15" customHeight="1" x14ac:dyDescent="0.25"/>
    <row r="1639" spans="1:7" ht="15" customHeight="1" x14ac:dyDescent="0.25"/>
    <row r="1640" spans="1:7" ht="15" customHeight="1" x14ac:dyDescent="0.25">
      <c r="A1640" s="189"/>
      <c r="B1640" s="188"/>
      <c r="C1640" s="188"/>
      <c r="D1640" s="189"/>
      <c r="E1640" s="189"/>
      <c r="F1640" s="189"/>
      <c r="G1640" s="189"/>
    </row>
    <row r="1641" spans="1:7" ht="15" customHeight="1" x14ac:dyDescent="0.25"/>
    <row r="1642" spans="1:7" ht="15" customHeight="1" x14ac:dyDescent="0.25"/>
    <row r="1643" spans="1:7" ht="15" customHeight="1" x14ac:dyDescent="0.25"/>
    <row r="1644" spans="1:7" ht="15" customHeight="1" x14ac:dyDescent="0.25"/>
    <row r="1645" spans="1:7" ht="15" customHeight="1" x14ac:dyDescent="0.25"/>
    <row r="1646" spans="1:7" ht="15" customHeight="1" x14ac:dyDescent="0.25"/>
    <row r="1647" spans="1:7" ht="15" customHeight="1" x14ac:dyDescent="0.25"/>
    <row r="1648" spans="1:7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30" customHeight="1" x14ac:dyDescent="0.25"/>
    <row r="1679" ht="15" customHeight="1" x14ac:dyDescent="0.25"/>
    <row r="1680" ht="15" customHeight="1" x14ac:dyDescent="0.25"/>
    <row r="1681" spans="1:7" ht="15" customHeight="1" x14ac:dyDescent="0.25"/>
    <row r="1682" spans="1:7" ht="15" customHeight="1" x14ac:dyDescent="0.25">
      <c r="A1682" s="189"/>
      <c r="B1682" s="188"/>
      <c r="C1682" s="188"/>
      <c r="D1682" s="189"/>
      <c r="E1682" s="189"/>
      <c r="F1682" s="189"/>
      <c r="G1682" s="189"/>
    </row>
    <row r="1683" spans="1:7" ht="15" customHeight="1" x14ac:dyDescent="0.25"/>
    <row r="1684" spans="1:7" ht="15" customHeight="1" x14ac:dyDescent="0.25"/>
    <row r="1685" spans="1:7" ht="15" customHeight="1" x14ac:dyDescent="0.25"/>
    <row r="1686" spans="1:7" ht="15" customHeight="1" x14ac:dyDescent="0.25"/>
    <row r="1687" spans="1:7" ht="15" customHeight="1" x14ac:dyDescent="0.25"/>
    <row r="1688" spans="1:7" ht="15" customHeight="1" x14ac:dyDescent="0.25"/>
    <row r="1689" spans="1:7" ht="15" customHeight="1" x14ac:dyDescent="0.25"/>
    <row r="1690" spans="1:7" ht="15" customHeight="1" x14ac:dyDescent="0.25"/>
    <row r="1691" spans="1:7" ht="15" customHeight="1" x14ac:dyDescent="0.25"/>
    <row r="1692" spans="1:7" ht="15" customHeight="1" x14ac:dyDescent="0.25"/>
    <row r="1693" spans="1:7" ht="15" customHeight="1" x14ac:dyDescent="0.25"/>
    <row r="1694" spans="1:7" ht="15" customHeight="1" x14ac:dyDescent="0.25"/>
    <row r="1695" spans="1:7" ht="15" customHeight="1" x14ac:dyDescent="0.25"/>
    <row r="1696" spans="1:7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spans="1:7" ht="15" customHeight="1" x14ac:dyDescent="0.25"/>
    <row r="1714" spans="1:7" ht="15" customHeight="1" x14ac:dyDescent="0.25"/>
    <row r="1715" spans="1:7" ht="15" customHeight="1" x14ac:dyDescent="0.25"/>
    <row r="1716" spans="1:7" ht="15" customHeight="1" x14ac:dyDescent="0.25"/>
    <row r="1717" spans="1:7" ht="15" customHeight="1" x14ac:dyDescent="0.25"/>
    <row r="1718" spans="1:7" ht="15" customHeight="1" x14ac:dyDescent="0.25"/>
    <row r="1719" spans="1:7" ht="30" customHeight="1" x14ac:dyDescent="0.25"/>
    <row r="1720" spans="1:7" ht="15" customHeight="1" x14ac:dyDescent="0.25"/>
    <row r="1721" spans="1:7" ht="15" customHeight="1" x14ac:dyDescent="0.25"/>
    <row r="1722" spans="1:7" ht="15" customHeight="1" x14ac:dyDescent="0.25"/>
    <row r="1723" spans="1:7" ht="15" customHeight="1" x14ac:dyDescent="0.25"/>
    <row r="1724" spans="1:7" ht="15" customHeight="1" x14ac:dyDescent="0.25">
      <c r="A1724" s="189"/>
      <c r="B1724" s="188"/>
      <c r="C1724" s="188"/>
      <c r="D1724" s="189"/>
      <c r="E1724" s="189"/>
      <c r="F1724" s="189"/>
      <c r="G1724" s="189"/>
    </row>
    <row r="1725" spans="1:7" ht="15" customHeight="1" x14ac:dyDescent="0.25"/>
    <row r="1726" spans="1:7" ht="15" customHeight="1" x14ac:dyDescent="0.25"/>
    <row r="1727" spans="1:7" ht="15" customHeight="1" x14ac:dyDescent="0.25"/>
    <row r="1728" spans="1:7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30" customHeight="1" x14ac:dyDescent="0.25"/>
    <row r="1761" spans="1:7" ht="15" customHeight="1" x14ac:dyDescent="0.25"/>
    <row r="1762" spans="1:7" ht="15" customHeight="1" x14ac:dyDescent="0.25"/>
    <row r="1763" spans="1:7" ht="15" customHeight="1" x14ac:dyDescent="0.25"/>
    <row r="1764" spans="1:7" ht="15" customHeight="1" x14ac:dyDescent="0.25"/>
    <row r="1765" spans="1:7" ht="15" customHeight="1" x14ac:dyDescent="0.25"/>
    <row r="1766" spans="1:7" ht="15" customHeight="1" x14ac:dyDescent="0.25">
      <c r="A1766" s="189"/>
      <c r="B1766" s="188"/>
      <c r="C1766" s="188"/>
      <c r="D1766" s="189"/>
      <c r="E1766" s="189"/>
      <c r="F1766" s="189"/>
      <c r="G1766" s="189"/>
    </row>
    <row r="1767" spans="1:7" ht="15" customHeight="1" x14ac:dyDescent="0.25"/>
    <row r="1768" spans="1:7" ht="15" customHeight="1" x14ac:dyDescent="0.25"/>
    <row r="1769" spans="1:7" ht="15" customHeight="1" x14ac:dyDescent="0.25"/>
    <row r="1770" spans="1:7" ht="15" customHeight="1" x14ac:dyDescent="0.25"/>
    <row r="1771" spans="1:7" ht="15" customHeight="1" x14ac:dyDescent="0.25"/>
    <row r="1772" spans="1:7" ht="15" customHeight="1" x14ac:dyDescent="0.25"/>
    <row r="1773" spans="1:7" ht="15" customHeight="1" x14ac:dyDescent="0.25"/>
    <row r="1774" spans="1:7" ht="15" customHeight="1" x14ac:dyDescent="0.25"/>
    <row r="1775" spans="1:7" ht="15" customHeight="1" x14ac:dyDescent="0.25"/>
    <row r="1776" spans="1:7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spans="1:7" ht="15" customHeight="1" x14ac:dyDescent="0.25"/>
    <row r="1794" spans="1:7" ht="15" customHeight="1" x14ac:dyDescent="0.25"/>
    <row r="1795" spans="1:7" ht="15" customHeight="1" x14ac:dyDescent="0.25"/>
    <row r="1796" spans="1:7" ht="15" customHeight="1" x14ac:dyDescent="0.25"/>
    <row r="1797" spans="1:7" ht="15" customHeight="1" x14ac:dyDescent="0.25"/>
    <row r="1798" spans="1:7" ht="15" customHeight="1" x14ac:dyDescent="0.25"/>
    <row r="1799" spans="1:7" ht="15" customHeight="1" x14ac:dyDescent="0.25"/>
    <row r="1800" spans="1:7" ht="15" customHeight="1" x14ac:dyDescent="0.25"/>
    <row r="1801" spans="1:7" ht="30" customHeight="1" x14ac:dyDescent="0.25"/>
    <row r="1802" spans="1:7" ht="15" customHeight="1" x14ac:dyDescent="0.25"/>
    <row r="1803" spans="1:7" ht="15" customHeight="1" x14ac:dyDescent="0.25"/>
    <row r="1804" spans="1:7" ht="15" customHeight="1" x14ac:dyDescent="0.25"/>
    <row r="1805" spans="1:7" ht="15" customHeight="1" x14ac:dyDescent="0.25"/>
    <row r="1806" spans="1:7" ht="15" customHeight="1" x14ac:dyDescent="0.25"/>
    <row r="1807" spans="1:7" ht="15" customHeight="1" x14ac:dyDescent="0.25"/>
    <row r="1808" spans="1:7" ht="15" customHeight="1" x14ac:dyDescent="0.25">
      <c r="A1808" s="189"/>
      <c r="B1808" s="188"/>
      <c r="C1808" s="188"/>
      <c r="D1808" s="189"/>
      <c r="E1808" s="189"/>
      <c r="F1808" s="189"/>
      <c r="G1808" s="189"/>
    </row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spans="1:7" ht="15" customHeight="1" x14ac:dyDescent="0.25"/>
    <row r="1842" spans="1:7" ht="30" customHeight="1" x14ac:dyDescent="0.25"/>
    <row r="1843" spans="1:7" ht="15" customHeight="1" x14ac:dyDescent="0.25"/>
    <row r="1844" spans="1:7" ht="15" customHeight="1" x14ac:dyDescent="0.25"/>
    <row r="1845" spans="1:7" ht="15" customHeight="1" x14ac:dyDescent="0.25"/>
    <row r="1846" spans="1:7" ht="15" customHeight="1" x14ac:dyDescent="0.25"/>
    <row r="1847" spans="1:7" ht="15" customHeight="1" x14ac:dyDescent="0.25"/>
    <row r="1848" spans="1:7" ht="15" customHeight="1" x14ac:dyDescent="0.25"/>
    <row r="1849" spans="1:7" ht="15" customHeight="1" x14ac:dyDescent="0.25"/>
    <row r="1850" spans="1:7" ht="15" customHeight="1" x14ac:dyDescent="0.25">
      <c r="A1850" s="189"/>
      <c r="B1850" s="188"/>
      <c r="C1850" s="188"/>
      <c r="D1850" s="189"/>
      <c r="E1850" s="189"/>
      <c r="F1850" s="189"/>
      <c r="G1850" s="189"/>
    </row>
    <row r="1851" spans="1:7" ht="15" customHeight="1" x14ac:dyDescent="0.25"/>
    <row r="1852" spans="1:7" ht="15" customHeight="1" x14ac:dyDescent="0.25"/>
    <row r="1853" spans="1:7" ht="15" customHeight="1" x14ac:dyDescent="0.25"/>
    <row r="1854" spans="1:7" ht="15" customHeight="1" x14ac:dyDescent="0.25"/>
    <row r="1855" spans="1:7" ht="15" customHeight="1" x14ac:dyDescent="0.25"/>
    <row r="1856" spans="1:7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30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spans="1:7" ht="15" customHeight="1" x14ac:dyDescent="0.25"/>
    <row r="1890" spans="1:7" ht="15" customHeight="1" x14ac:dyDescent="0.25"/>
    <row r="1891" spans="1:7" ht="15" customHeight="1" x14ac:dyDescent="0.25"/>
    <row r="1892" spans="1:7" ht="15" customHeight="1" x14ac:dyDescent="0.25">
      <c r="A1892" s="189"/>
      <c r="B1892" s="188"/>
      <c r="C1892" s="188"/>
      <c r="D1892" s="189"/>
      <c r="E1892" s="189"/>
      <c r="F1892" s="189"/>
      <c r="G1892" s="189"/>
    </row>
    <row r="1893" spans="1:7" ht="15" customHeight="1" x14ac:dyDescent="0.25"/>
    <row r="1894" spans="1:7" ht="15" customHeight="1" x14ac:dyDescent="0.25"/>
    <row r="1895" spans="1:7" ht="15" customHeight="1" x14ac:dyDescent="0.25"/>
    <row r="1896" spans="1:7" ht="15" customHeight="1" x14ac:dyDescent="0.25"/>
    <row r="1897" spans="1:7" ht="15" customHeight="1" x14ac:dyDescent="0.25"/>
    <row r="1898" spans="1:7" ht="15" customHeight="1" x14ac:dyDescent="0.25"/>
    <row r="1899" spans="1:7" ht="15" customHeight="1" x14ac:dyDescent="0.25"/>
    <row r="1900" spans="1:7" ht="15" customHeight="1" x14ac:dyDescent="0.25"/>
    <row r="1901" spans="1:7" ht="15" customHeight="1" x14ac:dyDescent="0.25"/>
    <row r="1902" spans="1:7" ht="15" customHeight="1" x14ac:dyDescent="0.25"/>
    <row r="1903" spans="1:7" ht="15" customHeight="1" x14ac:dyDescent="0.25"/>
    <row r="1904" spans="1:7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1:7" ht="15" customHeight="1" x14ac:dyDescent="0.25"/>
    <row r="1922" spans="1:7" ht="15" customHeight="1" x14ac:dyDescent="0.25"/>
    <row r="1923" spans="1:7" ht="15" customHeight="1" x14ac:dyDescent="0.25"/>
    <row r="1924" spans="1:7" ht="30" customHeight="1" x14ac:dyDescent="0.25"/>
    <row r="1925" spans="1:7" ht="15" customHeight="1" x14ac:dyDescent="0.25"/>
    <row r="1926" spans="1:7" ht="15" customHeight="1" x14ac:dyDescent="0.25"/>
    <row r="1927" spans="1:7" ht="15" customHeight="1" x14ac:dyDescent="0.25"/>
    <row r="1928" spans="1:7" ht="15" customHeight="1" x14ac:dyDescent="0.25"/>
    <row r="1929" spans="1:7" ht="15" customHeight="1" x14ac:dyDescent="0.25"/>
    <row r="1930" spans="1:7" ht="15" customHeight="1" x14ac:dyDescent="0.25"/>
    <row r="1931" spans="1:7" ht="15" customHeight="1" x14ac:dyDescent="0.25"/>
    <row r="1932" spans="1:7" ht="15" customHeight="1" x14ac:dyDescent="0.25"/>
    <row r="1933" spans="1:7" ht="15" customHeight="1" x14ac:dyDescent="0.25"/>
    <row r="1934" spans="1:7" ht="15" customHeight="1" x14ac:dyDescent="0.25">
      <c r="A1934" s="189"/>
      <c r="B1934" s="188"/>
      <c r="C1934" s="188"/>
      <c r="D1934" s="189"/>
      <c r="E1934" s="189"/>
      <c r="F1934" s="189"/>
      <c r="G1934" s="189"/>
    </row>
    <row r="1935" spans="1:7" ht="15" customHeight="1" x14ac:dyDescent="0.25"/>
    <row r="1936" spans="1:7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30" customHeight="1" x14ac:dyDescent="0.25"/>
    <row r="1966" ht="15" customHeight="1" x14ac:dyDescent="0.25"/>
    <row r="1967" ht="15" customHeight="1" x14ac:dyDescent="0.25"/>
    <row r="1968" ht="15" customHeight="1" x14ac:dyDescent="0.25"/>
    <row r="1969" spans="1:7" ht="15" customHeight="1" x14ac:dyDescent="0.25"/>
    <row r="1970" spans="1:7" ht="15" customHeight="1" x14ac:dyDescent="0.25"/>
    <row r="1971" spans="1:7" ht="15" customHeight="1" x14ac:dyDescent="0.25"/>
    <row r="1972" spans="1:7" ht="15" customHeight="1" x14ac:dyDescent="0.25"/>
    <row r="1973" spans="1:7" ht="15" customHeight="1" x14ac:dyDescent="0.25"/>
    <row r="1974" spans="1:7" ht="15" customHeight="1" x14ac:dyDescent="0.25"/>
    <row r="1975" spans="1:7" ht="15" customHeight="1" x14ac:dyDescent="0.25"/>
    <row r="1976" spans="1:7" ht="15" customHeight="1" x14ac:dyDescent="0.25">
      <c r="A1976" s="189"/>
      <c r="B1976" s="188"/>
      <c r="C1976" s="188"/>
      <c r="D1976" s="189"/>
      <c r="E1976" s="189"/>
      <c r="F1976" s="189"/>
      <c r="G1976" s="189"/>
    </row>
    <row r="1977" spans="1:7" ht="15" customHeight="1" x14ac:dyDescent="0.25"/>
    <row r="1978" spans="1:7" ht="15" customHeight="1" x14ac:dyDescent="0.25"/>
    <row r="1979" spans="1:7" ht="15" customHeight="1" x14ac:dyDescent="0.25"/>
    <row r="1980" spans="1:7" ht="15" customHeight="1" x14ac:dyDescent="0.25"/>
    <row r="1981" spans="1:7" ht="15" customHeight="1" x14ac:dyDescent="0.25"/>
    <row r="1982" spans="1:7" ht="15" customHeight="1" x14ac:dyDescent="0.25"/>
    <row r="1983" spans="1:7" ht="15" customHeight="1" x14ac:dyDescent="0.25"/>
    <row r="1984" spans="1:7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</sheetData>
  <conditionalFormatting sqref="A1:G1048576">
    <cfRule type="expression" dxfId="8" priority="2">
      <formula>$A1&lt;&gt;""</formula>
    </cfRule>
  </conditionalFormatting>
  <conditionalFormatting sqref="B1:B1048576 E1:E1048576">
    <cfRule type="expression" dxfId="7" priority="3">
      <formula>_xlfn.LET(_xlpm.x,MOD(ROW(),42),AND(_xlpm.x&gt;35,_xlpm.x&lt;42,B1&lt;&gt;""))</formula>
    </cfRule>
  </conditionalFormatting>
  <conditionalFormatting sqref="B1:E1048576">
    <cfRule type="expression" dxfId="6" priority="1">
      <formula>_xlfn.LET(_xlpm.x,MOD(ROW(),42),AND(_xlpm.x&gt;=36,_xlpm.x&lt;=37,ROW()&lt;1600,B1&lt;&gt;""))</formula>
    </cfRule>
  </conditionalFormatting>
  <pageMargins left="0.7" right="0.7" top="0.75" bottom="0.75" header="0.3" footer="0.3"/>
  <pageSetup paperSize="9" scale="80" fitToWidth="0" fitToHeight="0" orientation="portrait" r:id="rId1"/>
  <headerFooter>
    <oddHeader>&amp;L&amp;G</oddHeader>
  </headerFooter>
  <rowBreaks count="37" manualBreakCount="37">
    <brk id="42" max="6" man="1"/>
    <brk id="84" max="6" man="1"/>
    <brk id="126" max="6" man="1"/>
    <brk id="168" max="6" man="1"/>
    <brk id="210" max="6" man="1"/>
    <brk id="252" max="6" man="1"/>
    <brk id="294" max="6" man="1"/>
    <brk id="336" max="6" man="1"/>
    <brk id="378" max="6" man="1"/>
    <brk id="420" max="6" man="1"/>
    <brk id="462" max="6" man="1"/>
    <brk id="504" max="6" man="1"/>
    <brk id="546" max="6" man="1"/>
    <brk id="588" max="6" man="1"/>
    <brk id="630" max="6" man="1"/>
    <brk id="672" max="6" man="1"/>
    <brk id="714" max="6" man="1"/>
    <brk id="756" max="6" man="1"/>
    <brk id="798" max="6" man="1"/>
    <brk id="840" max="6" man="1"/>
    <brk id="882" max="6" man="1"/>
    <brk id="924" max="6" man="1"/>
    <brk id="966" max="6" man="1"/>
    <brk id="1008" max="6" man="1"/>
    <brk id="1050" max="6" man="1"/>
    <brk id="1092" max="6" man="1"/>
    <brk id="1134" max="6" man="1"/>
    <brk id="1176" max="6" man="1"/>
    <brk id="1218" max="6" man="1"/>
    <brk id="1260" max="6" man="1"/>
    <brk id="1302" max="6" man="1"/>
    <brk id="1344" max="6" man="1"/>
    <brk id="1386" max="6" man="1"/>
    <brk id="1428" max="6" man="1"/>
    <brk id="1470" max="6" man="1"/>
    <brk id="1512" max="6" man="1"/>
    <brk id="1552" max="6" man="1"/>
  </rowBreaks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C5D7-6732-48F3-BFC9-28BE41D729BA}">
  <dimension ref="A1:E2"/>
  <sheetViews>
    <sheetView view="pageBreakPreview" zoomScale="60" zoomScaleNormal="85" workbookViewId="0">
      <selection activeCell="J59" sqref="J59"/>
    </sheetView>
  </sheetViews>
  <sheetFormatPr defaultRowHeight="15" x14ac:dyDescent="0.25"/>
  <cols>
    <col min="1" max="1" width="4" bestFit="1" customWidth="1"/>
    <col min="2" max="2" width="19" style="404" bestFit="1" customWidth="1"/>
    <col min="3" max="3" width="10.42578125" bestFit="1" customWidth="1"/>
    <col min="4" max="4" width="12" bestFit="1" customWidth="1"/>
    <col min="5" max="5" width="13.42578125" bestFit="1" customWidth="1"/>
    <col min="12" max="12" width="14.42578125" bestFit="1" customWidth="1"/>
  </cols>
  <sheetData>
    <row r="1" spans="1:5" x14ac:dyDescent="0.25">
      <c r="A1" s="124" t="s">
        <v>168</v>
      </c>
      <c r="B1" s="224" t="s">
        <v>733</v>
      </c>
      <c r="C1" s="124" t="s">
        <v>173</v>
      </c>
      <c r="D1" s="124" t="s">
        <v>427</v>
      </c>
      <c r="E1" s="124" t="s">
        <v>721</v>
      </c>
    </row>
    <row r="2" spans="1:5" x14ac:dyDescent="0.25">
      <c r="A2" t="e" cm="1" vm="1">
        <f t="array" ref="A2">_xlfn.LET(
  _xlpm.data,
  _xlfn._xlws.SORT(
    _xlfn.LET(
      _xlpm.d,
      _xlfn._xlws.FILTER(
        log_monthly_records!B:M,
        (log_monthly_records!D:D=contract_no)*(log_monthly_records!E:E&lt;=ipc_no)*(log_monthly_records!G:G&lt;&gt;0)
      ),
      _xlfn.HSTACK(
        DATE(INDEX(_xlpm.d,,1),INDEX(_xlpm.d,,2),1),
        INDEX(_xlpm.d,,4),
        INDEX(_xlpm.d,,6),
        INDEX(_xlpm.d,,12)*INDEX(_xlpm.d,,6),
        _xlfn.IFNA(
          SUBSTITUTE(
            INDEX(_xlpm.d,,11),
            " Hiz"&amp;_xlfn.TEXTAFTER(INDEX(_xlpm.d,,11),
            " Hiz"
          ),
          ""
        ),
        INDEX(_xlpm.d,,11)
      )
    )
  ),
  5
),
_xlfn.DROP(
  _xlfn.IFNA(
    _xlfn.REDUCE(
      "",
      _xlfn.LET(
        _xlpm.descs,
        _xlfn.UNIQUE(INDEX(_xlpm.data,,5)),
        _xlfn.VSTACK(
          _xlfn._xlws.FILTER(
            _xlpm.descs,
            LEFT(_xlpm.descs,9)&lt;&gt;"Retention"
          ),
          "Retention"
        )
      ),
      _xlfn.LAMBDA(_xlpm.acc,_xlpm.cur,
        _xlfn.LET(_xlpm.x,_xlfn.TAKE(
            _xlfn._xlws.FILTER(
              _xlpm.data,
              LEFT(INDEX(_xlpm.data,,5),LEN(_xlpm.cur))=_xlpm.cur
            ),,
            4
          ),_xlfn.VSTACK(
          _xlpm.acc,
          _xlfn.HSTACK("",_xlpm.cur,"","",SUM(INDEX(_xlpm.x,,4))),
          _xlfn.HSTACK(_xlfn.SEQUENCE(ROWS(_xlpm.x)),_xlpm.x)
        ))
      )
    ),
    ""
  ),
  1
)
)</f>
        <v>#VALUE!</v>
      </c>
    </row>
  </sheetData>
  <conditionalFormatting sqref="A1:E1048576">
    <cfRule type="expression" dxfId="5" priority="2">
      <formula>$B1&lt;&gt;""</formula>
    </cfRule>
  </conditionalFormatting>
  <conditionalFormatting sqref="B1:B1048576">
    <cfRule type="expression" dxfId="4" priority="1">
      <formula>C1=""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75990-64D2-4986-9741-7D4BCDE60CBC}">
  <dimension ref="A1:J196"/>
  <sheetViews>
    <sheetView workbookViewId="0">
      <pane ySplit="1" topLeftCell="A167" activePane="bottomLeft" state="frozen"/>
      <selection activeCell="O11" sqref="O11"/>
      <selection pane="bottomLeft" activeCell="O11" sqref="O11"/>
    </sheetView>
  </sheetViews>
  <sheetFormatPr defaultRowHeight="15" x14ac:dyDescent="0.25"/>
  <cols>
    <col min="1" max="1" width="4" bestFit="1" customWidth="1"/>
    <col min="3" max="3" width="11.140625" bestFit="1" customWidth="1"/>
    <col min="4" max="4" width="5.140625" customWidth="1"/>
    <col min="5" max="5" width="9.85546875" customWidth="1"/>
    <col min="6" max="6" width="9" style="218" bestFit="1" customWidth="1"/>
    <col min="7" max="7" width="11.5703125" style="218" customWidth="1"/>
    <col min="8" max="8" width="9.5703125" style="167" bestFit="1" customWidth="1"/>
    <col min="9" max="9" width="10.140625" customWidth="1"/>
  </cols>
  <sheetData>
    <row r="1" spans="1:10" ht="45" x14ac:dyDescent="0.25">
      <c r="A1" s="152" t="s">
        <v>168</v>
      </c>
      <c r="B1" s="152" t="s">
        <v>719</v>
      </c>
      <c r="C1" s="152" t="s">
        <v>718</v>
      </c>
      <c r="D1" s="152" t="s">
        <v>717</v>
      </c>
      <c r="E1" s="152" t="s">
        <v>720</v>
      </c>
      <c r="F1" s="219" t="s">
        <v>726</v>
      </c>
      <c r="G1" s="219" t="s">
        <v>723</v>
      </c>
      <c r="H1" s="221" t="s">
        <v>722</v>
      </c>
      <c r="I1" s="152" t="s">
        <v>724</v>
      </c>
      <c r="J1" s="152" t="s">
        <v>725</v>
      </c>
    </row>
    <row r="2" spans="1:10" x14ac:dyDescent="0.25">
      <c r="A2" cm="1">
        <f t="array" ref="A2:A196">_xlfn.SEQUENCE(ROWS(_xlfn.ANCHORARRAY(B2)))</f>
        <v>1</v>
      </c>
      <c r="B2" t="str" cm="1">
        <f t="array" ref="B2:G196">_xlfn.DROP(_xlfn.LET(_xlpm.fd,_xlfn.LET(_xlpm.d,_xlfn._TRO_TRAILING(log_daily_records!A:AT),_xlfn._xlws.FILTER(_xlpm.d,INDEX(_xlpm.d,,46)&lt;&gt;0)),_xlfn.HSTACK(INDEX(_xlpm.fd,,4),INDEX(_xlpm.fd,,5),INDEX(_xlpm.fd,,6),INDEX(_xlpm.fd,,46),INDEX(_xlpm.fd,,43),INDEX(_xlpm.fd,,42))),1)</f>
        <v>99LT168</v>
      </c>
      <c r="C2">
        <v>31</v>
      </c>
      <c r="D2">
        <v>2</v>
      </c>
      <c r="E2">
        <v>5286</v>
      </c>
      <c r="F2" s="218">
        <v>18</v>
      </c>
      <c r="G2" s="218">
        <v>951.48</v>
      </c>
      <c r="H2" s="167" cm="1">
        <f t="array" ref="H2:H196">G2:G196*1</f>
        <v>951.48</v>
      </c>
    </row>
    <row r="3" spans="1:10" x14ac:dyDescent="0.25">
      <c r="A3">
        <v>2</v>
      </c>
      <c r="B3" t="str">
        <v>90OV187</v>
      </c>
      <c r="C3">
        <v>31</v>
      </c>
      <c r="D3">
        <v>2</v>
      </c>
      <c r="E3">
        <v>5941</v>
      </c>
      <c r="F3" s="218">
        <v>18</v>
      </c>
      <c r="G3" s="218">
        <v>1069.3800000000001</v>
      </c>
      <c r="H3" s="167">
        <v>1069.3800000000001</v>
      </c>
    </row>
    <row r="4" spans="1:10" x14ac:dyDescent="0.25">
      <c r="A4">
        <v>3</v>
      </c>
      <c r="B4" t="str">
        <v>99HZ395</v>
      </c>
      <c r="C4">
        <v>31</v>
      </c>
      <c r="D4">
        <v>2</v>
      </c>
      <c r="E4">
        <v>4300</v>
      </c>
      <c r="F4" s="218">
        <v>18</v>
      </c>
      <c r="G4" s="218">
        <v>774</v>
      </c>
      <c r="H4" s="167">
        <v>774</v>
      </c>
    </row>
    <row r="5" spans="1:10" x14ac:dyDescent="0.25">
      <c r="A5">
        <v>4</v>
      </c>
      <c r="B5" t="str">
        <v>90ZP408</v>
      </c>
      <c r="C5">
        <v>31</v>
      </c>
      <c r="D5">
        <v>2</v>
      </c>
      <c r="E5">
        <v>2288</v>
      </c>
      <c r="F5" s="218">
        <v>15</v>
      </c>
      <c r="G5" s="218">
        <v>343.2</v>
      </c>
      <c r="H5" s="167">
        <v>343.2</v>
      </c>
    </row>
    <row r="6" spans="1:10" x14ac:dyDescent="0.25">
      <c r="A6">
        <v>5</v>
      </c>
      <c r="B6" t="str">
        <v>66CC029</v>
      </c>
      <c r="C6">
        <v>31</v>
      </c>
      <c r="D6">
        <v>2</v>
      </c>
      <c r="E6">
        <v>949</v>
      </c>
      <c r="F6" s="218">
        <v>15</v>
      </c>
      <c r="G6" s="218">
        <v>142.35</v>
      </c>
      <c r="H6" s="167">
        <v>142.35</v>
      </c>
    </row>
    <row r="7" spans="1:10" x14ac:dyDescent="0.25">
      <c r="A7">
        <v>6</v>
      </c>
      <c r="B7" t="str">
        <v>90SL686</v>
      </c>
      <c r="C7">
        <v>31</v>
      </c>
      <c r="D7">
        <v>2</v>
      </c>
      <c r="E7">
        <v>7084</v>
      </c>
      <c r="F7" s="218">
        <v>18</v>
      </c>
      <c r="G7" s="218">
        <v>1275.1199999999999</v>
      </c>
      <c r="H7" s="167">
        <v>1275.1199999999999</v>
      </c>
    </row>
    <row r="8" spans="1:10" x14ac:dyDescent="0.25">
      <c r="A8">
        <v>7</v>
      </c>
      <c r="B8" t="str">
        <v>55CB633</v>
      </c>
      <c r="C8">
        <v>31</v>
      </c>
      <c r="D8">
        <v>2</v>
      </c>
      <c r="E8">
        <v>2400</v>
      </c>
      <c r="F8" s="218">
        <v>15</v>
      </c>
      <c r="G8" s="218">
        <v>360</v>
      </c>
      <c r="H8" s="167">
        <v>360</v>
      </c>
    </row>
    <row r="9" spans="1:10" x14ac:dyDescent="0.25">
      <c r="A9">
        <v>8</v>
      </c>
      <c r="B9" t="str">
        <v>77GM723</v>
      </c>
      <c r="C9">
        <v>31</v>
      </c>
      <c r="D9">
        <v>2</v>
      </c>
      <c r="E9">
        <v>7372</v>
      </c>
      <c r="F9" s="218">
        <v>15</v>
      </c>
      <c r="G9" s="218">
        <v>1105.8</v>
      </c>
      <c r="H9" s="167">
        <v>1105.8</v>
      </c>
    </row>
    <row r="10" spans="1:10" x14ac:dyDescent="0.25">
      <c r="A10">
        <v>9</v>
      </c>
      <c r="B10" t="str">
        <v>99DX531</v>
      </c>
      <c r="C10">
        <v>31</v>
      </c>
      <c r="D10">
        <v>2</v>
      </c>
      <c r="E10">
        <v>3304</v>
      </c>
      <c r="F10" s="218">
        <v>15</v>
      </c>
      <c r="G10" s="218">
        <v>495.6</v>
      </c>
      <c r="H10" s="167">
        <v>495.6</v>
      </c>
    </row>
    <row r="11" spans="1:10" x14ac:dyDescent="0.25">
      <c r="A11">
        <v>10</v>
      </c>
      <c r="B11" t="str">
        <v>15BZ942</v>
      </c>
      <c r="C11">
        <v>31</v>
      </c>
      <c r="D11">
        <v>2</v>
      </c>
      <c r="E11">
        <v>3934</v>
      </c>
      <c r="F11" s="218">
        <v>15</v>
      </c>
      <c r="G11" s="218">
        <v>590.1</v>
      </c>
      <c r="H11" s="167">
        <v>590.1</v>
      </c>
    </row>
    <row r="12" spans="1:10" x14ac:dyDescent="0.25">
      <c r="A12">
        <v>11</v>
      </c>
      <c r="B12" t="str">
        <v>99BT339</v>
      </c>
      <c r="C12">
        <v>31</v>
      </c>
      <c r="D12">
        <v>2</v>
      </c>
      <c r="E12">
        <v>2558</v>
      </c>
      <c r="F12" s="218">
        <v>15</v>
      </c>
      <c r="G12" s="218">
        <v>383.7</v>
      </c>
      <c r="H12" s="167">
        <v>383.7</v>
      </c>
    </row>
    <row r="13" spans="1:10" x14ac:dyDescent="0.25">
      <c r="A13">
        <v>12</v>
      </c>
      <c r="B13" t="str">
        <v>77ET143</v>
      </c>
      <c r="C13">
        <v>31</v>
      </c>
      <c r="D13">
        <v>2</v>
      </c>
      <c r="E13">
        <v>1856</v>
      </c>
      <c r="F13" s="218">
        <v>15</v>
      </c>
      <c r="G13" s="218">
        <v>278.39999999999998</v>
      </c>
      <c r="H13" s="167">
        <v>278.39999999999998</v>
      </c>
    </row>
    <row r="14" spans="1:10" x14ac:dyDescent="0.25">
      <c r="A14">
        <v>13</v>
      </c>
      <c r="B14" t="str">
        <v>50DK730</v>
      </c>
      <c r="C14">
        <v>31</v>
      </c>
      <c r="D14">
        <v>2</v>
      </c>
      <c r="E14">
        <v>7361</v>
      </c>
      <c r="F14" s="218">
        <v>14.999999999999998</v>
      </c>
      <c r="G14" s="218">
        <v>1104.1499999999999</v>
      </c>
      <c r="H14" s="167">
        <v>1104.1499999999999</v>
      </c>
    </row>
    <row r="15" spans="1:10" x14ac:dyDescent="0.25">
      <c r="A15">
        <v>14</v>
      </c>
      <c r="B15" t="str">
        <v>99MN472</v>
      </c>
      <c r="C15">
        <v>31</v>
      </c>
      <c r="D15">
        <v>2</v>
      </c>
      <c r="E15">
        <v>4310</v>
      </c>
      <c r="F15" s="218">
        <v>15</v>
      </c>
      <c r="G15" s="218">
        <v>646.5</v>
      </c>
      <c r="H15" s="167">
        <v>646.5</v>
      </c>
    </row>
    <row r="16" spans="1:10" x14ac:dyDescent="0.25">
      <c r="A16">
        <v>15</v>
      </c>
      <c r="B16" t="str">
        <v>52BK688</v>
      </c>
      <c r="C16">
        <v>31</v>
      </c>
      <c r="D16">
        <v>2</v>
      </c>
      <c r="E16">
        <v>5260</v>
      </c>
      <c r="F16" s="218">
        <v>15</v>
      </c>
      <c r="G16" s="218">
        <v>789</v>
      </c>
      <c r="H16" s="167">
        <v>789</v>
      </c>
    </row>
    <row r="17" spans="1:8" x14ac:dyDescent="0.25">
      <c r="A17">
        <v>16</v>
      </c>
      <c r="B17" t="str">
        <v>10RN527</v>
      </c>
      <c r="C17">
        <v>31</v>
      </c>
      <c r="D17">
        <v>2</v>
      </c>
      <c r="E17">
        <v>2053</v>
      </c>
      <c r="F17" s="218">
        <v>15</v>
      </c>
      <c r="G17" s="218">
        <v>307.95</v>
      </c>
      <c r="H17" s="167">
        <v>307.95</v>
      </c>
    </row>
    <row r="18" spans="1:8" x14ac:dyDescent="0.25">
      <c r="A18">
        <v>17</v>
      </c>
      <c r="B18" t="str">
        <v>77RN868</v>
      </c>
      <c r="C18">
        <v>31</v>
      </c>
      <c r="D18">
        <v>2</v>
      </c>
      <c r="E18">
        <v>1921</v>
      </c>
      <c r="F18" s="218">
        <v>18</v>
      </c>
      <c r="G18" s="218">
        <v>345.78</v>
      </c>
      <c r="H18" s="167">
        <v>345.78</v>
      </c>
    </row>
    <row r="19" spans="1:8" x14ac:dyDescent="0.25">
      <c r="A19">
        <v>18</v>
      </c>
      <c r="B19" t="str">
        <v>99LM412</v>
      </c>
      <c r="C19">
        <v>31</v>
      </c>
      <c r="D19">
        <v>2</v>
      </c>
      <c r="E19">
        <v>295</v>
      </c>
      <c r="F19" s="218">
        <v>15</v>
      </c>
      <c r="G19" s="218">
        <v>44.25</v>
      </c>
      <c r="H19" s="167">
        <v>44.25</v>
      </c>
    </row>
    <row r="20" spans="1:8" x14ac:dyDescent="0.25">
      <c r="A20">
        <v>19</v>
      </c>
      <c r="B20" t="str">
        <v>99TV366</v>
      </c>
      <c r="C20">
        <v>31</v>
      </c>
      <c r="D20">
        <v>2</v>
      </c>
      <c r="E20">
        <v>821</v>
      </c>
      <c r="F20" s="218">
        <v>15</v>
      </c>
      <c r="G20" s="218">
        <v>123.15</v>
      </c>
      <c r="H20" s="167">
        <v>123.15</v>
      </c>
    </row>
    <row r="21" spans="1:8" x14ac:dyDescent="0.25">
      <c r="A21">
        <v>20</v>
      </c>
      <c r="B21" t="str">
        <v>99HZ395</v>
      </c>
      <c r="C21">
        <v>31</v>
      </c>
      <c r="D21">
        <v>3</v>
      </c>
      <c r="E21">
        <v>4605</v>
      </c>
      <c r="F21" s="218">
        <v>18</v>
      </c>
      <c r="G21" s="218">
        <v>828.9</v>
      </c>
      <c r="H21" s="167">
        <v>828.9</v>
      </c>
    </row>
    <row r="22" spans="1:8" x14ac:dyDescent="0.25">
      <c r="A22">
        <v>21</v>
      </c>
      <c r="B22" t="str">
        <v>90ZP408</v>
      </c>
      <c r="C22">
        <v>31</v>
      </c>
      <c r="D22">
        <v>3</v>
      </c>
      <c r="E22">
        <v>2803</v>
      </c>
      <c r="F22" s="218">
        <v>15</v>
      </c>
      <c r="G22" s="218">
        <v>420.45</v>
      </c>
      <c r="H22" s="167">
        <v>420.45</v>
      </c>
    </row>
    <row r="23" spans="1:8" x14ac:dyDescent="0.25">
      <c r="A23">
        <v>22</v>
      </c>
      <c r="B23" t="str">
        <v>66CC029</v>
      </c>
      <c r="C23">
        <v>31</v>
      </c>
      <c r="D23">
        <v>3</v>
      </c>
      <c r="E23">
        <v>5354</v>
      </c>
      <c r="F23" s="218">
        <v>15</v>
      </c>
      <c r="G23" s="218">
        <v>803.1</v>
      </c>
      <c r="H23" s="167">
        <v>803.1</v>
      </c>
    </row>
    <row r="24" spans="1:8" x14ac:dyDescent="0.25">
      <c r="A24">
        <v>23</v>
      </c>
      <c r="B24" t="str">
        <v>90SL686</v>
      </c>
      <c r="C24">
        <v>31</v>
      </c>
      <c r="D24">
        <v>3</v>
      </c>
      <c r="E24">
        <v>6884</v>
      </c>
      <c r="F24" s="218">
        <v>12</v>
      </c>
      <c r="G24" s="218">
        <v>826.08</v>
      </c>
      <c r="H24" s="167">
        <v>826.08</v>
      </c>
    </row>
    <row r="25" spans="1:8" x14ac:dyDescent="0.25">
      <c r="A25">
        <v>24</v>
      </c>
      <c r="B25" t="str">
        <v>55CB633</v>
      </c>
      <c r="C25">
        <v>31</v>
      </c>
      <c r="D25">
        <v>3</v>
      </c>
      <c r="E25">
        <v>2918</v>
      </c>
      <c r="F25" s="218">
        <v>15</v>
      </c>
      <c r="G25" s="218">
        <v>437.7</v>
      </c>
      <c r="H25" s="167">
        <v>437.7</v>
      </c>
    </row>
    <row r="26" spans="1:8" x14ac:dyDescent="0.25">
      <c r="A26">
        <v>25</v>
      </c>
      <c r="B26" t="str">
        <v>99BT339</v>
      </c>
      <c r="C26">
        <v>31</v>
      </c>
      <c r="D26">
        <v>3</v>
      </c>
      <c r="E26">
        <v>3956</v>
      </c>
      <c r="F26" s="218">
        <v>15</v>
      </c>
      <c r="G26" s="218">
        <v>593.4</v>
      </c>
      <c r="H26" s="167">
        <v>593.4</v>
      </c>
    </row>
    <row r="27" spans="1:8" x14ac:dyDescent="0.25">
      <c r="A27">
        <v>26</v>
      </c>
      <c r="B27" t="str">
        <v>77ET143</v>
      </c>
      <c r="C27">
        <v>31</v>
      </c>
      <c r="D27">
        <v>3</v>
      </c>
      <c r="E27">
        <v>2652</v>
      </c>
      <c r="F27" s="218">
        <v>15</v>
      </c>
      <c r="G27" s="218">
        <v>397.8</v>
      </c>
      <c r="H27" s="167">
        <v>397.8</v>
      </c>
    </row>
    <row r="28" spans="1:8" x14ac:dyDescent="0.25">
      <c r="A28">
        <v>27</v>
      </c>
      <c r="B28" t="str">
        <v>50DK730</v>
      </c>
      <c r="C28">
        <v>31</v>
      </c>
      <c r="D28">
        <v>3</v>
      </c>
      <c r="E28">
        <v>7737</v>
      </c>
      <c r="F28" s="218">
        <v>14.999999999999998</v>
      </c>
      <c r="G28" s="218">
        <v>1160.55</v>
      </c>
      <c r="H28" s="167">
        <v>1160.55</v>
      </c>
    </row>
    <row r="29" spans="1:8" x14ac:dyDescent="0.25">
      <c r="A29">
        <v>28</v>
      </c>
      <c r="B29" t="str">
        <v>99MN472</v>
      </c>
      <c r="C29">
        <v>31</v>
      </c>
      <c r="D29">
        <v>3</v>
      </c>
      <c r="E29">
        <v>4458</v>
      </c>
      <c r="F29" s="218">
        <v>15</v>
      </c>
      <c r="G29" s="218">
        <v>668.7</v>
      </c>
      <c r="H29" s="167">
        <v>668.7</v>
      </c>
    </row>
    <row r="30" spans="1:8" x14ac:dyDescent="0.25">
      <c r="A30">
        <v>29</v>
      </c>
      <c r="B30" t="str">
        <v>52BK688</v>
      </c>
      <c r="C30">
        <v>31</v>
      </c>
      <c r="D30">
        <v>3</v>
      </c>
      <c r="E30">
        <v>975</v>
      </c>
      <c r="F30" s="218">
        <v>15</v>
      </c>
      <c r="G30" s="218">
        <v>146.25</v>
      </c>
      <c r="H30" s="167">
        <v>146.25</v>
      </c>
    </row>
    <row r="31" spans="1:8" x14ac:dyDescent="0.25">
      <c r="A31">
        <v>30</v>
      </c>
      <c r="B31" t="str">
        <v>77RN868</v>
      </c>
      <c r="C31">
        <v>31</v>
      </c>
      <c r="D31">
        <v>3</v>
      </c>
      <c r="E31">
        <v>4040</v>
      </c>
      <c r="F31" s="218">
        <v>18</v>
      </c>
      <c r="G31" s="218">
        <v>727.2</v>
      </c>
      <c r="H31" s="167">
        <v>727.2</v>
      </c>
    </row>
    <row r="32" spans="1:8" x14ac:dyDescent="0.25">
      <c r="A32">
        <v>31</v>
      </c>
      <c r="B32" t="str">
        <v>99LM412</v>
      </c>
      <c r="C32">
        <v>31</v>
      </c>
      <c r="D32">
        <v>3</v>
      </c>
      <c r="E32">
        <v>1501</v>
      </c>
      <c r="F32" s="218">
        <v>15</v>
      </c>
      <c r="G32" s="218">
        <v>225.15</v>
      </c>
      <c r="H32" s="167">
        <v>225.15</v>
      </c>
    </row>
    <row r="33" spans="1:8" x14ac:dyDescent="0.25">
      <c r="A33">
        <v>32</v>
      </c>
      <c r="B33" t="str">
        <v>50BD165</v>
      </c>
      <c r="C33">
        <v>31</v>
      </c>
      <c r="D33">
        <v>3</v>
      </c>
      <c r="E33">
        <v>966</v>
      </c>
      <c r="F33" s="218">
        <v>15</v>
      </c>
      <c r="G33" s="218">
        <v>144.9</v>
      </c>
      <c r="H33" s="167">
        <v>144.9</v>
      </c>
    </row>
    <row r="34" spans="1:8" x14ac:dyDescent="0.25">
      <c r="A34">
        <v>33</v>
      </c>
      <c r="B34" t="str">
        <v>77QE133</v>
      </c>
      <c r="C34">
        <v>31</v>
      </c>
      <c r="D34">
        <v>3</v>
      </c>
      <c r="E34">
        <v>1592</v>
      </c>
      <c r="F34" s="218">
        <v>18</v>
      </c>
      <c r="G34" s="218">
        <v>286.56</v>
      </c>
      <c r="H34" s="167">
        <v>286.56</v>
      </c>
    </row>
    <row r="35" spans="1:8" x14ac:dyDescent="0.25">
      <c r="A35">
        <v>34</v>
      </c>
      <c r="B35" t="str">
        <v>99HZ395</v>
      </c>
      <c r="C35">
        <v>31</v>
      </c>
      <c r="D35">
        <v>4</v>
      </c>
      <c r="E35">
        <v>5134</v>
      </c>
      <c r="F35" s="218">
        <v>18</v>
      </c>
      <c r="G35" s="218">
        <v>924.12</v>
      </c>
      <c r="H35" s="167">
        <v>924.12</v>
      </c>
    </row>
    <row r="36" spans="1:8" x14ac:dyDescent="0.25">
      <c r="A36">
        <v>35</v>
      </c>
      <c r="B36" t="str">
        <v>90ZP408</v>
      </c>
      <c r="C36">
        <v>31</v>
      </c>
      <c r="D36">
        <v>4</v>
      </c>
      <c r="E36">
        <v>896</v>
      </c>
      <c r="F36" s="218">
        <v>15</v>
      </c>
      <c r="G36" s="218">
        <v>134.4</v>
      </c>
      <c r="H36" s="167">
        <v>134.4</v>
      </c>
    </row>
    <row r="37" spans="1:8" x14ac:dyDescent="0.25">
      <c r="A37">
        <v>36</v>
      </c>
      <c r="B37" t="str">
        <v>66CC029</v>
      </c>
      <c r="C37">
        <v>31</v>
      </c>
      <c r="D37">
        <v>4</v>
      </c>
      <c r="E37">
        <v>5403</v>
      </c>
      <c r="F37" s="218">
        <v>15</v>
      </c>
      <c r="G37" s="218">
        <v>810.45</v>
      </c>
      <c r="H37" s="167">
        <v>810.45</v>
      </c>
    </row>
    <row r="38" spans="1:8" x14ac:dyDescent="0.25">
      <c r="A38">
        <v>37</v>
      </c>
      <c r="B38" t="str">
        <v>90SL686</v>
      </c>
      <c r="C38">
        <v>31</v>
      </c>
      <c r="D38">
        <v>4</v>
      </c>
      <c r="E38">
        <v>7774</v>
      </c>
      <c r="F38" s="218">
        <v>12</v>
      </c>
      <c r="G38" s="218">
        <v>932.88</v>
      </c>
      <c r="H38" s="167">
        <v>932.88</v>
      </c>
    </row>
    <row r="39" spans="1:8" x14ac:dyDescent="0.25">
      <c r="A39">
        <v>38</v>
      </c>
      <c r="B39" t="str">
        <v>55CB633</v>
      </c>
      <c r="C39">
        <v>31</v>
      </c>
      <c r="D39">
        <v>4</v>
      </c>
      <c r="E39">
        <v>2647</v>
      </c>
      <c r="F39" s="218">
        <v>15</v>
      </c>
      <c r="G39" s="218">
        <v>397.05</v>
      </c>
      <c r="H39" s="167">
        <v>397.05</v>
      </c>
    </row>
    <row r="40" spans="1:8" x14ac:dyDescent="0.25">
      <c r="A40">
        <v>39</v>
      </c>
      <c r="B40" t="str">
        <v>99BT339</v>
      </c>
      <c r="C40">
        <v>31</v>
      </c>
      <c r="D40">
        <v>4</v>
      </c>
      <c r="E40">
        <v>4054</v>
      </c>
      <c r="F40" s="218">
        <v>15</v>
      </c>
      <c r="G40" s="218">
        <v>608.1</v>
      </c>
      <c r="H40" s="167">
        <v>608.1</v>
      </c>
    </row>
    <row r="41" spans="1:8" x14ac:dyDescent="0.25">
      <c r="A41">
        <v>40</v>
      </c>
      <c r="B41" t="str">
        <v>77ET143</v>
      </c>
      <c r="C41">
        <v>31</v>
      </c>
      <c r="D41">
        <v>4</v>
      </c>
      <c r="E41">
        <v>2575</v>
      </c>
      <c r="F41" s="218">
        <v>15</v>
      </c>
      <c r="G41" s="218">
        <v>386.25</v>
      </c>
      <c r="H41" s="167">
        <v>386.25</v>
      </c>
    </row>
    <row r="42" spans="1:8" x14ac:dyDescent="0.25">
      <c r="A42">
        <v>41</v>
      </c>
      <c r="B42" t="str">
        <v>50DK730</v>
      </c>
      <c r="C42">
        <v>31</v>
      </c>
      <c r="D42">
        <v>4</v>
      </c>
      <c r="E42">
        <v>7598</v>
      </c>
      <c r="F42" s="218">
        <v>14.999999999999998</v>
      </c>
      <c r="G42" s="218">
        <v>1139.6999999999998</v>
      </c>
      <c r="H42" s="167">
        <v>1139.6999999999998</v>
      </c>
    </row>
    <row r="43" spans="1:8" x14ac:dyDescent="0.25">
      <c r="A43">
        <v>42</v>
      </c>
      <c r="B43" t="str">
        <v>99MN472</v>
      </c>
      <c r="C43">
        <v>31</v>
      </c>
      <c r="D43">
        <v>4</v>
      </c>
      <c r="E43">
        <v>4659</v>
      </c>
      <c r="F43" s="218">
        <v>15</v>
      </c>
      <c r="G43" s="218">
        <v>698.85</v>
      </c>
      <c r="H43" s="167">
        <v>698.85</v>
      </c>
    </row>
    <row r="44" spans="1:8" x14ac:dyDescent="0.25">
      <c r="A44">
        <v>43</v>
      </c>
      <c r="B44" t="str">
        <v>99LM412</v>
      </c>
      <c r="C44">
        <v>31</v>
      </c>
      <c r="D44">
        <v>4</v>
      </c>
      <c r="E44">
        <v>870</v>
      </c>
      <c r="F44" s="218">
        <v>15</v>
      </c>
      <c r="G44" s="218">
        <v>130.5</v>
      </c>
      <c r="H44" s="167">
        <v>130.5</v>
      </c>
    </row>
    <row r="45" spans="1:8" x14ac:dyDescent="0.25">
      <c r="A45">
        <v>44</v>
      </c>
      <c r="B45" t="str">
        <v>50BD165</v>
      </c>
      <c r="C45">
        <v>31</v>
      </c>
      <c r="D45">
        <v>4</v>
      </c>
      <c r="E45">
        <v>918</v>
      </c>
      <c r="F45" s="218">
        <v>15</v>
      </c>
      <c r="G45" s="218">
        <v>137.69999999999999</v>
      </c>
      <c r="H45" s="167">
        <v>137.69999999999999</v>
      </c>
    </row>
    <row r="46" spans="1:8" x14ac:dyDescent="0.25">
      <c r="A46">
        <v>45</v>
      </c>
      <c r="B46" t="str">
        <v>77QE133</v>
      </c>
      <c r="C46">
        <v>31</v>
      </c>
      <c r="D46">
        <v>4</v>
      </c>
      <c r="E46">
        <v>5675</v>
      </c>
      <c r="F46" s="218">
        <v>18</v>
      </c>
      <c r="G46" s="218">
        <v>1021.5</v>
      </c>
      <c r="H46" s="167">
        <v>1021.5</v>
      </c>
    </row>
    <row r="47" spans="1:8" x14ac:dyDescent="0.25">
      <c r="A47">
        <v>46</v>
      </c>
      <c r="B47" t="str">
        <v>90VS316</v>
      </c>
      <c r="C47">
        <v>31</v>
      </c>
      <c r="D47">
        <v>4</v>
      </c>
      <c r="E47">
        <v>2079</v>
      </c>
      <c r="F47" s="218">
        <v>15</v>
      </c>
      <c r="G47" s="218">
        <v>311.85000000000002</v>
      </c>
      <c r="H47" s="167">
        <v>311.85000000000002</v>
      </c>
    </row>
    <row r="48" spans="1:8" x14ac:dyDescent="0.25">
      <c r="A48">
        <v>47</v>
      </c>
      <c r="B48" t="str">
        <v>99EM163</v>
      </c>
      <c r="C48">
        <v>31</v>
      </c>
      <c r="D48">
        <v>4</v>
      </c>
      <c r="E48">
        <v>158</v>
      </c>
      <c r="F48" s="218">
        <v>15</v>
      </c>
      <c r="G48" s="218">
        <v>23.7</v>
      </c>
      <c r="H48" s="167">
        <v>23.7</v>
      </c>
    </row>
    <row r="49" spans="1:8" x14ac:dyDescent="0.25">
      <c r="A49">
        <v>48</v>
      </c>
      <c r="B49" t="str">
        <v>53BB774</v>
      </c>
      <c r="C49">
        <v>31</v>
      </c>
      <c r="D49">
        <v>4</v>
      </c>
      <c r="E49">
        <v>296</v>
      </c>
      <c r="F49" s="218">
        <v>15</v>
      </c>
      <c r="G49" s="218">
        <v>44.4</v>
      </c>
      <c r="H49" s="167">
        <v>44.4</v>
      </c>
    </row>
    <row r="50" spans="1:8" x14ac:dyDescent="0.25">
      <c r="A50">
        <v>49</v>
      </c>
      <c r="B50" t="str">
        <v>01CC689</v>
      </c>
      <c r="C50">
        <v>31</v>
      </c>
      <c r="D50">
        <v>5</v>
      </c>
      <c r="E50">
        <v>2925</v>
      </c>
      <c r="F50" s="218">
        <v>15</v>
      </c>
      <c r="G50" s="218">
        <v>438.75</v>
      </c>
      <c r="H50" s="167">
        <v>438.75</v>
      </c>
    </row>
    <row r="51" spans="1:8" x14ac:dyDescent="0.25">
      <c r="A51">
        <v>50</v>
      </c>
      <c r="B51" t="str">
        <v>50BD165</v>
      </c>
      <c r="C51">
        <v>31</v>
      </c>
      <c r="D51">
        <v>5</v>
      </c>
      <c r="E51">
        <v>1001</v>
      </c>
      <c r="F51" s="218">
        <v>15</v>
      </c>
      <c r="G51" s="218">
        <v>150.15</v>
      </c>
      <c r="H51" s="167">
        <v>150.15</v>
      </c>
    </row>
    <row r="52" spans="1:8" x14ac:dyDescent="0.25">
      <c r="A52">
        <v>51</v>
      </c>
      <c r="B52" t="str">
        <v>50DK730</v>
      </c>
      <c r="C52">
        <v>31</v>
      </c>
      <c r="D52">
        <v>5</v>
      </c>
      <c r="E52">
        <v>6965</v>
      </c>
      <c r="F52" s="218">
        <v>14.999999999999998</v>
      </c>
      <c r="G52" s="218">
        <v>1044.7499999999998</v>
      </c>
      <c r="H52" s="167">
        <v>1044.7499999999998</v>
      </c>
    </row>
    <row r="53" spans="1:8" x14ac:dyDescent="0.25">
      <c r="A53">
        <v>52</v>
      </c>
      <c r="B53" t="str">
        <v>53BB774</v>
      </c>
      <c r="C53">
        <v>31</v>
      </c>
      <c r="D53">
        <v>5</v>
      </c>
      <c r="E53">
        <v>3614</v>
      </c>
      <c r="F53" s="218">
        <v>15</v>
      </c>
      <c r="G53" s="218">
        <v>1084.2</v>
      </c>
      <c r="H53" s="167">
        <v>1084.2</v>
      </c>
    </row>
    <row r="54" spans="1:8" x14ac:dyDescent="0.25">
      <c r="A54">
        <v>53</v>
      </c>
      <c r="B54" t="str">
        <v>55CB633</v>
      </c>
      <c r="C54">
        <v>31</v>
      </c>
      <c r="D54">
        <v>5</v>
      </c>
      <c r="E54">
        <v>2348</v>
      </c>
      <c r="F54" s="218">
        <v>15</v>
      </c>
      <c r="G54" s="218">
        <v>352.2</v>
      </c>
      <c r="H54" s="167">
        <v>352.2</v>
      </c>
    </row>
    <row r="55" spans="1:8" x14ac:dyDescent="0.25">
      <c r="A55">
        <v>54</v>
      </c>
      <c r="B55" t="str">
        <v>77GR998</v>
      </c>
      <c r="C55">
        <v>31</v>
      </c>
      <c r="D55">
        <v>5</v>
      </c>
      <c r="E55">
        <v>1490</v>
      </c>
      <c r="F55" s="218">
        <v>15</v>
      </c>
      <c r="G55" s="218">
        <v>223.5</v>
      </c>
      <c r="H55" s="167">
        <v>223.5</v>
      </c>
    </row>
    <row r="56" spans="1:8" x14ac:dyDescent="0.25">
      <c r="A56">
        <v>55</v>
      </c>
      <c r="B56" t="str">
        <v>77QE133</v>
      </c>
      <c r="C56">
        <v>31</v>
      </c>
      <c r="D56">
        <v>5</v>
      </c>
      <c r="E56">
        <v>6096</v>
      </c>
      <c r="F56" s="218">
        <v>18</v>
      </c>
      <c r="G56" s="218">
        <v>1097.28</v>
      </c>
      <c r="H56" s="167">
        <v>1097.28</v>
      </c>
    </row>
    <row r="57" spans="1:8" x14ac:dyDescent="0.25">
      <c r="A57">
        <v>56</v>
      </c>
      <c r="B57" t="str">
        <v>77UR032</v>
      </c>
      <c r="C57">
        <v>31</v>
      </c>
      <c r="D57">
        <v>5</v>
      </c>
      <c r="E57">
        <v>2416</v>
      </c>
      <c r="F57" s="218">
        <v>15</v>
      </c>
      <c r="G57" s="218">
        <v>438.75</v>
      </c>
      <c r="H57" s="167">
        <v>438.75</v>
      </c>
    </row>
    <row r="58" spans="1:8" x14ac:dyDescent="0.25">
      <c r="A58">
        <v>57</v>
      </c>
      <c r="B58" t="str">
        <v>90SL686</v>
      </c>
      <c r="C58">
        <v>31</v>
      </c>
      <c r="D58">
        <v>5</v>
      </c>
      <c r="E58">
        <v>8439</v>
      </c>
      <c r="F58" s="218">
        <v>12</v>
      </c>
      <c r="G58" s="218">
        <v>1012.68</v>
      </c>
      <c r="H58" s="167">
        <v>1012.68</v>
      </c>
    </row>
    <row r="59" spans="1:8" x14ac:dyDescent="0.25">
      <c r="A59">
        <v>58</v>
      </c>
      <c r="B59" t="str">
        <v>90VS316</v>
      </c>
      <c r="C59">
        <v>31</v>
      </c>
      <c r="D59">
        <v>5</v>
      </c>
      <c r="E59">
        <v>1664</v>
      </c>
      <c r="F59" s="218">
        <v>15</v>
      </c>
      <c r="G59" s="218">
        <v>249.6</v>
      </c>
      <c r="H59" s="167">
        <v>249.6</v>
      </c>
    </row>
    <row r="60" spans="1:8" x14ac:dyDescent="0.25">
      <c r="A60">
        <v>59</v>
      </c>
      <c r="B60" t="str">
        <v>99BT339</v>
      </c>
      <c r="C60">
        <v>31</v>
      </c>
      <c r="D60">
        <v>5</v>
      </c>
      <c r="E60">
        <v>2847</v>
      </c>
      <c r="F60" s="218">
        <v>15</v>
      </c>
      <c r="G60" s="218">
        <v>427.05</v>
      </c>
      <c r="H60" s="167">
        <v>427.05</v>
      </c>
    </row>
    <row r="61" spans="1:8" x14ac:dyDescent="0.25">
      <c r="A61">
        <v>60</v>
      </c>
      <c r="B61" t="str">
        <v>99EM163</v>
      </c>
      <c r="C61">
        <v>31</v>
      </c>
      <c r="D61">
        <v>5</v>
      </c>
      <c r="E61">
        <v>1396</v>
      </c>
      <c r="F61" s="218">
        <v>15</v>
      </c>
      <c r="G61" s="218">
        <v>418.8</v>
      </c>
      <c r="H61" s="167">
        <v>418.8</v>
      </c>
    </row>
    <row r="62" spans="1:8" x14ac:dyDescent="0.25">
      <c r="A62">
        <v>61</v>
      </c>
      <c r="B62" t="str">
        <v>99HZ395</v>
      </c>
      <c r="C62">
        <v>31</v>
      </c>
      <c r="D62">
        <v>5</v>
      </c>
      <c r="E62">
        <v>4381</v>
      </c>
      <c r="F62" s="218">
        <v>18</v>
      </c>
      <c r="G62" s="218">
        <v>788.58</v>
      </c>
      <c r="H62" s="167">
        <v>788.58</v>
      </c>
    </row>
    <row r="63" spans="1:8" x14ac:dyDescent="0.25">
      <c r="A63">
        <v>62</v>
      </c>
      <c r="B63" t="str">
        <v>99LM412</v>
      </c>
      <c r="C63">
        <v>31</v>
      </c>
      <c r="D63">
        <v>5</v>
      </c>
      <c r="E63">
        <v>1130</v>
      </c>
      <c r="F63" s="218">
        <v>15</v>
      </c>
      <c r="G63" s="218">
        <v>169.5</v>
      </c>
      <c r="H63" s="167">
        <v>169.5</v>
      </c>
    </row>
    <row r="64" spans="1:8" x14ac:dyDescent="0.25">
      <c r="A64">
        <v>63</v>
      </c>
      <c r="B64" t="str">
        <v>99MN472</v>
      </c>
      <c r="C64">
        <v>31</v>
      </c>
      <c r="D64">
        <v>5</v>
      </c>
      <c r="E64">
        <v>5163</v>
      </c>
      <c r="F64" s="218">
        <v>15</v>
      </c>
      <c r="G64" s="218">
        <v>774.45</v>
      </c>
      <c r="H64" s="167">
        <v>774.45</v>
      </c>
    </row>
    <row r="65" spans="1:8" x14ac:dyDescent="0.25">
      <c r="A65">
        <v>64</v>
      </c>
      <c r="B65" t="str">
        <v>01CC689</v>
      </c>
      <c r="C65">
        <v>31</v>
      </c>
      <c r="D65">
        <v>6</v>
      </c>
      <c r="E65">
        <v>2120</v>
      </c>
      <c r="F65" s="218">
        <v>15</v>
      </c>
      <c r="G65" s="218">
        <v>318</v>
      </c>
      <c r="H65" s="167">
        <v>318</v>
      </c>
    </row>
    <row r="66" spans="1:8" x14ac:dyDescent="0.25">
      <c r="A66">
        <v>65</v>
      </c>
      <c r="B66" t="str">
        <v>50BD165</v>
      </c>
      <c r="C66">
        <v>31</v>
      </c>
      <c r="D66">
        <v>6</v>
      </c>
      <c r="E66">
        <v>805</v>
      </c>
      <c r="F66" s="218">
        <v>15</v>
      </c>
      <c r="G66" s="218">
        <v>120.75</v>
      </c>
      <c r="H66" s="167">
        <v>120.75</v>
      </c>
    </row>
    <row r="67" spans="1:8" x14ac:dyDescent="0.25">
      <c r="A67">
        <v>66</v>
      </c>
      <c r="B67" t="str">
        <v>50BN724</v>
      </c>
      <c r="C67">
        <v>31</v>
      </c>
      <c r="D67">
        <v>6</v>
      </c>
      <c r="E67">
        <v>1011</v>
      </c>
      <c r="F67" s="218">
        <v>15</v>
      </c>
      <c r="G67" s="218">
        <v>151.65</v>
      </c>
      <c r="H67" s="167">
        <v>151.65</v>
      </c>
    </row>
    <row r="68" spans="1:8" x14ac:dyDescent="0.25">
      <c r="A68">
        <v>67</v>
      </c>
      <c r="B68" t="str">
        <v>50DK730</v>
      </c>
      <c r="C68">
        <v>31</v>
      </c>
      <c r="D68">
        <v>6</v>
      </c>
      <c r="E68">
        <v>5666</v>
      </c>
      <c r="F68" s="218">
        <v>14.999999999999998</v>
      </c>
      <c r="G68" s="218">
        <v>663.89999999999986</v>
      </c>
      <c r="H68" s="167">
        <v>663.89999999999986</v>
      </c>
    </row>
    <row r="69" spans="1:8" x14ac:dyDescent="0.25">
      <c r="A69">
        <v>68</v>
      </c>
      <c r="B69" t="str">
        <v>53BB774</v>
      </c>
      <c r="C69">
        <v>31</v>
      </c>
      <c r="D69">
        <v>6</v>
      </c>
      <c r="E69">
        <v>6647</v>
      </c>
      <c r="F69" s="218">
        <v>15</v>
      </c>
      <c r="G69" s="218">
        <v>727.05</v>
      </c>
      <c r="H69" s="167">
        <v>727.05</v>
      </c>
    </row>
    <row r="70" spans="1:8" x14ac:dyDescent="0.25">
      <c r="A70">
        <v>69</v>
      </c>
      <c r="B70" t="str">
        <v>55CB633</v>
      </c>
      <c r="C70">
        <v>31</v>
      </c>
      <c r="D70">
        <v>6</v>
      </c>
      <c r="E70">
        <v>2115</v>
      </c>
      <c r="F70" s="218">
        <v>15</v>
      </c>
      <c r="G70" s="218">
        <v>317.25</v>
      </c>
      <c r="H70" s="167">
        <v>317.25</v>
      </c>
    </row>
    <row r="71" spans="1:8" x14ac:dyDescent="0.25">
      <c r="A71">
        <v>70</v>
      </c>
      <c r="B71" t="str">
        <v>77QE133</v>
      </c>
      <c r="C71">
        <v>31</v>
      </c>
      <c r="D71">
        <v>6</v>
      </c>
      <c r="E71">
        <v>5983</v>
      </c>
      <c r="F71" s="218">
        <v>18</v>
      </c>
      <c r="G71" s="218">
        <v>1076.94</v>
      </c>
      <c r="H71" s="167">
        <v>1076.94</v>
      </c>
    </row>
    <row r="72" spans="1:8" x14ac:dyDescent="0.25">
      <c r="A72">
        <v>71</v>
      </c>
      <c r="B72" t="str">
        <v>77UR032</v>
      </c>
      <c r="C72">
        <v>31</v>
      </c>
      <c r="D72">
        <v>6</v>
      </c>
      <c r="E72">
        <v>2809</v>
      </c>
      <c r="F72" s="218">
        <v>15</v>
      </c>
      <c r="G72" s="218">
        <v>421.35</v>
      </c>
      <c r="H72" s="167">
        <v>421.35</v>
      </c>
    </row>
    <row r="73" spans="1:8" x14ac:dyDescent="0.25">
      <c r="A73">
        <v>72</v>
      </c>
      <c r="B73" t="str">
        <v>90LS143</v>
      </c>
      <c r="C73">
        <v>31</v>
      </c>
      <c r="D73">
        <v>6</v>
      </c>
      <c r="E73">
        <v>1179</v>
      </c>
      <c r="F73" s="218">
        <v>14.999999999999998</v>
      </c>
      <c r="G73" s="218">
        <v>176.84999999999997</v>
      </c>
      <c r="H73" s="167">
        <v>176.84999999999997</v>
      </c>
    </row>
    <row r="74" spans="1:8" x14ac:dyDescent="0.25">
      <c r="A74">
        <v>73</v>
      </c>
      <c r="B74" t="str">
        <v>90SL686</v>
      </c>
      <c r="C74">
        <v>31</v>
      </c>
      <c r="D74">
        <v>6</v>
      </c>
      <c r="E74">
        <v>6939</v>
      </c>
      <c r="F74" s="218">
        <v>12</v>
      </c>
      <c r="G74" s="218">
        <v>832.68</v>
      </c>
      <c r="H74" s="167">
        <v>832.68</v>
      </c>
    </row>
    <row r="75" spans="1:8" x14ac:dyDescent="0.25">
      <c r="A75">
        <v>74</v>
      </c>
      <c r="B75" t="str">
        <v>90VS316</v>
      </c>
      <c r="C75">
        <v>31</v>
      </c>
      <c r="D75">
        <v>6</v>
      </c>
      <c r="E75">
        <v>2040</v>
      </c>
      <c r="F75" s="218">
        <v>15</v>
      </c>
      <c r="G75" s="218">
        <v>306</v>
      </c>
      <c r="H75" s="167">
        <v>306</v>
      </c>
    </row>
    <row r="76" spans="1:8" x14ac:dyDescent="0.25">
      <c r="A76">
        <v>75</v>
      </c>
      <c r="B76" t="str">
        <v>99BT339</v>
      </c>
      <c r="C76">
        <v>31</v>
      </c>
      <c r="D76">
        <v>6</v>
      </c>
      <c r="E76">
        <v>3841</v>
      </c>
      <c r="F76" s="218">
        <v>15</v>
      </c>
      <c r="G76" s="218">
        <v>576.15</v>
      </c>
      <c r="H76" s="167">
        <v>576.15</v>
      </c>
    </row>
    <row r="77" spans="1:8" x14ac:dyDescent="0.25">
      <c r="A77">
        <v>76</v>
      </c>
      <c r="B77" t="str">
        <v>99EM163</v>
      </c>
      <c r="C77">
        <v>31</v>
      </c>
      <c r="D77">
        <v>6</v>
      </c>
      <c r="E77">
        <v>2016</v>
      </c>
      <c r="F77" s="218">
        <v>15</v>
      </c>
      <c r="G77" s="218">
        <v>302.39999999999998</v>
      </c>
      <c r="H77" s="167">
        <v>302.39999999999998</v>
      </c>
    </row>
    <row r="78" spans="1:8" x14ac:dyDescent="0.25">
      <c r="A78">
        <v>77</v>
      </c>
      <c r="B78" t="str">
        <v>99HZ395</v>
      </c>
      <c r="C78">
        <v>31</v>
      </c>
      <c r="D78">
        <v>6</v>
      </c>
      <c r="E78">
        <v>4570</v>
      </c>
      <c r="F78" s="218">
        <v>18</v>
      </c>
      <c r="G78" s="218">
        <v>822.6</v>
      </c>
      <c r="H78" s="167">
        <v>822.6</v>
      </c>
    </row>
    <row r="79" spans="1:8" x14ac:dyDescent="0.25">
      <c r="A79">
        <v>78</v>
      </c>
      <c r="B79" t="str">
        <v>99KL663</v>
      </c>
      <c r="C79">
        <v>31</v>
      </c>
      <c r="D79">
        <v>6</v>
      </c>
      <c r="E79">
        <v>2092</v>
      </c>
      <c r="F79" s="218">
        <v>15</v>
      </c>
      <c r="G79" s="218">
        <v>313.8</v>
      </c>
      <c r="H79" s="167">
        <v>313.8</v>
      </c>
    </row>
    <row r="80" spans="1:8" x14ac:dyDescent="0.25">
      <c r="A80">
        <v>79</v>
      </c>
      <c r="B80" t="str">
        <v>99LM412</v>
      </c>
      <c r="C80">
        <v>31</v>
      </c>
      <c r="D80">
        <v>6</v>
      </c>
      <c r="E80">
        <v>1146</v>
      </c>
      <c r="F80" s="218">
        <v>15</v>
      </c>
      <c r="G80" s="218">
        <v>32.549999999999997</v>
      </c>
      <c r="H80" s="167">
        <v>32.549999999999997</v>
      </c>
    </row>
    <row r="81" spans="1:8" x14ac:dyDescent="0.25">
      <c r="A81">
        <v>80</v>
      </c>
      <c r="B81" t="str">
        <v>99MN472</v>
      </c>
      <c r="C81">
        <v>31</v>
      </c>
      <c r="D81">
        <v>6</v>
      </c>
      <c r="E81">
        <v>5457</v>
      </c>
      <c r="F81" s="218">
        <v>15</v>
      </c>
      <c r="G81" s="218">
        <v>694.55</v>
      </c>
      <c r="H81" s="167">
        <v>694.55</v>
      </c>
    </row>
    <row r="82" spans="1:8" x14ac:dyDescent="0.25">
      <c r="A82">
        <v>81</v>
      </c>
      <c r="B82" t="str">
        <v>77GR998</v>
      </c>
      <c r="C82">
        <v>31</v>
      </c>
      <c r="D82">
        <v>6</v>
      </c>
      <c r="E82">
        <v>3092</v>
      </c>
      <c r="F82" s="218">
        <v>15</v>
      </c>
      <c r="G82" s="218">
        <v>327.39999999999998</v>
      </c>
      <c r="H82" s="167">
        <v>327.39999999999998</v>
      </c>
    </row>
    <row r="83" spans="1:8" x14ac:dyDescent="0.25">
      <c r="A83">
        <v>82</v>
      </c>
      <c r="B83" t="str">
        <v>01CC689</v>
      </c>
      <c r="C83">
        <v>31</v>
      </c>
      <c r="D83">
        <v>7</v>
      </c>
      <c r="E83">
        <v>423</v>
      </c>
      <c r="F83" s="218">
        <v>15</v>
      </c>
      <c r="G83" s="218">
        <v>63.45</v>
      </c>
      <c r="H83" s="167">
        <v>63.45</v>
      </c>
    </row>
    <row r="84" spans="1:8" x14ac:dyDescent="0.25">
      <c r="A84">
        <v>83</v>
      </c>
      <c r="B84" t="str">
        <v>10RN527</v>
      </c>
      <c r="C84">
        <v>31</v>
      </c>
      <c r="D84">
        <v>7</v>
      </c>
      <c r="E84">
        <v>3236</v>
      </c>
      <c r="F84" s="218">
        <v>15</v>
      </c>
      <c r="G84" s="218">
        <v>485.4</v>
      </c>
      <c r="H84" s="167">
        <v>485.4</v>
      </c>
    </row>
    <row r="85" spans="1:8" x14ac:dyDescent="0.25">
      <c r="A85">
        <v>84</v>
      </c>
      <c r="B85" t="str">
        <v>50BD165</v>
      </c>
      <c r="C85">
        <v>31</v>
      </c>
      <c r="D85">
        <v>7</v>
      </c>
      <c r="E85">
        <v>800</v>
      </c>
      <c r="F85" s="218">
        <v>15</v>
      </c>
      <c r="G85" s="218">
        <v>120</v>
      </c>
      <c r="H85" s="167">
        <v>120</v>
      </c>
    </row>
    <row r="86" spans="1:8" x14ac:dyDescent="0.25">
      <c r="A86">
        <v>85</v>
      </c>
      <c r="B86" t="str">
        <v>50BN724</v>
      </c>
      <c r="C86">
        <v>31</v>
      </c>
      <c r="D86">
        <v>7</v>
      </c>
      <c r="E86">
        <v>3851</v>
      </c>
      <c r="F86" s="218">
        <v>18</v>
      </c>
      <c r="G86" s="218">
        <v>693.18</v>
      </c>
      <c r="H86" s="167">
        <v>693.18</v>
      </c>
    </row>
    <row r="87" spans="1:8" x14ac:dyDescent="0.25">
      <c r="A87">
        <v>86</v>
      </c>
      <c r="B87" t="str">
        <v>50CN929</v>
      </c>
      <c r="C87">
        <v>31</v>
      </c>
      <c r="D87">
        <v>7</v>
      </c>
      <c r="E87">
        <v>976</v>
      </c>
      <c r="F87" s="218">
        <v>15</v>
      </c>
      <c r="G87" s="218">
        <v>146.4</v>
      </c>
      <c r="H87" s="167">
        <v>146.4</v>
      </c>
    </row>
    <row r="88" spans="1:8" x14ac:dyDescent="0.25">
      <c r="A88">
        <v>87</v>
      </c>
      <c r="B88" t="str">
        <v>50DK730</v>
      </c>
      <c r="C88">
        <v>31</v>
      </c>
      <c r="D88">
        <v>7</v>
      </c>
      <c r="E88">
        <v>5571</v>
      </c>
      <c r="F88" s="218">
        <v>14.999999999999998</v>
      </c>
      <c r="G88" s="218">
        <v>649.64999999999986</v>
      </c>
      <c r="H88" s="167">
        <v>649.64999999999986</v>
      </c>
    </row>
    <row r="89" spans="1:8" x14ac:dyDescent="0.25">
      <c r="A89">
        <v>88</v>
      </c>
      <c r="B89" t="str">
        <v>50EF902</v>
      </c>
      <c r="C89">
        <v>31</v>
      </c>
      <c r="D89">
        <v>7</v>
      </c>
      <c r="E89">
        <v>1837</v>
      </c>
      <c r="F89" s="218">
        <v>15</v>
      </c>
      <c r="G89" s="218">
        <v>275.55</v>
      </c>
      <c r="H89" s="167">
        <v>275.55</v>
      </c>
    </row>
    <row r="90" spans="1:8" x14ac:dyDescent="0.25">
      <c r="A90">
        <v>89</v>
      </c>
      <c r="B90" t="str">
        <v>53BB774</v>
      </c>
      <c r="C90">
        <v>31</v>
      </c>
      <c r="D90">
        <v>7</v>
      </c>
      <c r="E90">
        <v>1478</v>
      </c>
      <c r="F90" s="218">
        <v>15</v>
      </c>
      <c r="G90" s="218">
        <v>140.69999999999999</v>
      </c>
      <c r="H90" s="167">
        <v>140.69999999999999</v>
      </c>
    </row>
    <row r="91" spans="1:8" x14ac:dyDescent="0.25">
      <c r="A91">
        <v>90</v>
      </c>
      <c r="B91" t="str">
        <v>55CB633</v>
      </c>
      <c r="C91">
        <v>31</v>
      </c>
      <c r="D91">
        <v>7</v>
      </c>
      <c r="E91">
        <v>2051</v>
      </c>
      <c r="F91" s="218">
        <v>15</v>
      </c>
      <c r="G91" s="218">
        <v>307.64999999999998</v>
      </c>
      <c r="H91" s="167">
        <v>307.64999999999998</v>
      </c>
    </row>
    <row r="92" spans="1:8" x14ac:dyDescent="0.25">
      <c r="A92">
        <v>91</v>
      </c>
      <c r="B92" t="str">
        <v>77GR998</v>
      </c>
      <c r="C92">
        <v>31</v>
      </c>
      <c r="D92">
        <v>7</v>
      </c>
      <c r="E92">
        <v>3530</v>
      </c>
      <c r="F92" s="218">
        <v>15</v>
      </c>
      <c r="G92" s="218">
        <v>393.1</v>
      </c>
      <c r="H92" s="167">
        <v>393.1</v>
      </c>
    </row>
    <row r="93" spans="1:8" x14ac:dyDescent="0.25">
      <c r="A93">
        <v>92</v>
      </c>
      <c r="B93" t="str">
        <v>77QE133</v>
      </c>
      <c r="C93">
        <v>31</v>
      </c>
      <c r="D93">
        <v>7</v>
      </c>
      <c r="E93">
        <v>5845</v>
      </c>
      <c r="F93" s="218">
        <v>18</v>
      </c>
      <c r="G93" s="218">
        <v>1052.0999999999999</v>
      </c>
      <c r="H93" s="167">
        <v>1052.0999999999999</v>
      </c>
    </row>
    <row r="94" spans="1:8" x14ac:dyDescent="0.25">
      <c r="A94">
        <v>93</v>
      </c>
      <c r="B94" t="str">
        <v>77TG971</v>
      </c>
      <c r="C94">
        <v>31</v>
      </c>
      <c r="D94">
        <v>7</v>
      </c>
      <c r="E94">
        <v>1485</v>
      </c>
      <c r="F94" s="218">
        <v>15</v>
      </c>
      <c r="G94" s="218">
        <v>222.75</v>
      </c>
      <c r="H94" s="167">
        <v>222.75</v>
      </c>
    </row>
    <row r="95" spans="1:8" x14ac:dyDescent="0.25">
      <c r="A95">
        <v>94</v>
      </c>
      <c r="B95" t="str">
        <v>77UR032</v>
      </c>
      <c r="C95">
        <v>31</v>
      </c>
      <c r="D95">
        <v>7</v>
      </c>
      <c r="E95">
        <v>2293</v>
      </c>
      <c r="F95" s="218">
        <v>15</v>
      </c>
      <c r="G95" s="218">
        <v>343.95</v>
      </c>
      <c r="H95" s="167">
        <v>343.95</v>
      </c>
    </row>
    <row r="96" spans="1:8" x14ac:dyDescent="0.25">
      <c r="A96">
        <v>95</v>
      </c>
      <c r="B96" t="str">
        <v>90LS143</v>
      </c>
      <c r="C96">
        <v>31</v>
      </c>
      <c r="D96">
        <v>7</v>
      </c>
      <c r="E96">
        <v>2327</v>
      </c>
      <c r="F96" s="218">
        <v>14.999999999999998</v>
      </c>
      <c r="G96" s="218">
        <v>349.04999999999995</v>
      </c>
      <c r="H96" s="167">
        <v>349.04999999999995</v>
      </c>
    </row>
    <row r="97" spans="1:8" x14ac:dyDescent="0.25">
      <c r="A97">
        <v>96</v>
      </c>
      <c r="B97" t="str">
        <v>90OE402</v>
      </c>
      <c r="C97">
        <v>31</v>
      </c>
      <c r="D97">
        <v>7</v>
      </c>
      <c r="E97">
        <v>1719</v>
      </c>
      <c r="F97" s="218">
        <v>17.999999999999996</v>
      </c>
      <c r="G97" s="218">
        <v>309.4199999999999</v>
      </c>
      <c r="H97" s="167">
        <v>309.4199999999999</v>
      </c>
    </row>
    <row r="98" spans="1:8" x14ac:dyDescent="0.25">
      <c r="A98">
        <v>97</v>
      </c>
      <c r="B98" t="str">
        <v>90SL686</v>
      </c>
      <c r="C98">
        <v>31</v>
      </c>
      <c r="D98">
        <v>7</v>
      </c>
      <c r="E98">
        <v>9102</v>
      </c>
      <c r="F98" s="218">
        <v>12</v>
      </c>
      <c r="G98" s="218">
        <v>1092.24</v>
      </c>
      <c r="H98" s="167">
        <v>1092.24</v>
      </c>
    </row>
    <row r="99" spans="1:8" x14ac:dyDescent="0.25">
      <c r="A99">
        <v>98</v>
      </c>
      <c r="B99" t="str">
        <v>90VS316</v>
      </c>
      <c r="C99">
        <v>31</v>
      </c>
      <c r="D99">
        <v>7</v>
      </c>
      <c r="E99">
        <v>2571</v>
      </c>
      <c r="F99" s="218">
        <v>15</v>
      </c>
      <c r="G99" s="218">
        <v>385.65</v>
      </c>
      <c r="H99" s="167">
        <v>385.65</v>
      </c>
    </row>
    <row r="100" spans="1:8" x14ac:dyDescent="0.25">
      <c r="A100">
        <v>99</v>
      </c>
      <c r="B100" t="str">
        <v>99BT339</v>
      </c>
      <c r="C100">
        <v>31</v>
      </c>
      <c r="D100">
        <v>7</v>
      </c>
      <c r="E100">
        <v>4429</v>
      </c>
      <c r="F100" s="218">
        <v>15</v>
      </c>
      <c r="G100" s="218">
        <v>664.35</v>
      </c>
      <c r="H100" s="167">
        <v>664.35</v>
      </c>
    </row>
    <row r="101" spans="1:8" x14ac:dyDescent="0.25">
      <c r="A101">
        <v>100</v>
      </c>
      <c r="B101" t="str">
        <v>99EM163</v>
      </c>
      <c r="C101">
        <v>31</v>
      </c>
      <c r="D101">
        <v>7</v>
      </c>
      <c r="E101">
        <v>1926</v>
      </c>
      <c r="F101" s="218">
        <v>15</v>
      </c>
      <c r="G101" s="218">
        <v>288.89999999999998</v>
      </c>
      <c r="H101" s="167">
        <v>288.89999999999998</v>
      </c>
    </row>
    <row r="102" spans="1:8" x14ac:dyDescent="0.25">
      <c r="A102">
        <v>101</v>
      </c>
      <c r="B102" t="str">
        <v>99HZ395</v>
      </c>
      <c r="C102">
        <v>31</v>
      </c>
      <c r="D102">
        <v>7</v>
      </c>
      <c r="E102">
        <v>5269</v>
      </c>
      <c r="F102" s="218">
        <v>18</v>
      </c>
      <c r="G102" s="218">
        <v>948.42</v>
      </c>
      <c r="H102" s="167">
        <v>948.42</v>
      </c>
    </row>
    <row r="103" spans="1:8" x14ac:dyDescent="0.25">
      <c r="A103">
        <v>102</v>
      </c>
      <c r="B103" t="str">
        <v>99KL663</v>
      </c>
      <c r="C103">
        <v>31</v>
      </c>
      <c r="D103">
        <v>7</v>
      </c>
      <c r="E103">
        <v>2375</v>
      </c>
      <c r="F103" s="218">
        <v>15</v>
      </c>
      <c r="G103" s="218">
        <v>356.25</v>
      </c>
      <c r="H103" s="167">
        <v>356.25</v>
      </c>
    </row>
    <row r="104" spans="1:8" x14ac:dyDescent="0.25">
      <c r="A104">
        <v>103</v>
      </c>
      <c r="B104" t="str">
        <v>99LM412</v>
      </c>
      <c r="C104">
        <v>31</v>
      </c>
      <c r="D104">
        <v>7</v>
      </c>
      <c r="E104">
        <v>522</v>
      </c>
      <c r="F104" s="218">
        <v>15</v>
      </c>
      <c r="G104" s="218">
        <v>78.3</v>
      </c>
      <c r="H104" s="167">
        <v>78.3</v>
      </c>
    </row>
    <row r="105" spans="1:8" x14ac:dyDescent="0.25">
      <c r="A105">
        <v>104</v>
      </c>
      <c r="B105" t="str">
        <v>99MN472</v>
      </c>
      <c r="C105">
        <v>31</v>
      </c>
      <c r="D105">
        <v>7</v>
      </c>
      <c r="E105">
        <v>5842</v>
      </c>
      <c r="F105" s="218">
        <v>15</v>
      </c>
      <c r="G105" s="218">
        <v>756.3</v>
      </c>
      <c r="H105" s="167">
        <v>756.3</v>
      </c>
    </row>
    <row r="106" spans="1:8" x14ac:dyDescent="0.25">
      <c r="A106">
        <v>105</v>
      </c>
      <c r="B106" t="str">
        <v>10RN527</v>
      </c>
      <c r="C106">
        <v>31</v>
      </c>
      <c r="D106">
        <v>8</v>
      </c>
      <c r="E106">
        <v>3670</v>
      </c>
      <c r="F106" s="218">
        <v>15</v>
      </c>
      <c r="G106" s="218">
        <v>550.5</v>
      </c>
      <c r="H106" s="167">
        <v>550.5</v>
      </c>
    </row>
    <row r="107" spans="1:8" x14ac:dyDescent="0.25">
      <c r="A107">
        <v>106</v>
      </c>
      <c r="B107" t="str">
        <v>50BD165</v>
      </c>
      <c r="C107">
        <v>31</v>
      </c>
      <c r="D107">
        <v>8</v>
      </c>
      <c r="E107">
        <v>632</v>
      </c>
      <c r="F107" s="218">
        <v>15</v>
      </c>
      <c r="G107" s="218">
        <v>94.8</v>
      </c>
      <c r="H107" s="167">
        <v>94.8</v>
      </c>
    </row>
    <row r="108" spans="1:8" x14ac:dyDescent="0.25">
      <c r="A108">
        <v>107</v>
      </c>
      <c r="B108" t="str">
        <v>50BN724</v>
      </c>
      <c r="C108">
        <v>31</v>
      </c>
      <c r="D108">
        <v>8</v>
      </c>
      <c r="E108">
        <v>3689</v>
      </c>
      <c r="F108" s="218">
        <v>18</v>
      </c>
      <c r="G108" s="218">
        <v>474.99999999999989</v>
      </c>
      <c r="H108" s="167">
        <v>474.99999999999989</v>
      </c>
    </row>
    <row r="109" spans="1:8" x14ac:dyDescent="0.25">
      <c r="A109">
        <v>108</v>
      </c>
      <c r="B109" t="str">
        <v>50CN929</v>
      </c>
      <c r="C109">
        <v>31</v>
      </c>
      <c r="D109">
        <v>8</v>
      </c>
      <c r="E109">
        <v>1642</v>
      </c>
      <c r="F109" s="218">
        <v>15</v>
      </c>
      <c r="G109" s="218">
        <v>246.3</v>
      </c>
      <c r="H109" s="167">
        <v>246.3</v>
      </c>
    </row>
    <row r="110" spans="1:8" x14ac:dyDescent="0.25">
      <c r="A110">
        <v>109</v>
      </c>
      <c r="B110" t="str">
        <v>50DK730</v>
      </c>
      <c r="C110">
        <v>31</v>
      </c>
      <c r="D110">
        <v>8</v>
      </c>
      <c r="E110">
        <v>5623</v>
      </c>
      <c r="F110" s="218">
        <v>14.999999999999998</v>
      </c>
      <c r="G110" s="218">
        <v>843.44999999999982</v>
      </c>
      <c r="H110" s="167">
        <v>843.44999999999982</v>
      </c>
    </row>
    <row r="111" spans="1:8" x14ac:dyDescent="0.25">
      <c r="A111">
        <v>110</v>
      </c>
      <c r="B111" t="str">
        <v>50EF902</v>
      </c>
      <c r="C111">
        <v>31</v>
      </c>
      <c r="D111">
        <v>8</v>
      </c>
      <c r="E111">
        <v>1166</v>
      </c>
      <c r="F111" s="218">
        <v>15</v>
      </c>
      <c r="G111" s="218">
        <v>174.9</v>
      </c>
      <c r="H111" s="167">
        <v>174.9</v>
      </c>
    </row>
    <row r="112" spans="1:8" x14ac:dyDescent="0.25">
      <c r="A112">
        <v>111</v>
      </c>
      <c r="B112" t="str">
        <v>55CB633</v>
      </c>
      <c r="C112">
        <v>31</v>
      </c>
      <c r="D112">
        <v>8</v>
      </c>
      <c r="E112">
        <v>2343</v>
      </c>
      <c r="F112" s="218">
        <v>15</v>
      </c>
      <c r="G112" s="218">
        <v>351.45</v>
      </c>
      <c r="H112" s="167">
        <v>351.45</v>
      </c>
    </row>
    <row r="113" spans="1:8" x14ac:dyDescent="0.25">
      <c r="A113">
        <v>112</v>
      </c>
      <c r="B113" t="str">
        <v>77GR998</v>
      </c>
      <c r="C113">
        <v>31</v>
      </c>
      <c r="D113">
        <v>8</v>
      </c>
      <c r="E113">
        <v>3659</v>
      </c>
      <c r="F113" s="218">
        <v>15</v>
      </c>
      <c r="G113" s="218">
        <v>482.00000000000011</v>
      </c>
      <c r="H113" s="167">
        <v>482.00000000000011</v>
      </c>
    </row>
    <row r="114" spans="1:8" x14ac:dyDescent="0.25">
      <c r="A114">
        <v>113</v>
      </c>
      <c r="B114" t="str">
        <v>77QE133</v>
      </c>
      <c r="C114">
        <v>31</v>
      </c>
      <c r="D114">
        <v>8</v>
      </c>
      <c r="E114">
        <v>1373</v>
      </c>
      <c r="F114" s="218">
        <v>18</v>
      </c>
      <c r="G114" s="218">
        <v>247.14</v>
      </c>
      <c r="H114" s="167">
        <v>247.14</v>
      </c>
    </row>
    <row r="115" spans="1:8" x14ac:dyDescent="0.25">
      <c r="A115">
        <v>114</v>
      </c>
      <c r="B115" t="str">
        <v>77SR538</v>
      </c>
      <c r="C115">
        <v>31</v>
      </c>
      <c r="D115">
        <v>8</v>
      </c>
      <c r="E115">
        <v>5926</v>
      </c>
      <c r="F115" s="218">
        <v>17.999999999999996</v>
      </c>
      <c r="G115" s="218">
        <v>1066.6799999999998</v>
      </c>
      <c r="H115" s="167">
        <v>1066.6799999999998</v>
      </c>
    </row>
    <row r="116" spans="1:8" x14ac:dyDescent="0.25">
      <c r="A116">
        <v>115</v>
      </c>
      <c r="B116" t="str">
        <v>77TG971</v>
      </c>
      <c r="C116">
        <v>31</v>
      </c>
      <c r="D116">
        <v>8</v>
      </c>
      <c r="E116">
        <v>1628</v>
      </c>
      <c r="F116" s="218">
        <v>15</v>
      </c>
      <c r="G116" s="218">
        <v>244.2</v>
      </c>
      <c r="H116" s="167">
        <v>244.2</v>
      </c>
    </row>
    <row r="117" spans="1:8" x14ac:dyDescent="0.25">
      <c r="A117">
        <v>116</v>
      </c>
      <c r="B117" t="str">
        <v>77UR032</v>
      </c>
      <c r="C117">
        <v>31</v>
      </c>
      <c r="D117">
        <v>8</v>
      </c>
      <c r="E117">
        <v>2273</v>
      </c>
      <c r="F117" s="218">
        <v>15</v>
      </c>
      <c r="G117" s="218">
        <v>340.95</v>
      </c>
      <c r="H117" s="167">
        <v>340.95</v>
      </c>
    </row>
    <row r="118" spans="1:8" x14ac:dyDescent="0.25">
      <c r="A118">
        <v>117</v>
      </c>
      <c r="B118" t="str">
        <v>90LS143</v>
      </c>
      <c r="C118">
        <v>31</v>
      </c>
      <c r="D118">
        <v>8</v>
      </c>
      <c r="E118">
        <v>3012</v>
      </c>
      <c r="F118" s="218">
        <v>14.999999999999998</v>
      </c>
      <c r="G118" s="218">
        <v>451.79999999999995</v>
      </c>
      <c r="H118" s="167">
        <v>451.79999999999995</v>
      </c>
    </row>
    <row r="119" spans="1:8" x14ac:dyDescent="0.25">
      <c r="A119">
        <v>118</v>
      </c>
      <c r="B119" t="str">
        <v>90OE402</v>
      </c>
      <c r="C119">
        <v>31</v>
      </c>
      <c r="D119">
        <v>8</v>
      </c>
      <c r="E119">
        <v>5604</v>
      </c>
      <c r="F119" s="218">
        <v>17.999999999999996</v>
      </c>
      <c r="G119" s="218">
        <v>1008.7199999999998</v>
      </c>
      <c r="H119" s="167">
        <v>1008.7199999999998</v>
      </c>
    </row>
    <row r="120" spans="1:8" x14ac:dyDescent="0.25">
      <c r="A120">
        <v>119</v>
      </c>
      <c r="B120" t="str">
        <v>90SL686</v>
      </c>
      <c r="C120">
        <v>31</v>
      </c>
      <c r="D120">
        <v>8</v>
      </c>
      <c r="E120">
        <v>4072</v>
      </c>
      <c r="F120" s="218">
        <v>12</v>
      </c>
      <c r="G120" s="218">
        <v>488.64</v>
      </c>
      <c r="H120" s="167">
        <v>488.64</v>
      </c>
    </row>
    <row r="121" spans="1:8" x14ac:dyDescent="0.25">
      <c r="A121">
        <v>120</v>
      </c>
      <c r="B121" t="str">
        <v>90VS316</v>
      </c>
      <c r="C121">
        <v>31</v>
      </c>
      <c r="D121">
        <v>8</v>
      </c>
      <c r="E121">
        <v>2507</v>
      </c>
      <c r="F121" s="218">
        <v>15</v>
      </c>
      <c r="G121" s="218">
        <v>376.05</v>
      </c>
      <c r="H121" s="167">
        <v>376.05</v>
      </c>
    </row>
    <row r="122" spans="1:8" x14ac:dyDescent="0.25">
      <c r="A122">
        <v>121</v>
      </c>
      <c r="B122" t="str">
        <v>99BT339</v>
      </c>
      <c r="C122">
        <v>31</v>
      </c>
      <c r="D122">
        <v>8</v>
      </c>
      <c r="E122">
        <v>4049</v>
      </c>
      <c r="F122" s="218">
        <v>15</v>
      </c>
      <c r="G122" s="218">
        <v>607.35</v>
      </c>
      <c r="H122" s="167">
        <v>607.35</v>
      </c>
    </row>
    <row r="123" spans="1:8" x14ac:dyDescent="0.25">
      <c r="A123">
        <v>122</v>
      </c>
      <c r="B123" t="str">
        <v>99CN447</v>
      </c>
      <c r="C123">
        <v>31</v>
      </c>
      <c r="D123">
        <v>8</v>
      </c>
      <c r="E123">
        <v>1221</v>
      </c>
      <c r="F123" s="218">
        <v>15</v>
      </c>
      <c r="G123" s="218">
        <v>183.14999999999998</v>
      </c>
      <c r="H123" s="167">
        <v>183.14999999999998</v>
      </c>
    </row>
    <row r="124" spans="1:8" x14ac:dyDescent="0.25">
      <c r="A124">
        <v>123</v>
      </c>
      <c r="B124" t="str">
        <v>99EM163</v>
      </c>
      <c r="C124">
        <v>31</v>
      </c>
      <c r="D124">
        <v>8</v>
      </c>
      <c r="E124">
        <v>1252</v>
      </c>
      <c r="F124" s="218">
        <v>15</v>
      </c>
      <c r="G124" s="218">
        <v>187.8</v>
      </c>
      <c r="H124" s="167">
        <v>187.8</v>
      </c>
    </row>
    <row r="125" spans="1:8" x14ac:dyDescent="0.25">
      <c r="A125">
        <v>124</v>
      </c>
      <c r="B125" t="str">
        <v>99FO779</v>
      </c>
      <c r="C125">
        <v>31</v>
      </c>
      <c r="D125">
        <v>8</v>
      </c>
      <c r="E125">
        <v>1006</v>
      </c>
      <c r="F125" s="218">
        <v>15</v>
      </c>
      <c r="G125" s="218">
        <v>150.9</v>
      </c>
      <c r="H125" s="167">
        <v>150.9</v>
      </c>
    </row>
    <row r="126" spans="1:8" x14ac:dyDescent="0.25">
      <c r="A126">
        <v>125</v>
      </c>
      <c r="B126" t="str">
        <v>99HZ395</v>
      </c>
      <c r="C126">
        <v>31</v>
      </c>
      <c r="D126">
        <v>8</v>
      </c>
      <c r="E126">
        <v>5003</v>
      </c>
      <c r="F126" s="218">
        <v>18</v>
      </c>
      <c r="G126" s="218">
        <v>900.54</v>
      </c>
      <c r="H126" s="167">
        <v>900.54</v>
      </c>
    </row>
    <row r="127" spans="1:8" x14ac:dyDescent="0.25">
      <c r="A127">
        <v>126</v>
      </c>
      <c r="B127" t="str">
        <v>99KL663</v>
      </c>
      <c r="C127">
        <v>31</v>
      </c>
      <c r="D127">
        <v>8</v>
      </c>
      <c r="E127">
        <v>1963</v>
      </c>
      <c r="F127" s="218">
        <v>15</v>
      </c>
      <c r="G127" s="218">
        <v>294.45</v>
      </c>
      <c r="H127" s="167">
        <v>294.45</v>
      </c>
    </row>
    <row r="128" spans="1:8" x14ac:dyDescent="0.25">
      <c r="A128">
        <v>127</v>
      </c>
      <c r="B128" t="str">
        <v>99LM412</v>
      </c>
      <c r="C128">
        <v>31</v>
      </c>
      <c r="D128">
        <v>8</v>
      </c>
      <c r="E128">
        <v>883</v>
      </c>
      <c r="F128" s="218">
        <v>15</v>
      </c>
      <c r="G128" s="218">
        <v>132.44999999999999</v>
      </c>
      <c r="H128" s="167">
        <v>132.44999999999999</v>
      </c>
    </row>
    <row r="129" spans="1:8" x14ac:dyDescent="0.25">
      <c r="A129">
        <v>128</v>
      </c>
      <c r="B129" t="str">
        <v>99MN472</v>
      </c>
      <c r="C129">
        <v>31</v>
      </c>
      <c r="D129">
        <v>8</v>
      </c>
      <c r="E129">
        <v>6127</v>
      </c>
      <c r="F129" s="218">
        <v>15</v>
      </c>
      <c r="G129" s="218">
        <v>919.05</v>
      </c>
      <c r="H129" s="167">
        <v>919.05</v>
      </c>
    </row>
    <row r="130" spans="1:8" x14ac:dyDescent="0.25">
      <c r="A130">
        <v>129</v>
      </c>
      <c r="B130" t="str">
        <v>99OR961</v>
      </c>
      <c r="C130">
        <v>31</v>
      </c>
      <c r="D130">
        <v>8</v>
      </c>
      <c r="E130">
        <v>755</v>
      </c>
      <c r="F130" s="218">
        <v>15</v>
      </c>
      <c r="G130" s="218">
        <v>113.25</v>
      </c>
      <c r="H130" s="167">
        <v>113.25</v>
      </c>
    </row>
    <row r="131" spans="1:8" x14ac:dyDescent="0.25">
      <c r="A131">
        <v>130</v>
      </c>
      <c r="B131" t="str">
        <v>99UK314</v>
      </c>
      <c r="C131">
        <v>31</v>
      </c>
      <c r="D131">
        <v>8</v>
      </c>
      <c r="E131">
        <v>7971</v>
      </c>
      <c r="F131" s="218">
        <v>12</v>
      </c>
      <c r="G131" s="218">
        <v>956.52</v>
      </c>
      <c r="H131" s="167">
        <v>956.52</v>
      </c>
    </row>
    <row r="132" spans="1:8" x14ac:dyDescent="0.25">
      <c r="A132">
        <v>131</v>
      </c>
      <c r="B132" t="str">
        <v>10RN527</v>
      </c>
      <c r="C132">
        <v>31</v>
      </c>
      <c r="D132">
        <v>9</v>
      </c>
      <c r="E132">
        <v>4081</v>
      </c>
      <c r="F132" s="218">
        <v>15</v>
      </c>
      <c r="G132" s="218">
        <v>612.15</v>
      </c>
      <c r="H132" s="167">
        <v>612.15</v>
      </c>
    </row>
    <row r="133" spans="1:8" x14ac:dyDescent="0.25">
      <c r="A133">
        <v>132</v>
      </c>
      <c r="B133" t="str">
        <v>17BE358</v>
      </c>
      <c r="C133">
        <v>31</v>
      </c>
      <c r="D133">
        <v>9</v>
      </c>
      <c r="E133">
        <v>5</v>
      </c>
      <c r="F133" s="218">
        <v>15</v>
      </c>
      <c r="G133" s="218">
        <v>0.75</v>
      </c>
      <c r="H133" s="167">
        <v>0.75</v>
      </c>
    </row>
    <row r="134" spans="1:8" x14ac:dyDescent="0.25">
      <c r="A134">
        <v>133</v>
      </c>
      <c r="B134" t="str">
        <v>21BF442</v>
      </c>
      <c r="C134">
        <v>31</v>
      </c>
      <c r="D134">
        <v>9</v>
      </c>
      <c r="E134">
        <v>5394</v>
      </c>
      <c r="F134" s="218">
        <v>13</v>
      </c>
      <c r="G134" s="218">
        <v>701.22</v>
      </c>
      <c r="H134" s="167">
        <v>701.22</v>
      </c>
    </row>
    <row r="135" spans="1:8" x14ac:dyDescent="0.25">
      <c r="A135">
        <v>134</v>
      </c>
      <c r="B135" t="str">
        <v>50BD165</v>
      </c>
      <c r="C135">
        <v>31</v>
      </c>
      <c r="D135">
        <v>9</v>
      </c>
      <c r="E135">
        <v>903</v>
      </c>
      <c r="F135" s="218">
        <v>15</v>
      </c>
      <c r="G135" s="218">
        <v>135.44999999999999</v>
      </c>
      <c r="H135" s="167">
        <v>135.44999999999999</v>
      </c>
    </row>
    <row r="136" spans="1:8" x14ac:dyDescent="0.25">
      <c r="A136">
        <v>135</v>
      </c>
      <c r="B136" t="str">
        <v>50BN724</v>
      </c>
      <c r="C136">
        <v>31</v>
      </c>
      <c r="D136">
        <v>9</v>
      </c>
      <c r="E136">
        <v>1896</v>
      </c>
      <c r="F136" s="218">
        <v>18</v>
      </c>
      <c r="G136" s="218">
        <v>256.27999999999997</v>
      </c>
      <c r="H136" s="167">
        <v>256.27999999999997</v>
      </c>
    </row>
    <row r="137" spans="1:8" x14ac:dyDescent="0.25">
      <c r="A137">
        <v>136</v>
      </c>
      <c r="B137" t="str">
        <v>50CN929</v>
      </c>
      <c r="C137">
        <v>31</v>
      </c>
      <c r="D137">
        <v>9</v>
      </c>
      <c r="E137">
        <v>2073</v>
      </c>
      <c r="F137" s="218">
        <v>15</v>
      </c>
      <c r="G137" s="218">
        <v>310.95</v>
      </c>
      <c r="H137" s="167">
        <v>310.95</v>
      </c>
    </row>
    <row r="138" spans="1:8" x14ac:dyDescent="0.25">
      <c r="A138">
        <v>137</v>
      </c>
      <c r="B138" t="str">
        <v>50DK730</v>
      </c>
      <c r="C138">
        <v>31</v>
      </c>
      <c r="D138">
        <v>9</v>
      </c>
      <c r="E138">
        <v>5921</v>
      </c>
      <c r="F138" s="218">
        <v>14.999999999999998</v>
      </c>
      <c r="G138" s="218">
        <v>888.14999999999986</v>
      </c>
      <c r="H138" s="167">
        <v>888.14999999999986</v>
      </c>
    </row>
    <row r="139" spans="1:8" x14ac:dyDescent="0.25">
      <c r="A139">
        <v>138</v>
      </c>
      <c r="B139" t="str">
        <v>50EF902</v>
      </c>
      <c r="C139">
        <v>31</v>
      </c>
      <c r="D139">
        <v>9</v>
      </c>
      <c r="E139">
        <v>1129</v>
      </c>
      <c r="F139" s="218">
        <v>15</v>
      </c>
      <c r="G139" s="218">
        <v>169.35</v>
      </c>
      <c r="H139" s="167">
        <v>169.35</v>
      </c>
    </row>
    <row r="140" spans="1:8" x14ac:dyDescent="0.25">
      <c r="A140">
        <v>139</v>
      </c>
      <c r="B140" t="str">
        <v>50FB264</v>
      </c>
      <c r="C140">
        <v>31</v>
      </c>
      <c r="D140">
        <v>9</v>
      </c>
      <c r="E140">
        <v>763</v>
      </c>
      <c r="F140" s="218">
        <v>15</v>
      </c>
      <c r="G140" s="218">
        <v>114.45</v>
      </c>
      <c r="H140" s="167">
        <v>114.45</v>
      </c>
    </row>
    <row r="141" spans="1:8" x14ac:dyDescent="0.25">
      <c r="A141">
        <v>140</v>
      </c>
      <c r="B141" t="str">
        <v>53BD338</v>
      </c>
      <c r="C141">
        <v>31</v>
      </c>
      <c r="D141">
        <v>9</v>
      </c>
      <c r="E141">
        <v>180</v>
      </c>
      <c r="F141" s="218">
        <v>15</v>
      </c>
      <c r="G141" s="218">
        <v>27</v>
      </c>
      <c r="H141" s="167">
        <v>27</v>
      </c>
    </row>
    <row r="142" spans="1:8" x14ac:dyDescent="0.25">
      <c r="A142">
        <v>141</v>
      </c>
      <c r="B142" t="str">
        <v>55CB633</v>
      </c>
      <c r="C142">
        <v>31</v>
      </c>
      <c r="D142">
        <v>9</v>
      </c>
      <c r="E142">
        <v>3062</v>
      </c>
      <c r="F142" s="218">
        <v>12</v>
      </c>
      <c r="G142" s="218">
        <v>367.44</v>
      </c>
      <c r="H142" s="167">
        <v>367.44</v>
      </c>
    </row>
    <row r="143" spans="1:8" x14ac:dyDescent="0.25">
      <c r="A143">
        <v>142</v>
      </c>
      <c r="B143" t="str">
        <v>77GR998</v>
      </c>
      <c r="C143">
        <v>31</v>
      </c>
      <c r="D143">
        <v>9</v>
      </c>
      <c r="E143">
        <v>3034</v>
      </c>
      <c r="F143" s="218">
        <v>12</v>
      </c>
      <c r="G143" s="218">
        <v>364.08</v>
      </c>
      <c r="H143" s="167">
        <v>364.08</v>
      </c>
    </row>
    <row r="144" spans="1:8" x14ac:dyDescent="0.25">
      <c r="A144">
        <v>143</v>
      </c>
      <c r="B144" t="str">
        <v>77SR538</v>
      </c>
      <c r="C144">
        <v>31</v>
      </c>
      <c r="D144">
        <v>9</v>
      </c>
      <c r="E144">
        <v>6312</v>
      </c>
      <c r="F144" s="218">
        <v>17.999999999999996</v>
      </c>
      <c r="G144" s="218">
        <v>1136.1599999999996</v>
      </c>
      <c r="H144" s="167">
        <v>1136.1599999999996</v>
      </c>
    </row>
    <row r="145" spans="1:8" x14ac:dyDescent="0.25">
      <c r="A145">
        <v>144</v>
      </c>
      <c r="B145" t="str">
        <v>77TG971</v>
      </c>
      <c r="C145">
        <v>31</v>
      </c>
      <c r="D145">
        <v>9</v>
      </c>
      <c r="E145">
        <v>1903</v>
      </c>
      <c r="F145" s="218">
        <v>15</v>
      </c>
      <c r="G145" s="218">
        <v>285.45</v>
      </c>
      <c r="H145" s="167">
        <v>285.45</v>
      </c>
    </row>
    <row r="146" spans="1:8" x14ac:dyDescent="0.25">
      <c r="A146">
        <v>145</v>
      </c>
      <c r="B146" t="str">
        <v>77UR032</v>
      </c>
      <c r="C146">
        <v>31</v>
      </c>
      <c r="D146">
        <v>9</v>
      </c>
      <c r="E146">
        <v>2534</v>
      </c>
      <c r="F146" s="218">
        <v>15</v>
      </c>
      <c r="G146" s="218">
        <v>380.1</v>
      </c>
      <c r="H146" s="167">
        <v>380.1</v>
      </c>
    </row>
    <row r="147" spans="1:8" x14ac:dyDescent="0.25">
      <c r="A147">
        <v>146</v>
      </c>
      <c r="B147" t="str">
        <v>90EC344</v>
      </c>
      <c r="C147">
        <v>31</v>
      </c>
      <c r="D147">
        <v>9</v>
      </c>
      <c r="E147">
        <v>1819</v>
      </c>
      <c r="F147" s="218">
        <v>15</v>
      </c>
      <c r="G147" s="218">
        <v>272.85000000000002</v>
      </c>
      <c r="H147" s="167">
        <v>272.85000000000002</v>
      </c>
    </row>
    <row r="148" spans="1:8" x14ac:dyDescent="0.25">
      <c r="A148">
        <v>147</v>
      </c>
      <c r="B148" t="str">
        <v>90LS143</v>
      </c>
      <c r="C148">
        <v>31</v>
      </c>
      <c r="D148">
        <v>9</v>
      </c>
      <c r="E148">
        <v>2953</v>
      </c>
      <c r="F148" s="218">
        <v>14.999999999999998</v>
      </c>
      <c r="G148" s="218">
        <v>442.94999999999993</v>
      </c>
      <c r="H148" s="167">
        <v>442.94999999999993</v>
      </c>
    </row>
    <row r="149" spans="1:8" x14ac:dyDescent="0.25">
      <c r="A149">
        <v>148</v>
      </c>
      <c r="B149" t="str">
        <v>90OE402</v>
      </c>
      <c r="C149">
        <v>31</v>
      </c>
      <c r="D149">
        <v>9</v>
      </c>
      <c r="E149">
        <v>4412</v>
      </c>
      <c r="F149" s="218">
        <v>17.999999999999996</v>
      </c>
      <c r="G149" s="218">
        <v>794.15999999999985</v>
      </c>
      <c r="H149" s="167">
        <v>794.15999999999985</v>
      </c>
    </row>
    <row r="150" spans="1:8" x14ac:dyDescent="0.25">
      <c r="A150">
        <v>149</v>
      </c>
      <c r="B150" t="str">
        <v>90VS316</v>
      </c>
      <c r="C150">
        <v>31</v>
      </c>
      <c r="D150">
        <v>9</v>
      </c>
      <c r="E150">
        <v>2664</v>
      </c>
      <c r="F150" s="218">
        <v>15</v>
      </c>
      <c r="G150" s="218">
        <v>399.6</v>
      </c>
      <c r="H150" s="167">
        <v>399.6</v>
      </c>
    </row>
    <row r="151" spans="1:8" x14ac:dyDescent="0.25">
      <c r="A151">
        <v>150</v>
      </c>
      <c r="B151" t="str">
        <v>99BT339</v>
      </c>
      <c r="C151">
        <v>31</v>
      </c>
      <c r="D151">
        <v>9</v>
      </c>
      <c r="E151">
        <v>3685</v>
      </c>
      <c r="F151" s="218">
        <v>15</v>
      </c>
      <c r="G151" s="218">
        <v>552.75</v>
      </c>
      <c r="H151" s="167">
        <v>552.75</v>
      </c>
    </row>
    <row r="152" spans="1:8" x14ac:dyDescent="0.25">
      <c r="A152">
        <v>151</v>
      </c>
      <c r="B152" t="str">
        <v>99CN447</v>
      </c>
      <c r="C152">
        <v>31</v>
      </c>
      <c r="D152">
        <v>9</v>
      </c>
      <c r="E152">
        <v>2094</v>
      </c>
      <c r="F152" s="218">
        <v>15</v>
      </c>
      <c r="G152" s="218">
        <v>314.10000000000002</v>
      </c>
      <c r="H152" s="167">
        <v>314.10000000000002</v>
      </c>
    </row>
    <row r="153" spans="1:8" x14ac:dyDescent="0.25">
      <c r="A153">
        <v>152</v>
      </c>
      <c r="B153" t="str">
        <v>99EM163</v>
      </c>
      <c r="C153">
        <v>31</v>
      </c>
      <c r="D153">
        <v>9</v>
      </c>
      <c r="E153">
        <v>1558</v>
      </c>
      <c r="F153" s="218">
        <v>15</v>
      </c>
      <c r="G153" s="218">
        <v>233.7</v>
      </c>
      <c r="H153" s="167">
        <v>233.7</v>
      </c>
    </row>
    <row r="154" spans="1:8" x14ac:dyDescent="0.25">
      <c r="A154">
        <v>153</v>
      </c>
      <c r="B154" t="str">
        <v>99FO779</v>
      </c>
      <c r="C154">
        <v>31</v>
      </c>
      <c r="D154">
        <v>9</v>
      </c>
      <c r="E154">
        <v>1517</v>
      </c>
      <c r="F154" s="218">
        <v>15</v>
      </c>
      <c r="G154" s="218">
        <v>227.55</v>
      </c>
      <c r="H154" s="167">
        <v>227.55</v>
      </c>
    </row>
    <row r="155" spans="1:8" x14ac:dyDescent="0.25">
      <c r="A155">
        <v>154</v>
      </c>
      <c r="B155" t="str">
        <v>99GZ612</v>
      </c>
      <c r="C155">
        <v>31</v>
      </c>
      <c r="D155">
        <v>9</v>
      </c>
      <c r="E155">
        <v>455</v>
      </c>
      <c r="F155" s="218">
        <v>15</v>
      </c>
      <c r="G155" s="218">
        <v>68.25</v>
      </c>
      <c r="H155" s="167">
        <v>68.25</v>
      </c>
    </row>
    <row r="156" spans="1:8" x14ac:dyDescent="0.25">
      <c r="A156">
        <v>155</v>
      </c>
      <c r="B156" t="str">
        <v>99HZ395</v>
      </c>
      <c r="C156">
        <v>31</v>
      </c>
      <c r="D156">
        <v>9</v>
      </c>
      <c r="E156">
        <v>4700</v>
      </c>
      <c r="F156" s="218">
        <v>18</v>
      </c>
      <c r="G156" s="218">
        <v>846</v>
      </c>
      <c r="H156" s="167">
        <v>846</v>
      </c>
    </row>
    <row r="157" spans="1:8" x14ac:dyDescent="0.25">
      <c r="A157">
        <v>156</v>
      </c>
      <c r="B157" t="str">
        <v>99KL663</v>
      </c>
      <c r="C157">
        <v>31</v>
      </c>
      <c r="D157">
        <v>9</v>
      </c>
      <c r="E157">
        <v>2124</v>
      </c>
      <c r="F157" s="218">
        <v>15</v>
      </c>
      <c r="G157" s="218">
        <v>318.60000000000002</v>
      </c>
      <c r="H157" s="167">
        <v>318.60000000000002</v>
      </c>
    </row>
    <row r="158" spans="1:8" x14ac:dyDescent="0.25">
      <c r="A158">
        <v>157</v>
      </c>
      <c r="B158" t="str">
        <v>99LM412</v>
      </c>
      <c r="C158">
        <v>31</v>
      </c>
      <c r="D158">
        <v>9</v>
      </c>
      <c r="E158">
        <v>1613</v>
      </c>
      <c r="F158" s="218">
        <v>15</v>
      </c>
      <c r="G158" s="218">
        <v>241.95</v>
      </c>
      <c r="H158" s="167">
        <v>241.95</v>
      </c>
    </row>
    <row r="159" spans="1:8" x14ac:dyDescent="0.25">
      <c r="A159">
        <v>158</v>
      </c>
      <c r="B159" t="str">
        <v>99MN472</v>
      </c>
      <c r="C159">
        <v>31</v>
      </c>
      <c r="D159">
        <v>9</v>
      </c>
      <c r="E159">
        <v>5720</v>
      </c>
      <c r="F159" s="218">
        <v>15</v>
      </c>
      <c r="G159" s="218">
        <v>858</v>
      </c>
      <c r="H159" s="167">
        <v>858</v>
      </c>
    </row>
    <row r="160" spans="1:8" x14ac:dyDescent="0.25">
      <c r="A160">
        <v>159</v>
      </c>
      <c r="B160" t="str">
        <v>99OR961</v>
      </c>
      <c r="C160">
        <v>31</v>
      </c>
      <c r="D160">
        <v>9</v>
      </c>
      <c r="E160">
        <v>1509</v>
      </c>
      <c r="F160" s="218">
        <v>15</v>
      </c>
      <c r="G160" s="218">
        <v>226.35</v>
      </c>
      <c r="H160" s="167">
        <v>226.35</v>
      </c>
    </row>
    <row r="161" spans="1:8" x14ac:dyDescent="0.25">
      <c r="A161">
        <v>160</v>
      </c>
      <c r="B161" t="str">
        <v>99UK314</v>
      </c>
      <c r="C161">
        <v>31</v>
      </c>
      <c r="D161">
        <v>9</v>
      </c>
      <c r="E161">
        <v>10485</v>
      </c>
      <c r="F161" s="218">
        <v>10.50081</v>
      </c>
      <c r="G161" s="218">
        <v>1101.0099284999999</v>
      </c>
      <c r="H161" s="167">
        <v>1101.0099284999999</v>
      </c>
    </row>
    <row r="162" spans="1:8" x14ac:dyDescent="0.25">
      <c r="A162">
        <v>161</v>
      </c>
      <c r="B162" t="str">
        <v>10NS184</v>
      </c>
      <c r="C162">
        <v>31</v>
      </c>
      <c r="D162">
        <v>10</v>
      </c>
      <c r="E162">
        <v>856</v>
      </c>
      <c r="F162" s="218">
        <v>15</v>
      </c>
      <c r="G162" s="218">
        <v>128.4</v>
      </c>
      <c r="H162" s="167">
        <v>128.4</v>
      </c>
    </row>
    <row r="163" spans="1:8" x14ac:dyDescent="0.25">
      <c r="A163">
        <v>162</v>
      </c>
      <c r="B163" t="str">
        <v>10RN527</v>
      </c>
      <c r="C163">
        <v>31</v>
      </c>
      <c r="D163">
        <v>10</v>
      </c>
      <c r="E163">
        <v>4421</v>
      </c>
      <c r="F163" s="218">
        <v>15</v>
      </c>
      <c r="G163" s="218">
        <v>663.15</v>
      </c>
      <c r="H163" s="167">
        <v>663.15</v>
      </c>
    </row>
    <row r="164" spans="1:8" x14ac:dyDescent="0.25">
      <c r="A164">
        <v>163</v>
      </c>
      <c r="B164" t="str">
        <v>10ZS260</v>
      </c>
      <c r="C164">
        <v>31</v>
      </c>
      <c r="D164">
        <v>10</v>
      </c>
      <c r="E164">
        <v>130</v>
      </c>
      <c r="F164" s="218">
        <v>15</v>
      </c>
      <c r="G164" s="218">
        <v>19.5</v>
      </c>
      <c r="H164" s="167">
        <v>19.5</v>
      </c>
    </row>
    <row r="165" spans="1:8" x14ac:dyDescent="0.25">
      <c r="A165">
        <v>164</v>
      </c>
      <c r="B165" t="str">
        <v>17BE358</v>
      </c>
      <c r="C165">
        <v>31</v>
      </c>
      <c r="D165">
        <v>10</v>
      </c>
      <c r="E165">
        <v>996</v>
      </c>
      <c r="F165" s="218">
        <v>15</v>
      </c>
      <c r="G165" s="218">
        <v>149.4</v>
      </c>
      <c r="H165" s="167">
        <v>149.4</v>
      </c>
    </row>
    <row r="166" spans="1:8" x14ac:dyDescent="0.25">
      <c r="A166">
        <v>165</v>
      </c>
      <c r="B166" t="str">
        <v>21BF442</v>
      </c>
      <c r="C166">
        <v>31</v>
      </c>
      <c r="D166">
        <v>10</v>
      </c>
      <c r="E166">
        <v>4403</v>
      </c>
      <c r="F166" s="218">
        <v>13</v>
      </c>
      <c r="G166" s="218">
        <v>572.39</v>
      </c>
      <c r="H166" s="167">
        <v>572.39</v>
      </c>
    </row>
    <row r="167" spans="1:8" x14ac:dyDescent="0.25">
      <c r="A167">
        <v>166</v>
      </c>
      <c r="B167" t="str">
        <v>50BD165</v>
      </c>
      <c r="C167">
        <v>31</v>
      </c>
      <c r="D167">
        <v>10</v>
      </c>
      <c r="E167">
        <v>665</v>
      </c>
      <c r="F167" s="218">
        <v>15</v>
      </c>
      <c r="G167" s="218">
        <v>99.75</v>
      </c>
      <c r="H167" s="167">
        <v>99.75</v>
      </c>
    </row>
    <row r="168" spans="1:8" x14ac:dyDescent="0.25">
      <c r="A168">
        <v>167</v>
      </c>
      <c r="B168" t="str">
        <v>50DK730</v>
      </c>
      <c r="C168">
        <v>31</v>
      </c>
      <c r="D168">
        <v>10</v>
      </c>
      <c r="E168">
        <v>6111</v>
      </c>
      <c r="F168" s="218">
        <v>14.999999999999998</v>
      </c>
      <c r="G168" s="218">
        <v>916.64999999999986</v>
      </c>
      <c r="H168" s="167">
        <v>916.64999999999986</v>
      </c>
    </row>
    <row r="169" spans="1:8" x14ac:dyDescent="0.25">
      <c r="A169">
        <v>168</v>
      </c>
      <c r="B169" t="str">
        <v>50EF902</v>
      </c>
      <c r="C169">
        <v>31</v>
      </c>
      <c r="D169">
        <v>10</v>
      </c>
      <c r="E169">
        <v>1070</v>
      </c>
      <c r="F169" s="218">
        <v>15</v>
      </c>
      <c r="G169" s="218">
        <v>160.5</v>
      </c>
      <c r="H169" s="167">
        <v>160.5</v>
      </c>
    </row>
    <row r="170" spans="1:8" x14ac:dyDescent="0.25">
      <c r="A170">
        <v>169</v>
      </c>
      <c r="B170" t="str">
        <v>50FB264</v>
      </c>
      <c r="C170">
        <v>31</v>
      </c>
      <c r="D170">
        <v>10</v>
      </c>
      <c r="E170">
        <v>1408</v>
      </c>
      <c r="F170" s="218">
        <v>15</v>
      </c>
      <c r="G170" s="218">
        <v>211.2</v>
      </c>
      <c r="H170" s="167">
        <v>211.2</v>
      </c>
    </row>
    <row r="171" spans="1:8" x14ac:dyDescent="0.25">
      <c r="A171">
        <v>170</v>
      </c>
      <c r="B171" t="str">
        <v>53BD338</v>
      </c>
      <c r="C171">
        <v>31</v>
      </c>
      <c r="D171">
        <v>10</v>
      </c>
      <c r="E171">
        <v>1847</v>
      </c>
      <c r="F171" s="218">
        <v>15</v>
      </c>
      <c r="G171" s="218">
        <v>277.05</v>
      </c>
      <c r="H171" s="167">
        <v>277.05</v>
      </c>
    </row>
    <row r="172" spans="1:8" x14ac:dyDescent="0.25">
      <c r="A172">
        <v>171</v>
      </c>
      <c r="B172" t="str">
        <v>55CB633</v>
      </c>
      <c r="C172">
        <v>31</v>
      </c>
      <c r="D172">
        <v>10</v>
      </c>
      <c r="E172">
        <v>2663</v>
      </c>
      <c r="F172" s="218">
        <v>12</v>
      </c>
      <c r="G172" s="218">
        <v>319.56</v>
      </c>
      <c r="H172" s="167">
        <v>319.56</v>
      </c>
    </row>
    <row r="173" spans="1:8" x14ac:dyDescent="0.25">
      <c r="A173">
        <v>172</v>
      </c>
      <c r="B173" t="str">
        <v>57BV285</v>
      </c>
      <c r="C173">
        <v>31</v>
      </c>
      <c r="D173">
        <v>10</v>
      </c>
      <c r="E173">
        <v>1108</v>
      </c>
      <c r="F173" s="218">
        <v>15</v>
      </c>
      <c r="G173" s="218">
        <v>166.2</v>
      </c>
      <c r="H173" s="167">
        <v>166.2</v>
      </c>
    </row>
    <row r="174" spans="1:8" x14ac:dyDescent="0.25">
      <c r="A174">
        <v>173</v>
      </c>
      <c r="B174" t="str">
        <v>77GR998</v>
      </c>
      <c r="C174">
        <v>31</v>
      </c>
      <c r="D174">
        <v>10</v>
      </c>
      <c r="E174">
        <v>1858</v>
      </c>
      <c r="F174" s="218">
        <v>12</v>
      </c>
      <c r="G174" s="218">
        <v>222.96</v>
      </c>
      <c r="H174" s="167">
        <v>222.96</v>
      </c>
    </row>
    <row r="175" spans="1:8" x14ac:dyDescent="0.25">
      <c r="A175">
        <v>174</v>
      </c>
      <c r="B175" t="str">
        <v>77SR538</v>
      </c>
      <c r="C175">
        <v>31</v>
      </c>
      <c r="D175">
        <v>10</v>
      </c>
      <c r="E175">
        <v>5618</v>
      </c>
      <c r="F175" s="218">
        <v>17.999999999999996</v>
      </c>
      <c r="G175" s="218">
        <v>1011.2399999999999</v>
      </c>
      <c r="H175" s="167">
        <v>1011.2399999999999</v>
      </c>
    </row>
    <row r="176" spans="1:8" x14ac:dyDescent="0.25">
      <c r="A176">
        <v>175</v>
      </c>
      <c r="B176" t="str">
        <v>77TG971</v>
      </c>
      <c r="C176">
        <v>31</v>
      </c>
      <c r="D176">
        <v>10</v>
      </c>
      <c r="E176">
        <v>2098</v>
      </c>
      <c r="F176" s="218">
        <v>15</v>
      </c>
      <c r="G176" s="218">
        <v>314.7</v>
      </c>
      <c r="H176" s="167">
        <v>314.7</v>
      </c>
    </row>
    <row r="177" spans="1:8" x14ac:dyDescent="0.25">
      <c r="A177">
        <v>176</v>
      </c>
      <c r="B177" t="str">
        <v>77UR032</v>
      </c>
      <c r="C177">
        <v>31</v>
      </c>
      <c r="D177">
        <v>10</v>
      </c>
      <c r="E177">
        <v>2635</v>
      </c>
      <c r="F177" s="218">
        <v>15</v>
      </c>
      <c r="G177" s="218">
        <v>395.25</v>
      </c>
      <c r="H177" s="167">
        <v>395.25</v>
      </c>
    </row>
    <row r="178" spans="1:8" x14ac:dyDescent="0.25">
      <c r="A178">
        <v>177</v>
      </c>
      <c r="B178" t="str">
        <v>90EC344</v>
      </c>
      <c r="C178">
        <v>31</v>
      </c>
      <c r="D178">
        <v>10</v>
      </c>
      <c r="E178">
        <v>2503</v>
      </c>
      <c r="F178" s="218">
        <v>15</v>
      </c>
      <c r="G178" s="218">
        <v>375.45</v>
      </c>
      <c r="H178" s="167">
        <v>375.45</v>
      </c>
    </row>
    <row r="179" spans="1:8" x14ac:dyDescent="0.25">
      <c r="A179">
        <v>178</v>
      </c>
      <c r="B179" t="str">
        <v>90LS143</v>
      </c>
      <c r="C179">
        <v>31</v>
      </c>
      <c r="D179">
        <v>10</v>
      </c>
      <c r="E179">
        <v>2964</v>
      </c>
      <c r="F179" s="218">
        <v>14.999999999999998</v>
      </c>
      <c r="G179" s="218">
        <v>444.59999999999991</v>
      </c>
      <c r="H179" s="167">
        <v>444.59999999999991</v>
      </c>
    </row>
    <row r="180" spans="1:8" x14ac:dyDescent="0.25">
      <c r="A180">
        <v>179</v>
      </c>
      <c r="B180" t="str">
        <v>90OE402</v>
      </c>
      <c r="C180">
        <v>31</v>
      </c>
      <c r="D180">
        <v>10</v>
      </c>
      <c r="E180">
        <v>4070</v>
      </c>
      <c r="F180" s="218">
        <v>17.999999999999996</v>
      </c>
      <c r="G180" s="218">
        <v>732.59999999999991</v>
      </c>
      <c r="H180" s="167">
        <v>732.59999999999991</v>
      </c>
    </row>
    <row r="181" spans="1:8" x14ac:dyDescent="0.25">
      <c r="A181">
        <v>180</v>
      </c>
      <c r="B181" t="str">
        <v>90RC631</v>
      </c>
      <c r="C181">
        <v>31</v>
      </c>
      <c r="D181">
        <v>10</v>
      </c>
      <c r="E181">
        <v>113</v>
      </c>
      <c r="F181" s="218">
        <v>12</v>
      </c>
      <c r="G181" s="218">
        <v>13.56</v>
      </c>
      <c r="H181" s="167">
        <v>13.56</v>
      </c>
    </row>
    <row r="182" spans="1:8" x14ac:dyDescent="0.25">
      <c r="A182">
        <v>181</v>
      </c>
      <c r="B182" t="str">
        <v>90UX686</v>
      </c>
      <c r="C182">
        <v>31</v>
      </c>
      <c r="D182">
        <v>10</v>
      </c>
      <c r="E182">
        <v>1308</v>
      </c>
      <c r="F182" s="218">
        <v>15</v>
      </c>
      <c r="G182" s="218">
        <v>196.2</v>
      </c>
      <c r="H182" s="167">
        <v>196.2</v>
      </c>
    </row>
    <row r="183" spans="1:8" x14ac:dyDescent="0.25">
      <c r="A183">
        <v>182</v>
      </c>
      <c r="B183" t="str">
        <v>90VS316</v>
      </c>
      <c r="C183">
        <v>31</v>
      </c>
      <c r="D183">
        <v>10</v>
      </c>
      <c r="E183">
        <v>1339</v>
      </c>
      <c r="F183" s="218">
        <v>15</v>
      </c>
      <c r="G183" s="218">
        <v>200.85</v>
      </c>
      <c r="H183" s="167">
        <v>200.85</v>
      </c>
    </row>
    <row r="184" spans="1:8" x14ac:dyDescent="0.25">
      <c r="A184">
        <v>183</v>
      </c>
      <c r="B184" t="str">
        <v>99BT339</v>
      </c>
      <c r="C184">
        <v>31</v>
      </c>
      <c r="D184">
        <v>10</v>
      </c>
      <c r="E184">
        <v>2661</v>
      </c>
      <c r="F184" s="218">
        <v>15</v>
      </c>
      <c r="G184" s="218">
        <v>399.15</v>
      </c>
      <c r="H184" s="167">
        <v>399.15</v>
      </c>
    </row>
    <row r="185" spans="1:8" x14ac:dyDescent="0.25">
      <c r="A185">
        <v>184</v>
      </c>
      <c r="B185" t="str">
        <v>99CN447</v>
      </c>
      <c r="C185">
        <v>31</v>
      </c>
      <c r="D185">
        <v>10</v>
      </c>
      <c r="E185">
        <v>1639</v>
      </c>
      <c r="F185" s="218">
        <v>15</v>
      </c>
      <c r="G185" s="218">
        <v>245.85</v>
      </c>
      <c r="H185" s="167">
        <v>245.85</v>
      </c>
    </row>
    <row r="186" spans="1:8" x14ac:dyDescent="0.25">
      <c r="A186">
        <v>185</v>
      </c>
      <c r="B186" t="str">
        <v>99DT131</v>
      </c>
      <c r="C186">
        <v>31</v>
      </c>
      <c r="D186">
        <v>10</v>
      </c>
      <c r="E186">
        <v>715</v>
      </c>
      <c r="F186" s="218">
        <v>18</v>
      </c>
      <c r="G186" s="218">
        <v>128.69999999999999</v>
      </c>
      <c r="H186" s="167">
        <v>128.69999999999999</v>
      </c>
    </row>
    <row r="187" spans="1:8" x14ac:dyDescent="0.25">
      <c r="A187">
        <v>186</v>
      </c>
      <c r="B187" t="str">
        <v>99EM163</v>
      </c>
      <c r="C187">
        <v>31</v>
      </c>
      <c r="D187">
        <v>10</v>
      </c>
      <c r="E187">
        <v>1164</v>
      </c>
      <c r="F187" s="218">
        <v>15</v>
      </c>
      <c r="G187" s="218">
        <v>174.6</v>
      </c>
      <c r="H187" s="167">
        <v>174.6</v>
      </c>
    </row>
    <row r="188" spans="1:8" x14ac:dyDescent="0.25">
      <c r="A188">
        <v>187</v>
      </c>
      <c r="B188" t="str">
        <v>99FO779</v>
      </c>
      <c r="C188">
        <v>31</v>
      </c>
      <c r="D188">
        <v>10</v>
      </c>
      <c r="E188">
        <v>1574</v>
      </c>
      <c r="F188" s="218">
        <v>15</v>
      </c>
      <c r="G188" s="218">
        <v>236.1</v>
      </c>
      <c r="H188" s="167">
        <v>236.1</v>
      </c>
    </row>
    <row r="189" spans="1:8" x14ac:dyDescent="0.25">
      <c r="A189">
        <v>188</v>
      </c>
      <c r="B189" t="str">
        <v>99GZ612</v>
      </c>
      <c r="C189">
        <v>31</v>
      </c>
      <c r="D189">
        <v>10</v>
      </c>
      <c r="E189">
        <v>2540</v>
      </c>
      <c r="F189" s="218">
        <v>15</v>
      </c>
      <c r="G189" s="218">
        <v>381</v>
      </c>
      <c r="H189" s="167">
        <v>381</v>
      </c>
    </row>
    <row r="190" spans="1:8" x14ac:dyDescent="0.25">
      <c r="A190">
        <v>189</v>
      </c>
      <c r="B190" t="str">
        <v>99HZ395</v>
      </c>
      <c r="C190">
        <v>31</v>
      </c>
      <c r="D190">
        <v>10</v>
      </c>
      <c r="E190">
        <v>4474</v>
      </c>
      <c r="F190" s="218">
        <v>18</v>
      </c>
      <c r="G190" s="218">
        <v>805.32</v>
      </c>
      <c r="H190" s="167">
        <v>805.32</v>
      </c>
    </row>
    <row r="191" spans="1:8" x14ac:dyDescent="0.25">
      <c r="A191">
        <v>190</v>
      </c>
      <c r="B191" t="str">
        <v>99KL663</v>
      </c>
      <c r="C191">
        <v>31</v>
      </c>
      <c r="D191">
        <v>10</v>
      </c>
      <c r="E191">
        <v>1877</v>
      </c>
      <c r="F191" s="218">
        <v>15</v>
      </c>
      <c r="G191" s="218">
        <v>281.55</v>
      </c>
      <c r="H191" s="167">
        <v>281.55</v>
      </c>
    </row>
    <row r="192" spans="1:8" x14ac:dyDescent="0.25">
      <c r="A192">
        <v>191</v>
      </c>
      <c r="B192" t="str">
        <v>99LM412</v>
      </c>
      <c r="C192">
        <v>31</v>
      </c>
      <c r="D192">
        <v>10</v>
      </c>
      <c r="E192">
        <v>1195</v>
      </c>
      <c r="F192" s="218">
        <v>15</v>
      </c>
      <c r="G192" s="218">
        <v>179.25</v>
      </c>
      <c r="H192" s="167">
        <v>179.25</v>
      </c>
    </row>
    <row r="193" spans="1:8" x14ac:dyDescent="0.25">
      <c r="A193">
        <v>192</v>
      </c>
      <c r="B193" t="str">
        <v>99MN472</v>
      </c>
      <c r="C193">
        <v>31</v>
      </c>
      <c r="D193">
        <v>10</v>
      </c>
      <c r="E193">
        <v>6645</v>
      </c>
      <c r="F193" s="218">
        <v>15</v>
      </c>
      <c r="G193" s="218">
        <v>996.75</v>
      </c>
      <c r="H193" s="167">
        <v>996.75</v>
      </c>
    </row>
    <row r="194" spans="1:8" x14ac:dyDescent="0.25">
      <c r="A194">
        <v>193</v>
      </c>
      <c r="B194" t="str">
        <v>99OR961</v>
      </c>
      <c r="C194">
        <v>31</v>
      </c>
      <c r="D194">
        <v>10</v>
      </c>
      <c r="E194">
        <v>1262</v>
      </c>
      <c r="F194" s="218">
        <v>15</v>
      </c>
      <c r="G194" s="218">
        <v>189.3</v>
      </c>
      <c r="H194" s="167">
        <v>189.3</v>
      </c>
    </row>
    <row r="195" spans="1:8" x14ac:dyDescent="0.25">
      <c r="A195">
        <v>194</v>
      </c>
      <c r="B195" t="str">
        <v>99UK314</v>
      </c>
      <c r="C195">
        <v>31</v>
      </c>
      <c r="D195">
        <v>10</v>
      </c>
      <c r="E195">
        <v>10617</v>
      </c>
      <c r="F195" s="218">
        <v>10.50081</v>
      </c>
      <c r="G195" s="218">
        <v>1114.8709977000001</v>
      </c>
      <c r="H195" s="167">
        <v>1114.8709977000001</v>
      </c>
    </row>
    <row r="196" spans="1:8" x14ac:dyDescent="0.25">
      <c r="A196">
        <v>195</v>
      </c>
      <c r="B196" t="str">
        <v>77GR998</v>
      </c>
      <c r="C196">
        <v>31</v>
      </c>
      <c r="D196">
        <v>10</v>
      </c>
      <c r="E196">
        <v>1357</v>
      </c>
      <c r="F196" s="218">
        <v>12</v>
      </c>
      <c r="G196" s="218">
        <v>162.84</v>
      </c>
      <c r="H196" s="167">
        <v>162.84</v>
      </c>
    </row>
  </sheetData>
  <conditionalFormatting sqref="A1:J1048576">
    <cfRule type="expression" dxfId="3" priority="1">
      <formula>A1&lt;&gt;""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74C2A-39A7-4F71-AFAB-6AF917615096}">
  <dimension ref="A1:T229"/>
  <sheetViews>
    <sheetView workbookViewId="0">
      <pane ySplit="1" topLeftCell="A199" activePane="bottomLeft" state="frozen"/>
      <selection activeCell="L221" sqref="L221"/>
      <selection pane="bottomLeft" activeCell="D214" sqref="D214"/>
    </sheetView>
  </sheetViews>
  <sheetFormatPr defaultRowHeight="15" x14ac:dyDescent="0.25"/>
  <cols>
    <col min="11" max="11" width="14" bestFit="1" customWidth="1"/>
    <col min="12" max="12" width="79.140625" bestFit="1" customWidth="1"/>
  </cols>
  <sheetData>
    <row r="1" spans="1:20" x14ac:dyDescent="0.25">
      <c r="A1" t="s">
        <v>168</v>
      </c>
      <c r="B1" t="s">
        <v>291</v>
      </c>
      <c r="C1" t="s">
        <v>183</v>
      </c>
      <c r="D1" s="124" t="s">
        <v>175</v>
      </c>
      <c r="E1" s="124" t="s">
        <v>181</v>
      </c>
      <c r="F1" s="124" t="s">
        <v>185</v>
      </c>
      <c r="G1" s="124" t="s">
        <v>184</v>
      </c>
      <c r="H1" s="124" t="s">
        <v>710</v>
      </c>
      <c r="I1" s="124" t="s">
        <v>448</v>
      </c>
      <c r="J1" s="124" t="s">
        <v>707</v>
      </c>
      <c r="K1" s="124" t="s">
        <v>708</v>
      </c>
      <c r="L1" s="124" t="s">
        <v>182</v>
      </c>
      <c r="M1" s="124" t="s">
        <v>729</v>
      </c>
      <c r="R1" t="e">
        <f>AND(R2:R228)</f>
        <v>#VALUE!</v>
      </c>
      <c r="S1" t="e">
        <f>AND(S2:S228)</f>
        <v>#VALUE!</v>
      </c>
      <c r="T1" t="e">
        <f>AND(T2:T228)</f>
        <v>#VALUE!</v>
      </c>
    </row>
    <row r="2" spans="1:20" x14ac:dyDescent="0.25">
      <c r="A2" cm="1">
        <f t="array" ref="A2:A229">_xlfn.SEQUENCE(ROWS(_xlfn._TRO_TRAILING(C:C))-1)</f>
        <v>1</v>
      </c>
      <c r="B2">
        <v>2024</v>
      </c>
      <c r="C2">
        <v>12</v>
      </c>
      <c r="D2">
        <v>11</v>
      </c>
      <c r="E2">
        <v>1</v>
      </c>
      <c r="G2">
        <v>1</v>
      </c>
      <c r="J2" s="154">
        <v>1</v>
      </c>
      <c r="K2">
        <v>1</v>
      </c>
      <c r="L2" t="s">
        <v>150</v>
      </c>
      <c r="M2">
        <v>5500</v>
      </c>
    </row>
    <row r="3" spans="1:20" x14ac:dyDescent="0.25">
      <c r="A3">
        <v>2</v>
      </c>
      <c r="B3">
        <v>2024</v>
      </c>
      <c r="C3">
        <v>12</v>
      </c>
      <c r="D3">
        <v>11</v>
      </c>
      <c r="E3">
        <v>1</v>
      </c>
      <c r="G3">
        <v>8</v>
      </c>
      <c r="J3" s="154">
        <v>2</v>
      </c>
      <c r="K3">
        <v>2</v>
      </c>
      <c r="L3" t="s">
        <v>151</v>
      </c>
      <c r="M3">
        <v>200</v>
      </c>
    </row>
    <row r="4" spans="1:20" x14ac:dyDescent="0.25">
      <c r="A4">
        <v>3</v>
      </c>
      <c r="B4">
        <v>2024</v>
      </c>
      <c r="C4">
        <v>12</v>
      </c>
      <c r="D4">
        <v>11</v>
      </c>
      <c r="E4">
        <v>1</v>
      </c>
      <c r="G4">
        <v>12</v>
      </c>
      <c r="J4" s="154">
        <v>3</v>
      </c>
      <c r="K4">
        <v>3</v>
      </c>
      <c r="L4" t="s">
        <v>157</v>
      </c>
      <c r="M4">
        <v>100</v>
      </c>
    </row>
    <row r="5" spans="1:20" x14ac:dyDescent="0.25">
      <c r="A5">
        <v>4</v>
      </c>
      <c r="B5">
        <v>2025</v>
      </c>
      <c r="C5">
        <v>2</v>
      </c>
      <c r="D5">
        <v>11</v>
      </c>
      <c r="E5">
        <v>2</v>
      </c>
      <c r="G5">
        <v>1</v>
      </c>
      <c r="J5" s="154">
        <v>1</v>
      </c>
      <c r="K5">
        <v>1</v>
      </c>
      <c r="L5" t="s">
        <v>150</v>
      </c>
      <c r="M5">
        <v>5500</v>
      </c>
    </row>
    <row r="6" spans="1:20" x14ac:dyDescent="0.25">
      <c r="A6">
        <v>5</v>
      </c>
      <c r="B6">
        <v>2025</v>
      </c>
      <c r="C6">
        <v>2</v>
      </c>
      <c r="D6">
        <v>11</v>
      </c>
      <c r="E6">
        <v>2</v>
      </c>
      <c r="G6">
        <v>3.0999999999999996</v>
      </c>
      <c r="J6" s="154">
        <v>2</v>
      </c>
      <c r="K6">
        <v>2</v>
      </c>
      <c r="L6" t="s">
        <v>151</v>
      </c>
      <c r="M6">
        <v>200</v>
      </c>
    </row>
    <row r="7" spans="1:20" x14ac:dyDescent="0.25">
      <c r="A7">
        <v>6</v>
      </c>
      <c r="B7">
        <v>2025</v>
      </c>
      <c r="C7">
        <v>2</v>
      </c>
      <c r="D7">
        <v>11</v>
      </c>
      <c r="E7">
        <v>2</v>
      </c>
      <c r="G7">
        <v>18</v>
      </c>
      <c r="J7" s="154">
        <v>3</v>
      </c>
      <c r="K7">
        <v>3</v>
      </c>
      <c r="L7" t="s">
        <v>157</v>
      </c>
      <c r="M7">
        <v>100</v>
      </c>
    </row>
    <row r="8" spans="1:20" x14ac:dyDescent="0.25">
      <c r="A8">
        <v>7</v>
      </c>
      <c r="B8">
        <v>2025</v>
      </c>
      <c r="C8">
        <v>2</v>
      </c>
      <c r="D8">
        <v>11</v>
      </c>
      <c r="E8">
        <v>2</v>
      </c>
      <c r="G8">
        <v>1</v>
      </c>
      <c r="J8" s="154">
        <v>4</v>
      </c>
      <c r="K8">
        <v>4</v>
      </c>
      <c r="L8" t="s">
        <v>155</v>
      </c>
      <c r="M8">
        <v>300</v>
      </c>
    </row>
    <row r="9" spans="1:20" x14ac:dyDescent="0.25">
      <c r="A9">
        <v>8</v>
      </c>
      <c r="B9">
        <v>2025</v>
      </c>
      <c r="C9">
        <v>2</v>
      </c>
      <c r="D9">
        <v>11</v>
      </c>
      <c r="E9">
        <v>2</v>
      </c>
      <c r="G9">
        <v>1</v>
      </c>
      <c r="J9" s="154">
        <v>5</v>
      </c>
      <c r="K9">
        <v>5</v>
      </c>
      <c r="L9" t="s">
        <v>156</v>
      </c>
      <c r="M9">
        <v>540</v>
      </c>
    </row>
    <row r="10" spans="1:20" x14ac:dyDescent="0.25">
      <c r="A10">
        <v>9</v>
      </c>
      <c r="B10">
        <v>2025</v>
      </c>
      <c r="C10">
        <v>3</v>
      </c>
      <c r="D10">
        <v>11</v>
      </c>
      <c r="E10">
        <v>3</v>
      </c>
      <c r="G10">
        <v>1</v>
      </c>
      <c r="J10" s="154">
        <v>1</v>
      </c>
      <c r="K10">
        <v>1</v>
      </c>
      <c r="L10" t="s">
        <v>150</v>
      </c>
      <c r="M10">
        <v>5500</v>
      </c>
    </row>
    <row r="11" spans="1:20" x14ac:dyDescent="0.25">
      <c r="A11">
        <v>10</v>
      </c>
      <c r="B11">
        <v>2025</v>
      </c>
      <c r="C11">
        <v>3</v>
      </c>
      <c r="D11">
        <v>11</v>
      </c>
      <c r="E11">
        <v>3</v>
      </c>
      <c r="G11">
        <v>13</v>
      </c>
      <c r="J11" s="154">
        <v>2</v>
      </c>
      <c r="K11">
        <v>2</v>
      </c>
      <c r="L11" t="s">
        <v>151</v>
      </c>
      <c r="M11">
        <v>200</v>
      </c>
    </row>
    <row r="12" spans="1:20" x14ac:dyDescent="0.25">
      <c r="A12">
        <v>11</v>
      </c>
      <c r="B12">
        <v>2025</v>
      </c>
      <c r="C12">
        <v>3</v>
      </c>
      <c r="D12">
        <v>11</v>
      </c>
      <c r="E12">
        <v>3</v>
      </c>
      <c r="G12">
        <v>14</v>
      </c>
      <c r="J12" s="154">
        <v>3</v>
      </c>
      <c r="K12">
        <v>3</v>
      </c>
      <c r="L12" t="s">
        <v>157</v>
      </c>
      <c r="M12">
        <v>100</v>
      </c>
    </row>
    <row r="13" spans="1:20" x14ac:dyDescent="0.25">
      <c r="A13">
        <v>12</v>
      </c>
      <c r="B13">
        <v>2025</v>
      </c>
      <c r="C13">
        <v>3</v>
      </c>
      <c r="D13">
        <v>11</v>
      </c>
      <c r="E13">
        <v>3</v>
      </c>
      <c r="G13">
        <v>1</v>
      </c>
      <c r="J13" s="154">
        <v>6</v>
      </c>
      <c r="K13">
        <v>6</v>
      </c>
      <c r="L13" t="s">
        <v>158</v>
      </c>
      <c r="M13">
        <v>1000</v>
      </c>
    </row>
    <row r="14" spans="1:20" x14ac:dyDescent="0.25">
      <c r="A14">
        <v>13</v>
      </c>
      <c r="B14">
        <v>2025</v>
      </c>
      <c r="C14">
        <v>3</v>
      </c>
      <c r="D14">
        <v>11</v>
      </c>
      <c r="E14">
        <v>3</v>
      </c>
      <c r="G14">
        <v>4</v>
      </c>
      <c r="J14" s="154">
        <v>7</v>
      </c>
      <c r="K14">
        <v>7</v>
      </c>
      <c r="L14" t="s">
        <v>159</v>
      </c>
      <c r="M14">
        <v>110</v>
      </c>
    </row>
    <row r="15" spans="1:20" x14ac:dyDescent="0.25">
      <c r="A15">
        <v>14</v>
      </c>
      <c r="B15">
        <v>2025</v>
      </c>
      <c r="C15">
        <v>4</v>
      </c>
      <c r="D15">
        <v>11</v>
      </c>
      <c r="E15">
        <v>4</v>
      </c>
      <c r="G15">
        <v>1</v>
      </c>
      <c r="J15" s="154">
        <v>1</v>
      </c>
      <c r="K15">
        <v>1</v>
      </c>
      <c r="L15" t="s">
        <v>150</v>
      </c>
      <c r="M15">
        <v>5500</v>
      </c>
    </row>
    <row r="16" spans="1:20" x14ac:dyDescent="0.25">
      <c r="A16">
        <v>15</v>
      </c>
      <c r="B16">
        <v>2025</v>
      </c>
      <c r="C16">
        <v>4</v>
      </c>
      <c r="D16">
        <v>11</v>
      </c>
      <c r="E16">
        <v>4</v>
      </c>
      <c r="G16">
        <v>6</v>
      </c>
      <c r="J16" s="154">
        <v>2</v>
      </c>
      <c r="K16">
        <v>2</v>
      </c>
      <c r="L16" t="s">
        <v>151</v>
      </c>
      <c r="M16">
        <v>200</v>
      </c>
    </row>
    <row r="17" spans="1:13" x14ac:dyDescent="0.25">
      <c r="A17">
        <v>16</v>
      </c>
      <c r="B17">
        <v>2025</v>
      </c>
      <c r="C17">
        <v>4</v>
      </c>
      <c r="D17">
        <v>11</v>
      </c>
      <c r="E17">
        <v>4</v>
      </c>
      <c r="G17">
        <v>8</v>
      </c>
      <c r="J17" s="154">
        <v>3</v>
      </c>
      <c r="K17">
        <v>3</v>
      </c>
      <c r="L17" t="s">
        <v>157</v>
      </c>
      <c r="M17">
        <v>100</v>
      </c>
    </row>
    <row r="18" spans="1:13" x14ac:dyDescent="0.25">
      <c r="A18">
        <v>17</v>
      </c>
      <c r="B18">
        <v>2025</v>
      </c>
      <c r="C18">
        <v>5</v>
      </c>
      <c r="D18">
        <v>11</v>
      </c>
      <c r="E18">
        <v>5</v>
      </c>
      <c r="G18">
        <v>1</v>
      </c>
      <c r="J18" s="154">
        <v>1</v>
      </c>
      <c r="K18">
        <v>1</v>
      </c>
      <c r="L18" t="s">
        <v>150</v>
      </c>
      <c r="M18">
        <v>5500</v>
      </c>
    </row>
    <row r="19" spans="1:13" x14ac:dyDescent="0.25">
      <c r="A19">
        <v>18</v>
      </c>
      <c r="B19">
        <v>2025</v>
      </c>
      <c r="C19">
        <v>5</v>
      </c>
      <c r="D19">
        <v>11</v>
      </c>
      <c r="E19">
        <v>5</v>
      </c>
      <c r="G19">
        <v>8</v>
      </c>
      <c r="J19" s="154">
        <v>2</v>
      </c>
      <c r="K19">
        <v>2</v>
      </c>
      <c r="L19" t="s">
        <v>151</v>
      </c>
      <c r="M19">
        <v>200</v>
      </c>
    </row>
    <row r="20" spans="1:13" x14ac:dyDescent="0.25">
      <c r="A20">
        <v>19</v>
      </c>
      <c r="B20">
        <v>2025</v>
      </c>
      <c r="C20">
        <v>5</v>
      </c>
      <c r="D20">
        <v>11</v>
      </c>
      <c r="E20">
        <v>5</v>
      </c>
      <c r="G20">
        <v>12</v>
      </c>
      <c r="J20" s="154">
        <v>3</v>
      </c>
      <c r="K20">
        <v>3</v>
      </c>
      <c r="L20" t="s">
        <v>157</v>
      </c>
      <c r="M20">
        <v>100</v>
      </c>
    </row>
    <row r="21" spans="1:13" x14ac:dyDescent="0.25">
      <c r="A21">
        <v>20</v>
      </c>
      <c r="B21">
        <v>2025</v>
      </c>
      <c r="C21">
        <v>5</v>
      </c>
      <c r="D21">
        <v>11</v>
      </c>
      <c r="E21">
        <v>5</v>
      </c>
      <c r="G21">
        <v>1</v>
      </c>
      <c r="J21" s="154">
        <v>6</v>
      </c>
      <c r="K21">
        <v>6</v>
      </c>
      <c r="L21" t="s">
        <v>158</v>
      </c>
      <c r="M21">
        <v>1000</v>
      </c>
    </row>
    <row r="22" spans="1:13" x14ac:dyDescent="0.25">
      <c r="A22">
        <v>21</v>
      </c>
      <c r="B22">
        <v>2025</v>
      </c>
      <c r="C22">
        <v>5</v>
      </c>
      <c r="D22">
        <v>11</v>
      </c>
      <c r="E22">
        <v>5</v>
      </c>
      <c r="G22">
        <v>2</v>
      </c>
      <c r="J22" s="154">
        <v>8</v>
      </c>
      <c r="K22">
        <v>8</v>
      </c>
      <c r="L22" t="s">
        <v>161</v>
      </c>
      <c r="M22">
        <v>357</v>
      </c>
    </row>
    <row r="23" spans="1:13" x14ac:dyDescent="0.25">
      <c r="A23">
        <v>22</v>
      </c>
      <c r="B23">
        <v>2025</v>
      </c>
      <c r="C23">
        <v>6</v>
      </c>
      <c r="D23">
        <v>11</v>
      </c>
      <c r="E23">
        <v>6</v>
      </c>
      <c r="G23">
        <v>1</v>
      </c>
      <c r="J23" s="154">
        <v>1</v>
      </c>
      <c r="K23">
        <v>1</v>
      </c>
      <c r="L23" t="s">
        <v>150</v>
      </c>
      <c r="M23">
        <v>5500</v>
      </c>
    </row>
    <row r="24" spans="1:13" x14ac:dyDescent="0.25">
      <c r="A24">
        <v>23</v>
      </c>
      <c r="B24">
        <v>2025</v>
      </c>
      <c r="C24">
        <v>6</v>
      </c>
      <c r="D24">
        <v>11</v>
      </c>
      <c r="E24">
        <v>6</v>
      </c>
      <c r="G24">
        <v>8</v>
      </c>
      <c r="J24" s="154">
        <v>2</v>
      </c>
      <c r="K24">
        <v>2</v>
      </c>
      <c r="L24" t="s">
        <v>151</v>
      </c>
      <c r="M24">
        <v>200</v>
      </c>
    </row>
    <row r="25" spans="1:13" x14ac:dyDescent="0.25">
      <c r="A25">
        <v>24</v>
      </c>
      <c r="B25">
        <v>2025</v>
      </c>
      <c r="C25">
        <v>6</v>
      </c>
      <c r="D25">
        <v>11</v>
      </c>
      <c r="E25">
        <v>6</v>
      </c>
      <c r="G25">
        <v>12</v>
      </c>
      <c r="J25" s="154">
        <v>3</v>
      </c>
      <c r="K25">
        <v>3</v>
      </c>
      <c r="L25" t="s">
        <v>157</v>
      </c>
      <c r="M25">
        <v>100</v>
      </c>
    </row>
    <row r="26" spans="1:13" x14ac:dyDescent="0.25">
      <c r="A26">
        <v>25</v>
      </c>
      <c r="B26">
        <v>2025</v>
      </c>
      <c r="C26">
        <v>6</v>
      </c>
      <c r="D26">
        <v>11</v>
      </c>
      <c r="E26">
        <v>6</v>
      </c>
      <c r="G26">
        <v>1</v>
      </c>
      <c r="J26" s="154">
        <v>4</v>
      </c>
      <c r="K26">
        <v>4</v>
      </c>
      <c r="L26" t="s">
        <v>155</v>
      </c>
      <c r="M26">
        <v>300</v>
      </c>
    </row>
    <row r="27" spans="1:13" x14ac:dyDescent="0.25">
      <c r="A27">
        <v>26</v>
      </c>
      <c r="B27">
        <v>2025</v>
      </c>
      <c r="C27">
        <v>6</v>
      </c>
      <c r="D27">
        <v>11</v>
      </c>
      <c r="E27">
        <v>6</v>
      </c>
      <c r="G27">
        <v>3</v>
      </c>
      <c r="J27" s="154">
        <v>9</v>
      </c>
      <c r="K27">
        <v>9</v>
      </c>
      <c r="L27" t="s">
        <v>162</v>
      </c>
      <c r="M27">
        <v>215</v>
      </c>
    </row>
    <row r="28" spans="1:13" x14ac:dyDescent="0.25">
      <c r="A28">
        <v>27</v>
      </c>
      <c r="B28">
        <v>2025</v>
      </c>
      <c r="C28">
        <v>7</v>
      </c>
      <c r="D28">
        <v>11</v>
      </c>
      <c r="E28">
        <v>7</v>
      </c>
      <c r="G28">
        <v>2</v>
      </c>
      <c r="J28" s="154">
        <v>1</v>
      </c>
      <c r="K28">
        <v>1</v>
      </c>
      <c r="L28" t="s">
        <v>150</v>
      </c>
      <c r="M28">
        <v>5500</v>
      </c>
    </row>
    <row r="29" spans="1:13" x14ac:dyDescent="0.25">
      <c r="A29">
        <v>28</v>
      </c>
      <c r="B29">
        <v>2025</v>
      </c>
      <c r="C29">
        <v>7</v>
      </c>
      <c r="D29">
        <v>11</v>
      </c>
      <c r="E29">
        <v>7</v>
      </c>
      <c r="G29">
        <v>10</v>
      </c>
      <c r="J29" s="154">
        <v>2</v>
      </c>
      <c r="K29">
        <v>2</v>
      </c>
      <c r="L29" t="s">
        <v>151</v>
      </c>
      <c r="M29">
        <v>200</v>
      </c>
    </row>
    <row r="30" spans="1:13" x14ac:dyDescent="0.25">
      <c r="A30">
        <v>29</v>
      </c>
      <c r="B30">
        <v>2025</v>
      </c>
      <c r="C30">
        <v>8</v>
      </c>
      <c r="D30">
        <v>11</v>
      </c>
      <c r="E30">
        <v>8</v>
      </c>
      <c r="G30">
        <v>2</v>
      </c>
      <c r="J30" s="154">
        <v>1</v>
      </c>
      <c r="K30">
        <v>1</v>
      </c>
      <c r="L30" t="s">
        <v>150</v>
      </c>
      <c r="M30">
        <v>5500</v>
      </c>
    </row>
    <row r="31" spans="1:13" x14ac:dyDescent="0.25">
      <c r="A31">
        <v>30</v>
      </c>
      <c r="B31">
        <v>2025</v>
      </c>
      <c r="C31">
        <v>8</v>
      </c>
      <c r="D31">
        <v>11</v>
      </c>
      <c r="E31">
        <v>8</v>
      </c>
      <c r="G31">
        <v>14</v>
      </c>
      <c r="J31" s="154">
        <v>2</v>
      </c>
      <c r="K31">
        <v>2</v>
      </c>
      <c r="L31" t="s">
        <v>151</v>
      </c>
      <c r="M31">
        <v>200</v>
      </c>
    </row>
    <row r="32" spans="1:13" x14ac:dyDescent="0.25">
      <c r="A32">
        <v>31</v>
      </c>
      <c r="B32">
        <v>2025</v>
      </c>
      <c r="C32">
        <v>8</v>
      </c>
      <c r="D32">
        <v>11</v>
      </c>
      <c r="E32">
        <v>8</v>
      </c>
      <c r="G32">
        <v>12</v>
      </c>
      <c r="J32" s="154">
        <v>3</v>
      </c>
      <c r="K32">
        <v>3</v>
      </c>
      <c r="L32" t="s">
        <v>157</v>
      </c>
      <c r="M32">
        <v>100</v>
      </c>
    </row>
    <row r="33" spans="1:13" x14ac:dyDescent="0.25">
      <c r="A33">
        <v>32</v>
      </c>
      <c r="B33">
        <v>2025</v>
      </c>
      <c r="C33">
        <v>8</v>
      </c>
      <c r="D33">
        <v>11</v>
      </c>
      <c r="E33">
        <v>8</v>
      </c>
      <c r="G33">
        <v>1</v>
      </c>
      <c r="J33" s="154">
        <v>6</v>
      </c>
      <c r="K33">
        <v>6</v>
      </c>
      <c r="L33" t="s">
        <v>158</v>
      </c>
      <c r="M33">
        <v>1000</v>
      </c>
    </row>
    <row r="34" spans="1:13" x14ac:dyDescent="0.25">
      <c r="A34">
        <v>33</v>
      </c>
      <c r="B34">
        <v>2025</v>
      </c>
      <c r="C34">
        <v>9</v>
      </c>
      <c r="D34">
        <v>11</v>
      </c>
      <c r="E34">
        <v>9</v>
      </c>
      <c r="G34">
        <v>2</v>
      </c>
      <c r="J34" s="154">
        <v>1</v>
      </c>
      <c r="K34">
        <v>1</v>
      </c>
      <c r="L34" t="s">
        <v>150</v>
      </c>
      <c r="M34">
        <v>5500</v>
      </c>
    </row>
    <row r="35" spans="1:13" x14ac:dyDescent="0.25">
      <c r="A35">
        <v>34</v>
      </c>
      <c r="B35">
        <v>2025</v>
      </c>
      <c r="C35">
        <v>9</v>
      </c>
      <c r="D35">
        <v>11</v>
      </c>
      <c r="E35">
        <v>9</v>
      </c>
      <c r="G35">
        <v>10</v>
      </c>
      <c r="J35" s="154">
        <v>2</v>
      </c>
      <c r="K35">
        <v>2</v>
      </c>
      <c r="L35" t="s">
        <v>151</v>
      </c>
      <c r="M35">
        <v>200</v>
      </c>
    </row>
    <row r="36" spans="1:13" x14ac:dyDescent="0.25">
      <c r="A36">
        <v>35</v>
      </c>
      <c r="B36">
        <v>2025</v>
      </c>
      <c r="C36">
        <v>10</v>
      </c>
      <c r="D36">
        <v>11</v>
      </c>
      <c r="E36">
        <v>10</v>
      </c>
      <c r="G36">
        <v>2</v>
      </c>
      <c r="J36" s="154">
        <v>1</v>
      </c>
      <c r="K36">
        <v>1</v>
      </c>
      <c r="L36" t="s">
        <v>150</v>
      </c>
      <c r="M36">
        <v>5500</v>
      </c>
    </row>
    <row r="37" spans="1:13" x14ac:dyDescent="0.25">
      <c r="A37">
        <v>36</v>
      </c>
      <c r="B37">
        <v>2025</v>
      </c>
      <c r="C37">
        <v>10</v>
      </c>
      <c r="D37">
        <v>11</v>
      </c>
      <c r="E37">
        <v>10</v>
      </c>
      <c r="G37">
        <v>12</v>
      </c>
      <c r="J37" s="154">
        <v>2</v>
      </c>
      <c r="K37">
        <v>2</v>
      </c>
      <c r="L37" t="s">
        <v>151</v>
      </c>
      <c r="M37">
        <v>200</v>
      </c>
    </row>
    <row r="38" spans="1:13" x14ac:dyDescent="0.25">
      <c r="A38">
        <v>37</v>
      </c>
      <c r="B38">
        <v>2025</v>
      </c>
      <c r="C38">
        <v>10</v>
      </c>
      <c r="D38">
        <v>11</v>
      </c>
      <c r="E38">
        <v>10</v>
      </c>
      <c r="G38">
        <v>24</v>
      </c>
      <c r="J38" s="154">
        <v>3</v>
      </c>
      <c r="K38">
        <v>3</v>
      </c>
      <c r="L38" t="s">
        <v>157</v>
      </c>
      <c r="M38">
        <v>100</v>
      </c>
    </row>
    <row r="39" spans="1:13" x14ac:dyDescent="0.25">
      <c r="A39">
        <v>38</v>
      </c>
      <c r="B39">
        <v>2025</v>
      </c>
      <c r="C39">
        <v>11</v>
      </c>
      <c r="D39">
        <v>11</v>
      </c>
      <c r="E39">
        <v>11</v>
      </c>
      <c r="G39">
        <v>1</v>
      </c>
      <c r="J39" s="154">
        <v>1</v>
      </c>
      <c r="K39">
        <v>1</v>
      </c>
      <c r="L39" t="s">
        <v>150</v>
      </c>
      <c r="M39">
        <v>5500</v>
      </c>
    </row>
    <row r="40" spans="1:13" x14ac:dyDescent="0.25">
      <c r="A40">
        <v>39</v>
      </c>
      <c r="B40">
        <v>2025</v>
      </c>
      <c r="C40">
        <v>11</v>
      </c>
      <c r="D40">
        <v>11</v>
      </c>
      <c r="E40">
        <v>11</v>
      </c>
      <c r="G40">
        <v>13.363636363636363</v>
      </c>
      <c r="J40" s="154">
        <v>2</v>
      </c>
      <c r="K40">
        <v>2</v>
      </c>
      <c r="L40" t="s">
        <v>151</v>
      </c>
      <c r="M40">
        <v>200</v>
      </c>
    </row>
    <row r="41" spans="1:13" x14ac:dyDescent="0.25">
      <c r="A41">
        <v>40</v>
      </c>
      <c r="B41">
        <v>2025</v>
      </c>
      <c r="C41">
        <v>11</v>
      </c>
      <c r="D41">
        <v>11</v>
      </c>
      <c r="E41">
        <v>11</v>
      </c>
      <c r="G41">
        <v>2</v>
      </c>
      <c r="J41" s="154">
        <v>8</v>
      </c>
      <c r="K41">
        <v>8</v>
      </c>
      <c r="L41" t="s">
        <v>161</v>
      </c>
      <c r="M41">
        <v>357</v>
      </c>
    </row>
    <row r="42" spans="1:13" x14ac:dyDescent="0.25">
      <c r="A42">
        <v>41</v>
      </c>
      <c r="B42">
        <v>2024</v>
      </c>
      <c r="C42">
        <v>12</v>
      </c>
      <c r="D42">
        <v>14</v>
      </c>
      <c r="E42">
        <v>1</v>
      </c>
      <c r="G42">
        <v>1.1666666666666667</v>
      </c>
      <c r="J42" s="154">
        <v>1</v>
      </c>
      <c r="K42">
        <v>1</v>
      </c>
      <c r="L42" t="s">
        <v>190</v>
      </c>
      <c r="M42">
        <v>730</v>
      </c>
    </row>
    <row r="43" spans="1:13" x14ac:dyDescent="0.25">
      <c r="A43">
        <v>42</v>
      </c>
      <c r="B43">
        <v>2024</v>
      </c>
      <c r="C43">
        <v>12</v>
      </c>
      <c r="D43">
        <v>14</v>
      </c>
      <c r="E43">
        <v>1</v>
      </c>
      <c r="G43">
        <v>1.1666666666666667</v>
      </c>
      <c r="J43" s="154">
        <v>2</v>
      </c>
      <c r="K43">
        <v>2</v>
      </c>
      <c r="L43" t="s">
        <v>191</v>
      </c>
      <c r="M43">
        <v>1100</v>
      </c>
    </row>
    <row r="44" spans="1:13" x14ac:dyDescent="0.25">
      <c r="A44">
        <v>43</v>
      </c>
      <c r="B44">
        <v>2024</v>
      </c>
      <c r="C44">
        <v>12</v>
      </c>
      <c r="D44">
        <v>14</v>
      </c>
      <c r="E44">
        <v>1</v>
      </c>
      <c r="G44">
        <v>1.1666666666666667</v>
      </c>
      <c r="J44" s="154">
        <v>3</v>
      </c>
      <c r="K44">
        <v>3</v>
      </c>
      <c r="L44" t="s">
        <v>192</v>
      </c>
      <c r="M44">
        <v>900</v>
      </c>
    </row>
    <row r="45" spans="1:13" x14ac:dyDescent="0.25">
      <c r="A45">
        <v>44</v>
      </c>
      <c r="B45">
        <v>2024</v>
      </c>
      <c r="C45">
        <v>12</v>
      </c>
      <c r="D45">
        <v>14</v>
      </c>
      <c r="E45">
        <v>1</v>
      </c>
      <c r="G45">
        <v>1.1666666666666667</v>
      </c>
      <c r="J45" s="154">
        <v>4</v>
      </c>
      <c r="K45">
        <v>4</v>
      </c>
      <c r="L45" t="s">
        <v>193</v>
      </c>
      <c r="M45">
        <v>800</v>
      </c>
    </row>
    <row r="46" spans="1:13" x14ac:dyDescent="0.25">
      <c r="A46">
        <v>45</v>
      </c>
      <c r="B46">
        <v>2024</v>
      </c>
      <c r="C46">
        <v>12</v>
      </c>
      <c r="D46">
        <v>14</v>
      </c>
      <c r="E46">
        <v>1</v>
      </c>
      <c r="G46">
        <v>1.1666666666666667</v>
      </c>
      <c r="J46" s="154">
        <v>5</v>
      </c>
      <c r="K46">
        <v>5</v>
      </c>
      <c r="L46" t="s">
        <v>194</v>
      </c>
      <c r="M46">
        <v>900</v>
      </c>
    </row>
    <row r="47" spans="1:13" x14ac:dyDescent="0.25">
      <c r="A47">
        <v>46</v>
      </c>
      <c r="B47">
        <v>2024</v>
      </c>
      <c r="C47">
        <v>12</v>
      </c>
      <c r="D47">
        <v>14</v>
      </c>
      <c r="E47">
        <v>1</v>
      </c>
      <c r="G47">
        <v>144</v>
      </c>
      <c r="J47" s="154">
        <v>8</v>
      </c>
      <c r="K47">
        <v>8</v>
      </c>
      <c r="L47" t="s">
        <v>197</v>
      </c>
      <c r="M47">
        <v>2</v>
      </c>
    </row>
    <row r="48" spans="1:13" x14ac:dyDescent="0.25">
      <c r="A48">
        <v>47</v>
      </c>
      <c r="B48">
        <v>2024</v>
      </c>
      <c r="C48">
        <v>12</v>
      </c>
      <c r="D48">
        <v>14</v>
      </c>
      <c r="E48">
        <v>1</v>
      </c>
      <c r="G48">
        <v>297</v>
      </c>
      <c r="J48" s="154">
        <v>9</v>
      </c>
      <c r="K48">
        <v>9</v>
      </c>
      <c r="L48" t="s">
        <v>198</v>
      </c>
      <c r="M48">
        <v>2.5</v>
      </c>
    </row>
    <row r="49" spans="1:13" x14ac:dyDescent="0.25">
      <c r="A49">
        <v>48</v>
      </c>
      <c r="B49">
        <v>2024</v>
      </c>
      <c r="C49">
        <v>12</v>
      </c>
      <c r="D49">
        <v>14</v>
      </c>
      <c r="E49">
        <v>1</v>
      </c>
      <c r="G49">
        <v>105</v>
      </c>
      <c r="J49" s="154">
        <v>10</v>
      </c>
      <c r="K49">
        <v>10</v>
      </c>
      <c r="L49" t="s">
        <v>199</v>
      </c>
      <c r="M49">
        <v>2</v>
      </c>
    </row>
    <row r="50" spans="1:13" x14ac:dyDescent="0.25">
      <c r="A50">
        <v>49</v>
      </c>
      <c r="B50">
        <v>2024</v>
      </c>
      <c r="C50">
        <v>12</v>
      </c>
      <c r="D50">
        <v>14</v>
      </c>
      <c r="E50">
        <v>1</v>
      </c>
      <c r="G50">
        <v>125</v>
      </c>
      <c r="J50" s="154">
        <v>12</v>
      </c>
      <c r="K50">
        <v>12</v>
      </c>
      <c r="L50" t="s">
        <v>201</v>
      </c>
      <c r="M50">
        <v>2</v>
      </c>
    </row>
    <row r="51" spans="1:13" x14ac:dyDescent="0.25">
      <c r="A51">
        <v>50</v>
      </c>
      <c r="B51">
        <v>2025</v>
      </c>
      <c r="C51">
        <v>2</v>
      </c>
      <c r="D51">
        <v>14</v>
      </c>
      <c r="E51">
        <v>2</v>
      </c>
      <c r="G51">
        <v>1.0000000000000002</v>
      </c>
      <c r="J51" s="154">
        <v>1</v>
      </c>
      <c r="K51">
        <v>1</v>
      </c>
      <c r="L51" t="s">
        <v>190</v>
      </c>
      <c r="M51">
        <v>730</v>
      </c>
    </row>
    <row r="52" spans="1:13" x14ac:dyDescent="0.25">
      <c r="A52">
        <v>51</v>
      </c>
      <c r="B52">
        <v>2025</v>
      </c>
      <c r="C52">
        <v>2</v>
      </c>
      <c r="D52">
        <v>14</v>
      </c>
      <c r="E52">
        <v>2</v>
      </c>
      <c r="G52">
        <v>1.0000000000000002</v>
      </c>
      <c r="J52" s="154">
        <v>2</v>
      </c>
      <c r="K52">
        <v>2</v>
      </c>
      <c r="L52" t="s">
        <v>191</v>
      </c>
      <c r="M52">
        <v>1100</v>
      </c>
    </row>
    <row r="53" spans="1:13" x14ac:dyDescent="0.25">
      <c r="A53">
        <v>52</v>
      </c>
      <c r="B53">
        <v>2025</v>
      </c>
      <c r="C53">
        <v>2</v>
      </c>
      <c r="D53">
        <v>14</v>
      </c>
      <c r="E53">
        <v>2</v>
      </c>
      <c r="G53">
        <v>1.0000000000000002</v>
      </c>
      <c r="J53" s="154">
        <v>3</v>
      </c>
      <c r="K53">
        <v>3</v>
      </c>
      <c r="L53" t="s">
        <v>192</v>
      </c>
      <c r="M53">
        <v>900</v>
      </c>
    </row>
    <row r="54" spans="1:13" x14ac:dyDescent="0.25">
      <c r="A54">
        <v>53</v>
      </c>
      <c r="B54">
        <v>2025</v>
      </c>
      <c r="C54">
        <v>2</v>
      </c>
      <c r="D54">
        <v>14</v>
      </c>
      <c r="E54">
        <v>2</v>
      </c>
      <c r="G54">
        <v>1.0000000000000002</v>
      </c>
      <c r="J54" s="154">
        <v>4</v>
      </c>
      <c r="K54">
        <v>4</v>
      </c>
      <c r="L54" t="s">
        <v>193</v>
      </c>
      <c r="M54">
        <v>800</v>
      </c>
    </row>
    <row r="55" spans="1:13" x14ac:dyDescent="0.25">
      <c r="A55">
        <v>54</v>
      </c>
      <c r="B55">
        <v>2025</v>
      </c>
      <c r="C55">
        <v>2</v>
      </c>
      <c r="D55">
        <v>14</v>
      </c>
      <c r="E55">
        <v>2</v>
      </c>
      <c r="G55">
        <v>1.0000000000000002</v>
      </c>
      <c r="J55" s="154">
        <v>5</v>
      </c>
      <c r="K55">
        <v>5</v>
      </c>
      <c r="L55" t="s">
        <v>194</v>
      </c>
      <c r="M55">
        <v>900</v>
      </c>
    </row>
    <row r="56" spans="1:13" x14ac:dyDescent="0.25">
      <c r="A56">
        <v>55</v>
      </c>
      <c r="B56">
        <v>2025</v>
      </c>
      <c r="C56">
        <v>2</v>
      </c>
      <c r="D56">
        <v>14</v>
      </c>
      <c r="E56">
        <v>2</v>
      </c>
      <c r="G56">
        <v>234</v>
      </c>
      <c r="J56" s="154">
        <v>8</v>
      </c>
      <c r="K56">
        <v>8</v>
      </c>
      <c r="L56" t="s">
        <v>197</v>
      </c>
      <c r="M56">
        <v>2</v>
      </c>
    </row>
    <row r="57" spans="1:13" x14ac:dyDescent="0.25">
      <c r="A57">
        <v>56</v>
      </c>
      <c r="B57">
        <v>2025</v>
      </c>
      <c r="C57">
        <v>2</v>
      </c>
      <c r="D57">
        <v>14</v>
      </c>
      <c r="E57">
        <v>2</v>
      </c>
      <c r="G57">
        <v>604</v>
      </c>
      <c r="J57" s="154">
        <v>10</v>
      </c>
      <c r="K57">
        <v>10</v>
      </c>
      <c r="L57" t="s">
        <v>199</v>
      </c>
      <c r="M57">
        <v>2</v>
      </c>
    </row>
    <row r="58" spans="1:13" x14ac:dyDescent="0.25">
      <c r="A58">
        <v>57</v>
      </c>
      <c r="B58">
        <v>2025</v>
      </c>
      <c r="C58">
        <v>3</v>
      </c>
      <c r="D58">
        <v>14</v>
      </c>
      <c r="E58">
        <v>3</v>
      </c>
      <c r="G58">
        <v>1</v>
      </c>
      <c r="J58" s="154">
        <v>1</v>
      </c>
      <c r="K58">
        <v>1</v>
      </c>
      <c r="L58" t="s">
        <v>190</v>
      </c>
      <c r="M58">
        <v>730</v>
      </c>
    </row>
    <row r="59" spans="1:13" x14ac:dyDescent="0.25">
      <c r="A59">
        <v>58</v>
      </c>
      <c r="B59">
        <v>2025</v>
      </c>
      <c r="C59">
        <v>3</v>
      </c>
      <c r="D59">
        <v>14</v>
      </c>
      <c r="E59">
        <v>3</v>
      </c>
      <c r="G59">
        <v>1</v>
      </c>
      <c r="J59" s="154">
        <v>2</v>
      </c>
      <c r="K59">
        <v>2</v>
      </c>
      <c r="L59" t="s">
        <v>191</v>
      </c>
      <c r="M59">
        <v>1100</v>
      </c>
    </row>
    <row r="60" spans="1:13" x14ac:dyDescent="0.25">
      <c r="A60">
        <v>59</v>
      </c>
      <c r="B60">
        <v>2025</v>
      </c>
      <c r="C60">
        <v>3</v>
      </c>
      <c r="D60">
        <v>14</v>
      </c>
      <c r="E60">
        <v>3</v>
      </c>
      <c r="G60">
        <v>1</v>
      </c>
      <c r="J60" s="154">
        <v>3</v>
      </c>
      <c r="K60">
        <v>3</v>
      </c>
      <c r="L60" t="s">
        <v>192</v>
      </c>
      <c r="M60">
        <v>900</v>
      </c>
    </row>
    <row r="61" spans="1:13" x14ac:dyDescent="0.25">
      <c r="A61">
        <v>60</v>
      </c>
      <c r="B61">
        <v>2025</v>
      </c>
      <c r="C61">
        <v>3</v>
      </c>
      <c r="D61">
        <v>14</v>
      </c>
      <c r="E61">
        <v>3</v>
      </c>
      <c r="G61">
        <v>1</v>
      </c>
      <c r="J61" s="154">
        <v>4</v>
      </c>
      <c r="K61">
        <v>4</v>
      </c>
      <c r="L61" t="s">
        <v>193</v>
      </c>
      <c r="M61">
        <v>800</v>
      </c>
    </row>
    <row r="62" spans="1:13" x14ac:dyDescent="0.25">
      <c r="A62">
        <v>61</v>
      </c>
      <c r="B62">
        <v>2025</v>
      </c>
      <c r="C62">
        <v>3</v>
      </c>
      <c r="D62">
        <v>14</v>
      </c>
      <c r="E62">
        <v>3</v>
      </c>
      <c r="G62">
        <v>0.61</v>
      </c>
      <c r="J62" s="154">
        <v>6</v>
      </c>
      <c r="K62">
        <v>6</v>
      </c>
      <c r="L62" t="s">
        <v>195</v>
      </c>
      <c r="M62">
        <v>4000</v>
      </c>
    </row>
    <row r="63" spans="1:13" x14ac:dyDescent="0.25">
      <c r="A63">
        <v>62</v>
      </c>
      <c r="B63">
        <v>2025</v>
      </c>
      <c r="C63">
        <v>3</v>
      </c>
      <c r="D63">
        <v>14</v>
      </c>
      <c r="E63">
        <v>3</v>
      </c>
      <c r="G63">
        <v>1</v>
      </c>
      <c r="J63" s="154">
        <v>7</v>
      </c>
      <c r="K63">
        <v>7</v>
      </c>
      <c r="L63" t="s">
        <v>196</v>
      </c>
      <c r="M63">
        <v>900</v>
      </c>
    </row>
    <row r="64" spans="1:13" x14ac:dyDescent="0.25">
      <c r="A64">
        <v>63</v>
      </c>
      <c r="B64">
        <v>2025</v>
      </c>
      <c r="C64">
        <v>3</v>
      </c>
      <c r="D64">
        <v>14</v>
      </c>
      <c r="E64">
        <v>3</v>
      </c>
      <c r="G64">
        <v>228</v>
      </c>
      <c r="J64" s="154">
        <v>8</v>
      </c>
      <c r="K64">
        <v>8</v>
      </c>
      <c r="L64" t="s">
        <v>197</v>
      </c>
      <c r="M64">
        <v>2</v>
      </c>
    </row>
    <row r="65" spans="1:13" x14ac:dyDescent="0.25">
      <c r="A65">
        <v>64</v>
      </c>
      <c r="B65">
        <v>2025</v>
      </c>
      <c r="C65">
        <v>3</v>
      </c>
      <c r="D65">
        <v>14</v>
      </c>
      <c r="E65">
        <v>3</v>
      </c>
      <c r="G65">
        <v>263</v>
      </c>
      <c r="J65" s="154">
        <v>9</v>
      </c>
      <c r="K65">
        <v>9</v>
      </c>
      <c r="L65" t="s">
        <v>198</v>
      </c>
      <c r="M65">
        <v>2.5</v>
      </c>
    </row>
    <row r="66" spans="1:13" x14ac:dyDescent="0.25">
      <c r="A66">
        <v>65</v>
      </c>
      <c r="B66">
        <v>2025</v>
      </c>
      <c r="C66">
        <v>3</v>
      </c>
      <c r="D66">
        <v>14</v>
      </c>
      <c r="E66">
        <v>3</v>
      </c>
      <c r="G66">
        <v>233</v>
      </c>
      <c r="J66" s="154">
        <v>10</v>
      </c>
      <c r="K66">
        <v>10</v>
      </c>
      <c r="L66" t="s">
        <v>199</v>
      </c>
      <c r="M66">
        <v>2</v>
      </c>
    </row>
    <row r="67" spans="1:13" x14ac:dyDescent="0.25">
      <c r="A67">
        <v>66</v>
      </c>
      <c r="B67">
        <v>2025</v>
      </c>
      <c r="C67">
        <v>3</v>
      </c>
      <c r="D67">
        <v>14</v>
      </c>
      <c r="E67">
        <v>3</v>
      </c>
      <c r="G67">
        <v>205</v>
      </c>
      <c r="J67" s="154">
        <v>11</v>
      </c>
      <c r="K67">
        <v>11</v>
      </c>
      <c r="L67" t="s">
        <v>200</v>
      </c>
      <c r="M67">
        <v>2</v>
      </c>
    </row>
    <row r="68" spans="1:13" x14ac:dyDescent="0.25">
      <c r="A68">
        <v>67</v>
      </c>
      <c r="B68">
        <v>2025</v>
      </c>
      <c r="C68">
        <v>3</v>
      </c>
      <c r="D68">
        <v>14</v>
      </c>
      <c r="E68">
        <v>3</v>
      </c>
      <c r="G68">
        <v>216</v>
      </c>
      <c r="J68" s="154">
        <v>13</v>
      </c>
      <c r="K68">
        <v>13</v>
      </c>
      <c r="L68" t="s">
        <v>202</v>
      </c>
      <c r="M68">
        <v>4</v>
      </c>
    </row>
    <row r="69" spans="1:13" x14ac:dyDescent="0.25">
      <c r="A69">
        <v>68</v>
      </c>
      <c r="B69">
        <v>2025</v>
      </c>
      <c r="C69">
        <v>3</v>
      </c>
      <c r="D69">
        <v>14</v>
      </c>
      <c r="E69">
        <v>3</v>
      </c>
      <c r="G69">
        <v>250</v>
      </c>
      <c r="J69" s="154">
        <v>14</v>
      </c>
      <c r="K69">
        <v>14</v>
      </c>
      <c r="L69" t="s">
        <v>203</v>
      </c>
      <c r="M69">
        <v>2</v>
      </c>
    </row>
    <row r="70" spans="1:13" x14ac:dyDescent="0.25">
      <c r="A70">
        <v>69</v>
      </c>
      <c r="B70">
        <v>2025</v>
      </c>
      <c r="C70">
        <v>4</v>
      </c>
      <c r="D70">
        <v>14</v>
      </c>
      <c r="E70">
        <v>4</v>
      </c>
      <c r="G70">
        <v>1</v>
      </c>
      <c r="J70" s="154">
        <v>1</v>
      </c>
      <c r="K70">
        <v>1</v>
      </c>
      <c r="L70" t="s">
        <v>190</v>
      </c>
      <c r="M70">
        <v>730</v>
      </c>
    </row>
    <row r="71" spans="1:13" x14ac:dyDescent="0.25">
      <c r="A71">
        <v>70</v>
      </c>
      <c r="B71">
        <v>2025</v>
      </c>
      <c r="C71">
        <v>4</v>
      </c>
      <c r="D71">
        <v>14</v>
      </c>
      <c r="E71">
        <v>4</v>
      </c>
      <c r="G71">
        <v>1</v>
      </c>
      <c r="J71" s="154">
        <v>2</v>
      </c>
      <c r="K71">
        <v>2</v>
      </c>
      <c r="L71" t="s">
        <v>191</v>
      </c>
      <c r="M71">
        <v>1100</v>
      </c>
    </row>
    <row r="72" spans="1:13" x14ac:dyDescent="0.25">
      <c r="A72">
        <v>71</v>
      </c>
      <c r="B72">
        <v>2025</v>
      </c>
      <c r="C72">
        <v>4</v>
      </c>
      <c r="D72">
        <v>14</v>
      </c>
      <c r="E72">
        <v>4</v>
      </c>
      <c r="G72">
        <v>1</v>
      </c>
      <c r="J72" s="154">
        <v>3</v>
      </c>
      <c r="K72">
        <v>3</v>
      </c>
      <c r="L72" t="s">
        <v>192</v>
      </c>
      <c r="M72">
        <v>900</v>
      </c>
    </row>
    <row r="73" spans="1:13" x14ac:dyDescent="0.25">
      <c r="A73">
        <v>72</v>
      </c>
      <c r="B73">
        <v>2025</v>
      </c>
      <c r="C73">
        <v>4</v>
      </c>
      <c r="D73">
        <v>14</v>
      </c>
      <c r="E73">
        <v>4</v>
      </c>
      <c r="G73">
        <v>1</v>
      </c>
      <c r="J73" s="154">
        <v>4</v>
      </c>
      <c r="K73">
        <v>4</v>
      </c>
      <c r="L73" t="s">
        <v>193</v>
      </c>
      <c r="M73">
        <v>800</v>
      </c>
    </row>
    <row r="74" spans="1:13" x14ac:dyDescent="0.25">
      <c r="A74">
        <v>73</v>
      </c>
      <c r="B74">
        <v>2025</v>
      </c>
      <c r="C74">
        <v>4</v>
      </c>
      <c r="D74">
        <v>14</v>
      </c>
      <c r="E74">
        <v>4</v>
      </c>
      <c r="G74">
        <v>0.99999999999999989</v>
      </c>
      <c r="J74" s="154">
        <v>6</v>
      </c>
      <c r="K74">
        <v>6</v>
      </c>
      <c r="L74" t="s">
        <v>195</v>
      </c>
      <c r="M74">
        <v>4000</v>
      </c>
    </row>
    <row r="75" spans="1:13" x14ac:dyDescent="0.25">
      <c r="A75">
        <v>74</v>
      </c>
      <c r="B75">
        <v>2025</v>
      </c>
      <c r="C75">
        <v>4</v>
      </c>
      <c r="D75">
        <v>14</v>
      </c>
      <c r="E75">
        <v>4</v>
      </c>
      <c r="G75">
        <v>1</v>
      </c>
      <c r="J75" s="154">
        <v>7</v>
      </c>
      <c r="K75">
        <v>7</v>
      </c>
      <c r="L75" t="s">
        <v>196</v>
      </c>
      <c r="M75">
        <v>900</v>
      </c>
    </row>
    <row r="76" spans="1:13" x14ac:dyDescent="0.25">
      <c r="A76">
        <v>75</v>
      </c>
      <c r="B76">
        <v>2025</v>
      </c>
      <c r="C76">
        <v>4</v>
      </c>
      <c r="D76">
        <v>14</v>
      </c>
      <c r="E76">
        <v>4</v>
      </c>
      <c r="G76">
        <v>167</v>
      </c>
      <c r="J76" s="154">
        <v>8</v>
      </c>
      <c r="K76">
        <v>8</v>
      </c>
      <c r="L76" t="s">
        <v>197</v>
      </c>
      <c r="M76">
        <v>2</v>
      </c>
    </row>
    <row r="77" spans="1:13" x14ac:dyDescent="0.25">
      <c r="A77">
        <v>76</v>
      </c>
      <c r="B77">
        <v>2025</v>
      </c>
      <c r="C77">
        <v>4</v>
      </c>
      <c r="D77">
        <v>14</v>
      </c>
      <c r="E77">
        <v>4</v>
      </c>
      <c r="G77">
        <v>208</v>
      </c>
      <c r="J77" s="154">
        <v>9</v>
      </c>
      <c r="K77">
        <v>9</v>
      </c>
      <c r="L77" t="s">
        <v>198</v>
      </c>
      <c r="M77">
        <v>2.5</v>
      </c>
    </row>
    <row r="78" spans="1:13" x14ac:dyDescent="0.25">
      <c r="A78">
        <v>77</v>
      </c>
      <c r="B78">
        <v>2025</v>
      </c>
      <c r="C78">
        <v>4</v>
      </c>
      <c r="D78">
        <v>14</v>
      </c>
      <c r="E78">
        <v>4</v>
      </c>
      <c r="G78">
        <v>450</v>
      </c>
      <c r="J78" s="154">
        <v>10</v>
      </c>
      <c r="K78">
        <v>10</v>
      </c>
      <c r="L78" t="s">
        <v>199</v>
      </c>
      <c r="M78">
        <v>2</v>
      </c>
    </row>
    <row r="79" spans="1:13" x14ac:dyDescent="0.25">
      <c r="A79">
        <v>78</v>
      </c>
      <c r="B79">
        <v>2025</v>
      </c>
      <c r="C79">
        <v>4</v>
      </c>
      <c r="D79">
        <v>14</v>
      </c>
      <c r="E79">
        <v>4</v>
      </c>
      <c r="G79">
        <v>481</v>
      </c>
      <c r="J79" s="154">
        <v>11</v>
      </c>
      <c r="K79">
        <v>11</v>
      </c>
      <c r="L79" t="s">
        <v>200</v>
      </c>
      <c r="M79">
        <v>2</v>
      </c>
    </row>
    <row r="80" spans="1:13" x14ac:dyDescent="0.25">
      <c r="A80">
        <v>79</v>
      </c>
      <c r="B80">
        <v>2025</v>
      </c>
      <c r="C80">
        <v>4</v>
      </c>
      <c r="D80">
        <v>14</v>
      </c>
      <c r="E80">
        <v>4</v>
      </c>
      <c r="G80">
        <v>711</v>
      </c>
      <c r="J80" s="154">
        <v>13</v>
      </c>
      <c r="K80">
        <v>13</v>
      </c>
      <c r="L80" t="s">
        <v>202</v>
      </c>
      <c r="M80">
        <v>4</v>
      </c>
    </row>
    <row r="81" spans="1:13" x14ac:dyDescent="0.25">
      <c r="A81">
        <v>80</v>
      </c>
      <c r="B81">
        <v>2025</v>
      </c>
      <c r="C81">
        <v>4</v>
      </c>
      <c r="D81">
        <v>14</v>
      </c>
      <c r="E81">
        <v>4</v>
      </c>
      <c r="G81">
        <v>173</v>
      </c>
      <c r="J81" s="154">
        <v>14</v>
      </c>
      <c r="K81">
        <v>14</v>
      </c>
      <c r="L81" t="s">
        <v>203</v>
      </c>
      <c r="M81">
        <v>2</v>
      </c>
    </row>
    <row r="82" spans="1:13" x14ac:dyDescent="0.25">
      <c r="A82">
        <v>81</v>
      </c>
      <c r="B82">
        <v>2025</v>
      </c>
      <c r="C82">
        <v>8</v>
      </c>
      <c r="D82">
        <v>14</v>
      </c>
      <c r="E82">
        <v>5</v>
      </c>
      <c r="G82">
        <v>0.68</v>
      </c>
      <c r="J82" s="154">
        <v>15</v>
      </c>
      <c r="K82">
        <v>15</v>
      </c>
      <c r="L82" t="s">
        <v>204</v>
      </c>
      <c r="M82">
        <v>4000</v>
      </c>
    </row>
    <row r="83" spans="1:13" x14ac:dyDescent="0.25">
      <c r="A83">
        <v>82</v>
      </c>
      <c r="B83">
        <v>2025</v>
      </c>
      <c r="C83">
        <v>8</v>
      </c>
      <c r="D83">
        <v>14</v>
      </c>
      <c r="E83">
        <v>5</v>
      </c>
      <c r="G83">
        <v>54</v>
      </c>
      <c r="J83" s="154">
        <v>16</v>
      </c>
      <c r="K83">
        <v>16</v>
      </c>
      <c r="L83" t="s">
        <v>205</v>
      </c>
      <c r="M83">
        <v>3.5</v>
      </c>
    </row>
    <row r="84" spans="1:13" x14ac:dyDescent="0.25">
      <c r="A84">
        <v>83</v>
      </c>
      <c r="B84">
        <v>2025</v>
      </c>
      <c r="C84">
        <v>9</v>
      </c>
      <c r="D84">
        <v>14</v>
      </c>
      <c r="E84">
        <v>6</v>
      </c>
      <c r="G84">
        <v>1</v>
      </c>
      <c r="J84" s="154">
        <v>15</v>
      </c>
      <c r="K84">
        <v>15</v>
      </c>
      <c r="L84" t="s">
        <v>204</v>
      </c>
      <c r="M84">
        <v>4000</v>
      </c>
    </row>
    <row r="85" spans="1:13" x14ac:dyDescent="0.25">
      <c r="A85">
        <v>84</v>
      </c>
      <c r="B85">
        <v>2025</v>
      </c>
      <c r="C85">
        <v>9</v>
      </c>
      <c r="D85">
        <v>14</v>
      </c>
      <c r="E85">
        <v>6</v>
      </c>
      <c r="G85">
        <v>177</v>
      </c>
      <c r="J85" s="154">
        <v>16</v>
      </c>
      <c r="K85">
        <v>16</v>
      </c>
      <c r="L85" t="s">
        <v>205</v>
      </c>
      <c r="M85">
        <v>3.5</v>
      </c>
    </row>
    <row r="86" spans="1:13" x14ac:dyDescent="0.25">
      <c r="A86">
        <v>85</v>
      </c>
      <c r="B86">
        <v>2025</v>
      </c>
      <c r="C86">
        <v>10</v>
      </c>
      <c r="D86">
        <v>14</v>
      </c>
      <c r="E86">
        <v>7</v>
      </c>
      <c r="G86">
        <v>1</v>
      </c>
      <c r="J86" s="154">
        <v>15</v>
      </c>
      <c r="K86">
        <v>15</v>
      </c>
      <c r="L86" t="s">
        <v>204</v>
      </c>
      <c r="M86">
        <v>4000</v>
      </c>
    </row>
    <row r="87" spans="1:13" x14ac:dyDescent="0.25">
      <c r="A87">
        <v>86</v>
      </c>
      <c r="B87">
        <v>2025</v>
      </c>
      <c r="C87">
        <v>11</v>
      </c>
      <c r="D87">
        <v>14</v>
      </c>
      <c r="E87">
        <v>8</v>
      </c>
      <c r="G87">
        <v>1</v>
      </c>
      <c r="J87" s="154">
        <v>15</v>
      </c>
      <c r="K87">
        <v>15</v>
      </c>
      <c r="L87" t="s">
        <v>204</v>
      </c>
      <c r="M87">
        <v>4000</v>
      </c>
    </row>
    <row r="88" spans="1:13" x14ac:dyDescent="0.25">
      <c r="A88">
        <v>87</v>
      </c>
      <c r="B88">
        <v>2025</v>
      </c>
      <c r="C88">
        <v>11</v>
      </c>
      <c r="D88">
        <v>14</v>
      </c>
      <c r="E88">
        <v>8</v>
      </c>
      <c r="G88">
        <v>198</v>
      </c>
      <c r="J88" s="154">
        <v>16</v>
      </c>
      <c r="K88">
        <v>16</v>
      </c>
      <c r="L88" t="s">
        <v>205</v>
      </c>
      <c r="M88">
        <v>3.5</v>
      </c>
    </row>
    <row r="89" spans="1:13" x14ac:dyDescent="0.25">
      <c r="A89">
        <v>88</v>
      </c>
      <c r="B89">
        <v>2025</v>
      </c>
      <c r="C89">
        <v>3</v>
      </c>
      <c r="D89">
        <v>30</v>
      </c>
      <c r="E89">
        <v>3</v>
      </c>
      <c r="G89">
        <v>1</v>
      </c>
      <c r="J89" s="154">
        <v>3</v>
      </c>
      <c r="K89">
        <v>3</v>
      </c>
      <c r="L89" t="s">
        <v>415</v>
      </c>
      <c r="M89">
        <v>5500</v>
      </c>
    </row>
    <row r="90" spans="1:13" x14ac:dyDescent="0.25">
      <c r="A90">
        <v>89</v>
      </c>
      <c r="B90">
        <v>2025</v>
      </c>
      <c r="C90">
        <v>3</v>
      </c>
      <c r="D90">
        <v>30</v>
      </c>
      <c r="E90">
        <v>3</v>
      </c>
      <c r="G90">
        <v>1</v>
      </c>
      <c r="J90" s="154">
        <v>4</v>
      </c>
      <c r="K90">
        <v>4</v>
      </c>
      <c r="L90" t="s">
        <v>416</v>
      </c>
      <c r="M90">
        <v>5500</v>
      </c>
    </row>
    <row r="91" spans="1:13" x14ac:dyDescent="0.25">
      <c r="A91">
        <v>90</v>
      </c>
      <c r="B91">
        <v>2025</v>
      </c>
      <c r="C91">
        <v>4</v>
      </c>
      <c r="D91">
        <v>30</v>
      </c>
      <c r="E91">
        <v>4</v>
      </c>
      <c r="G91">
        <v>1</v>
      </c>
      <c r="J91" s="154">
        <v>3</v>
      </c>
      <c r="K91">
        <v>3</v>
      </c>
      <c r="L91" t="s">
        <v>415</v>
      </c>
      <c r="M91">
        <v>5500</v>
      </c>
    </row>
    <row r="92" spans="1:13" x14ac:dyDescent="0.25">
      <c r="A92">
        <v>91</v>
      </c>
      <c r="B92">
        <v>2025</v>
      </c>
      <c r="C92">
        <v>4</v>
      </c>
      <c r="D92">
        <v>30</v>
      </c>
      <c r="E92">
        <v>4</v>
      </c>
      <c r="G92">
        <v>1</v>
      </c>
      <c r="J92" s="154">
        <v>4</v>
      </c>
      <c r="K92">
        <v>4</v>
      </c>
      <c r="L92" t="s">
        <v>416</v>
      </c>
      <c r="M92">
        <v>5500</v>
      </c>
    </row>
    <row r="93" spans="1:13" x14ac:dyDescent="0.25">
      <c r="A93">
        <v>92</v>
      </c>
      <c r="B93">
        <v>2025</v>
      </c>
      <c r="C93">
        <v>5</v>
      </c>
      <c r="D93">
        <v>30</v>
      </c>
      <c r="E93">
        <v>5</v>
      </c>
      <c r="G93">
        <v>1</v>
      </c>
      <c r="J93" s="154">
        <v>4</v>
      </c>
      <c r="K93">
        <v>4</v>
      </c>
      <c r="L93" t="s">
        <v>416</v>
      </c>
      <c r="M93">
        <v>5500</v>
      </c>
    </row>
    <row r="94" spans="1:13" x14ac:dyDescent="0.25">
      <c r="A94">
        <v>93</v>
      </c>
      <c r="B94">
        <v>2025</v>
      </c>
      <c r="C94">
        <v>6</v>
      </c>
      <c r="D94">
        <v>30</v>
      </c>
      <c r="E94">
        <v>6</v>
      </c>
      <c r="G94">
        <v>1</v>
      </c>
      <c r="J94" s="154">
        <v>4</v>
      </c>
      <c r="K94">
        <v>4</v>
      </c>
      <c r="L94" t="s">
        <v>416</v>
      </c>
      <c r="M94">
        <v>5500</v>
      </c>
    </row>
    <row r="95" spans="1:13" x14ac:dyDescent="0.25">
      <c r="A95">
        <v>94</v>
      </c>
      <c r="B95">
        <v>2025</v>
      </c>
      <c r="C95">
        <v>7</v>
      </c>
      <c r="D95">
        <v>30</v>
      </c>
      <c r="E95">
        <v>7</v>
      </c>
      <c r="G95">
        <v>1</v>
      </c>
      <c r="J95" s="154">
        <v>4</v>
      </c>
      <c r="K95">
        <v>4</v>
      </c>
      <c r="L95" t="s">
        <v>416</v>
      </c>
      <c r="M95">
        <v>5500</v>
      </c>
    </row>
    <row r="96" spans="1:13" x14ac:dyDescent="0.25">
      <c r="A96">
        <v>95</v>
      </c>
      <c r="B96">
        <v>2025</v>
      </c>
      <c r="C96">
        <v>8</v>
      </c>
      <c r="D96">
        <v>30</v>
      </c>
      <c r="E96">
        <v>8</v>
      </c>
      <c r="G96">
        <v>1</v>
      </c>
      <c r="J96" s="154">
        <v>4</v>
      </c>
      <c r="K96">
        <v>4</v>
      </c>
      <c r="L96" t="s">
        <v>416</v>
      </c>
      <c r="M96">
        <v>5500</v>
      </c>
    </row>
    <row r="97" spans="1:13" x14ac:dyDescent="0.25">
      <c r="A97">
        <v>96</v>
      </c>
      <c r="B97">
        <v>2025</v>
      </c>
      <c r="C97">
        <v>9</v>
      </c>
      <c r="D97">
        <v>30</v>
      </c>
      <c r="E97">
        <v>9</v>
      </c>
      <c r="G97">
        <v>1</v>
      </c>
      <c r="J97" s="154">
        <v>4</v>
      </c>
      <c r="K97">
        <v>4</v>
      </c>
      <c r="L97" t="s">
        <v>416</v>
      </c>
      <c r="M97">
        <v>5500</v>
      </c>
    </row>
    <row r="98" spans="1:13" x14ac:dyDescent="0.25">
      <c r="A98">
        <v>97</v>
      </c>
      <c r="B98">
        <v>2025</v>
      </c>
      <c r="C98">
        <v>10</v>
      </c>
      <c r="D98">
        <v>30</v>
      </c>
      <c r="E98">
        <v>10</v>
      </c>
      <c r="G98">
        <v>1</v>
      </c>
      <c r="J98" s="154">
        <v>4</v>
      </c>
      <c r="K98">
        <v>4</v>
      </c>
      <c r="L98" t="s">
        <v>416</v>
      </c>
      <c r="M98">
        <v>5500</v>
      </c>
    </row>
    <row r="99" spans="1:13" x14ac:dyDescent="0.25">
      <c r="A99">
        <v>98</v>
      </c>
      <c r="B99">
        <v>2025</v>
      </c>
      <c r="C99">
        <v>11</v>
      </c>
      <c r="D99">
        <v>30</v>
      </c>
      <c r="E99">
        <v>11</v>
      </c>
      <c r="G99">
        <v>1</v>
      </c>
      <c r="J99" s="154">
        <v>4</v>
      </c>
      <c r="K99">
        <v>4</v>
      </c>
      <c r="L99" t="s">
        <v>416</v>
      </c>
      <c r="M99">
        <v>5500</v>
      </c>
    </row>
    <row r="100" spans="1:13" x14ac:dyDescent="0.25">
      <c r="A100">
        <v>99</v>
      </c>
      <c r="B100">
        <v>2025</v>
      </c>
      <c r="C100">
        <v>2</v>
      </c>
      <c r="D100">
        <v>31</v>
      </c>
      <c r="E100">
        <v>1</v>
      </c>
      <c r="G100">
        <v>2956</v>
      </c>
      <c r="J100" s="154" t="s">
        <v>423</v>
      </c>
      <c r="K100" t="s">
        <v>423</v>
      </c>
      <c r="L100" t="s">
        <v>235</v>
      </c>
      <c r="M100">
        <v>1</v>
      </c>
    </row>
    <row r="101" spans="1:13" x14ac:dyDescent="0.25">
      <c r="A101">
        <v>100</v>
      </c>
      <c r="B101">
        <v>2025</v>
      </c>
      <c r="C101">
        <v>2</v>
      </c>
      <c r="D101">
        <v>31</v>
      </c>
      <c r="E101">
        <v>1</v>
      </c>
      <c r="G101">
        <v>2956</v>
      </c>
      <c r="J101" s="154" t="s">
        <v>419</v>
      </c>
      <c r="K101" t="s">
        <v>419</v>
      </c>
      <c r="L101" t="s">
        <v>738</v>
      </c>
      <c r="M101">
        <v>-1</v>
      </c>
    </row>
    <row r="102" spans="1:13" x14ac:dyDescent="0.25">
      <c r="A102">
        <v>101</v>
      </c>
      <c r="B102">
        <v>2025</v>
      </c>
      <c r="C102">
        <v>3</v>
      </c>
      <c r="D102">
        <v>31</v>
      </c>
      <c r="E102">
        <v>2</v>
      </c>
      <c r="G102">
        <f>SUMIFS(log_daily_records!AP:AP,log_daily_records!E:E,D102,log_daily_records!F:F,E102)</f>
        <v>11129.910000000002</v>
      </c>
      <c r="J102" t="s">
        <v>423</v>
      </c>
      <c r="K102" t="s">
        <v>423</v>
      </c>
      <c r="L102" t="s">
        <v>235</v>
      </c>
      <c r="M102">
        <v>1</v>
      </c>
    </row>
    <row r="103" spans="1:13" x14ac:dyDescent="0.25">
      <c r="A103">
        <v>102</v>
      </c>
      <c r="B103">
        <v>2025</v>
      </c>
      <c r="C103">
        <v>3</v>
      </c>
      <c r="D103">
        <v>31</v>
      </c>
      <c r="E103">
        <v>2</v>
      </c>
      <c r="G103">
        <v>9319</v>
      </c>
      <c r="J103" t="s">
        <v>419</v>
      </c>
      <c r="K103" t="s">
        <v>419</v>
      </c>
      <c r="L103" t="s">
        <v>738</v>
      </c>
      <c r="M103">
        <v>-1</v>
      </c>
    </row>
    <row r="104" spans="1:13" x14ac:dyDescent="0.25">
      <c r="A104">
        <v>103</v>
      </c>
      <c r="B104">
        <v>2025</v>
      </c>
      <c r="C104">
        <v>3</v>
      </c>
      <c r="D104">
        <v>31</v>
      </c>
      <c r="E104">
        <v>2</v>
      </c>
      <c r="G104">
        <v>100</v>
      </c>
      <c r="J104" t="s">
        <v>428</v>
      </c>
      <c r="K104" t="s">
        <v>428</v>
      </c>
      <c r="L104" t="s">
        <v>741</v>
      </c>
      <c r="M104">
        <v>-1</v>
      </c>
    </row>
    <row r="105" spans="1:13" x14ac:dyDescent="0.25">
      <c r="A105">
        <v>104</v>
      </c>
      <c r="B105">
        <v>2025</v>
      </c>
      <c r="C105">
        <v>4</v>
      </c>
      <c r="D105">
        <v>31</v>
      </c>
      <c r="E105">
        <v>3</v>
      </c>
      <c r="G105">
        <f>SUMIFS(log_daily_records!AP:AP,log_daily_records!E:E,D105,log_daily_records!F:F,E105)</f>
        <v>7666.7399999999989</v>
      </c>
      <c r="J105" t="s">
        <v>423</v>
      </c>
      <c r="K105" t="s">
        <v>423</v>
      </c>
      <c r="L105" t="s">
        <v>235</v>
      </c>
      <c r="M105">
        <v>1</v>
      </c>
    </row>
    <row r="106" spans="1:13" x14ac:dyDescent="0.25">
      <c r="A106">
        <v>105</v>
      </c>
      <c r="B106">
        <v>2025</v>
      </c>
      <c r="C106">
        <v>4</v>
      </c>
      <c r="D106">
        <v>31</v>
      </c>
      <c r="E106">
        <v>3</v>
      </c>
      <c r="G106">
        <v>6009</v>
      </c>
      <c r="J106" t="s">
        <v>419</v>
      </c>
      <c r="K106" t="s">
        <v>419</v>
      </c>
      <c r="L106" t="s">
        <v>738</v>
      </c>
      <c r="M106">
        <v>-1</v>
      </c>
    </row>
    <row r="107" spans="1:13" x14ac:dyDescent="0.25">
      <c r="A107">
        <v>106</v>
      </c>
      <c r="B107">
        <v>2025</v>
      </c>
      <c r="C107">
        <v>5</v>
      </c>
      <c r="D107">
        <v>31</v>
      </c>
      <c r="E107">
        <v>4</v>
      </c>
      <c r="G107">
        <f>SUMIFS(log_daily_records!AP:AP,log_daily_records!E:E,D107,log_daily_records!F:F,E107)</f>
        <v>7701.45</v>
      </c>
      <c r="J107" t="s">
        <v>423</v>
      </c>
      <c r="K107" t="s">
        <v>423</v>
      </c>
      <c r="L107" t="s">
        <v>235</v>
      </c>
      <c r="M107">
        <v>1</v>
      </c>
    </row>
    <row r="108" spans="1:13" x14ac:dyDescent="0.25">
      <c r="A108">
        <v>107</v>
      </c>
      <c r="B108">
        <v>2025</v>
      </c>
      <c r="C108">
        <v>5</v>
      </c>
      <c r="D108">
        <v>31</v>
      </c>
      <c r="E108">
        <v>4</v>
      </c>
      <c r="G108">
        <v>6357</v>
      </c>
      <c r="J108" t="s">
        <v>419</v>
      </c>
      <c r="K108" t="s">
        <v>419</v>
      </c>
      <c r="L108" t="s">
        <v>738</v>
      </c>
      <c r="M108">
        <v>-1</v>
      </c>
    </row>
    <row r="109" spans="1:13" x14ac:dyDescent="0.25">
      <c r="A109">
        <v>108</v>
      </c>
      <c r="B109">
        <v>2025</v>
      </c>
      <c r="C109">
        <v>6</v>
      </c>
      <c r="D109">
        <v>31</v>
      </c>
      <c r="E109">
        <v>5</v>
      </c>
      <c r="G109">
        <f>SUMIFS(log_daily_records!AP:AP,log_daily_records!E:E,D109,log_daily_records!F:F,E109)</f>
        <v>8670.24</v>
      </c>
      <c r="J109" t="s">
        <v>423</v>
      </c>
      <c r="K109" t="s">
        <v>423</v>
      </c>
      <c r="L109" t="s">
        <v>235</v>
      </c>
      <c r="M109">
        <v>1</v>
      </c>
    </row>
    <row r="110" spans="1:13" x14ac:dyDescent="0.25">
      <c r="A110">
        <v>109</v>
      </c>
      <c r="B110">
        <v>2025</v>
      </c>
      <c r="C110">
        <v>6</v>
      </c>
      <c r="D110">
        <v>31</v>
      </c>
      <c r="E110">
        <v>5</v>
      </c>
      <c r="G110">
        <v>6873.2350000000006</v>
      </c>
      <c r="J110" t="s">
        <v>419</v>
      </c>
      <c r="K110" t="s">
        <v>419</v>
      </c>
      <c r="L110" t="s">
        <v>738</v>
      </c>
      <c r="M110">
        <v>-1</v>
      </c>
    </row>
    <row r="111" spans="1:13" x14ac:dyDescent="0.25">
      <c r="A111">
        <v>110</v>
      </c>
      <c r="B111">
        <v>2025</v>
      </c>
      <c r="C111">
        <v>7</v>
      </c>
      <c r="D111">
        <v>31</v>
      </c>
      <c r="E111">
        <v>6</v>
      </c>
      <c r="G111">
        <f>SUMIFS(log_daily_records!AP:AP,log_daily_records!E:E,D111,log_daily_records!F:F,E111)-751.13</f>
        <v>7430.7399999999989</v>
      </c>
      <c r="I111" s="163" t="s">
        <v>452</v>
      </c>
      <c r="J111" t="s">
        <v>423</v>
      </c>
      <c r="K111" t="s">
        <v>423</v>
      </c>
      <c r="L111" t="s">
        <v>235</v>
      </c>
      <c r="M111">
        <v>1</v>
      </c>
    </row>
    <row r="112" spans="1:13" x14ac:dyDescent="0.25">
      <c r="A112">
        <v>111</v>
      </c>
      <c r="B112">
        <v>2025</v>
      </c>
      <c r="C112">
        <v>7</v>
      </c>
      <c r="D112">
        <v>31</v>
      </c>
      <c r="E112">
        <v>6</v>
      </c>
      <c r="G112">
        <v>7221</v>
      </c>
      <c r="J112" t="s">
        <v>419</v>
      </c>
      <c r="K112" t="s">
        <v>419</v>
      </c>
      <c r="L112" t="s">
        <v>738</v>
      </c>
      <c r="M112">
        <v>-1</v>
      </c>
    </row>
    <row r="113" spans="1:13" x14ac:dyDescent="0.25">
      <c r="A113">
        <v>112</v>
      </c>
      <c r="B113">
        <v>2025</v>
      </c>
      <c r="C113">
        <v>8</v>
      </c>
      <c r="D113">
        <v>31</v>
      </c>
      <c r="E113">
        <v>7</v>
      </c>
      <c r="F113" t="s">
        <v>259</v>
      </c>
      <c r="G113">
        <v>27</v>
      </c>
      <c r="J113">
        <v>31</v>
      </c>
      <c r="K113">
        <v>31</v>
      </c>
      <c r="L113" t="s">
        <v>298</v>
      </c>
      <c r="M113">
        <v>55.36</v>
      </c>
    </row>
    <row r="114" spans="1:13" x14ac:dyDescent="0.25">
      <c r="A114">
        <v>113</v>
      </c>
      <c r="B114">
        <v>2025</v>
      </c>
      <c r="C114">
        <v>8</v>
      </c>
      <c r="D114">
        <v>31</v>
      </c>
      <c r="E114">
        <v>7</v>
      </c>
      <c r="F114" t="s">
        <v>259</v>
      </c>
      <c r="G114">
        <v>64</v>
      </c>
      <c r="J114">
        <v>29</v>
      </c>
      <c r="K114">
        <v>29</v>
      </c>
      <c r="L114" t="s">
        <v>296</v>
      </c>
      <c r="M114">
        <v>5.5359999999999996</v>
      </c>
    </row>
    <row r="115" spans="1:13" x14ac:dyDescent="0.25">
      <c r="A115">
        <v>114</v>
      </c>
      <c r="B115">
        <v>2025</v>
      </c>
      <c r="C115">
        <v>8</v>
      </c>
      <c r="D115">
        <v>31</v>
      </c>
      <c r="E115">
        <v>7</v>
      </c>
      <c r="G115">
        <f>SUMIFS(log_daily_records!AP:AP,log_daily_records!E:E,D115,log_daily_records!F:F,E115)+140</f>
        <v>10262.759999999998</v>
      </c>
      <c r="I115" s="163" t="s">
        <v>453</v>
      </c>
      <c r="J115" t="s">
        <v>423</v>
      </c>
      <c r="K115" t="s">
        <v>423</v>
      </c>
      <c r="L115" t="s">
        <v>235</v>
      </c>
      <c r="M115">
        <v>1</v>
      </c>
    </row>
    <row r="116" spans="1:13" x14ac:dyDescent="0.25">
      <c r="A116">
        <v>115</v>
      </c>
      <c r="B116">
        <v>2025</v>
      </c>
      <c r="C116">
        <v>8</v>
      </c>
      <c r="D116">
        <v>31</v>
      </c>
      <c r="E116">
        <v>7</v>
      </c>
      <c r="G116">
        <v>8379.42</v>
      </c>
      <c r="J116" t="s">
        <v>419</v>
      </c>
      <c r="K116" t="s">
        <v>419</v>
      </c>
      <c r="L116" t="s">
        <v>738</v>
      </c>
      <c r="M116">
        <v>-1</v>
      </c>
    </row>
    <row r="117" spans="1:13" x14ac:dyDescent="0.25">
      <c r="A117">
        <v>116</v>
      </c>
      <c r="B117">
        <v>2025</v>
      </c>
      <c r="C117">
        <v>9</v>
      </c>
      <c r="D117">
        <v>31</v>
      </c>
      <c r="E117">
        <v>8</v>
      </c>
      <c r="F117" t="s">
        <v>259</v>
      </c>
      <c r="G117">
        <v>30</v>
      </c>
      <c r="H117" t="s">
        <v>650</v>
      </c>
      <c r="J117">
        <v>31</v>
      </c>
      <c r="K117">
        <v>31</v>
      </c>
      <c r="L117" t="s">
        <v>298</v>
      </c>
      <c r="M117">
        <v>55.36</v>
      </c>
    </row>
    <row r="118" spans="1:13" x14ac:dyDescent="0.25">
      <c r="A118">
        <v>117</v>
      </c>
      <c r="B118">
        <v>2025</v>
      </c>
      <c r="C118">
        <v>9</v>
      </c>
      <c r="D118">
        <v>31</v>
      </c>
      <c r="E118">
        <v>8</v>
      </c>
      <c r="F118" t="s">
        <v>259</v>
      </c>
      <c r="G118">
        <v>67</v>
      </c>
      <c r="H118" t="s">
        <v>651</v>
      </c>
      <c r="J118">
        <v>29</v>
      </c>
      <c r="K118">
        <v>29</v>
      </c>
      <c r="L118" t="s">
        <v>296</v>
      </c>
      <c r="M118">
        <v>5.5359999999999996</v>
      </c>
    </row>
    <row r="119" spans="1:13" x14ac:dyDescent="0.25">
      <c r="A119">
        <v>118</v>
      </c>
      <c r="B119">
        <v>2025</v>
      </c>
      <c r="C119">
        <v>9</v>
      </c>
      <c r="D119">
        <v>31</v>
      </c>
      <c r="E119">
        <v>8</v>
      </c>
      <c r="G119">
        <f>SUMIFS(log_daily_records!AP:AP,log_daily_records!E:E,D119,log_daily_records!F:F,E119)</f>
        <v>11888.04</v>
      </c>
      <c r="J119" t="s">
        <v>423</v>
      </c>
      <c r="K119" t="s">
        <v>423</v>
      </c>
      <c r="L119" t="s">
        <v>235</v>
      </c>
      <c r="M119">
        <v>1</v>
      </c>
    </row>
    <row r="120" spans="1:13" x14ac:dyDescent="0.25">
      <c r="A120">
        <v>119</v>
      </c>
      <c r="B120">
        <v>2025</v>
      </c>
      <c r="C120">
        <v>9</v>
      </c>
      <c r="D120">
        <v>31</v>
      </c>
      <c r="E120">
        <v>8</v>
      </c>
      <c r="G120">
        <v>9645</v>
      </c>
      <c r="J120" t="s">
        <v>419</v>
      </c>
      <c r="K120" t="s">
        <v>419</v>
      </c>
      <c r="L120" t="s">
        <v>738</v>
      </c>
      <c r="M120">
        <v>-1</v>
      </c>
    </row>
    <row r="121" spans="1:13" x14ac:dyDescent="0.25">
      <c r="A121">
        <v>120</v>
      </c>
      <c r="B121">
        <v>2025</v>
      </c>
      <c r="C121">
        <v>10</v>
      </c>
      <c r="D121">
        <v>31</v>
      </c>
      <c r="E121">
        <v>9</v>
      </c>
      <c r="F121" t="s">
        <v>259</v>
      </c>
      <c r="G121">
        <v>1</v>
      </c>
      <c r="H121" t="s">
        <v>650</v>
      </c>
      <c r="J121">
        <v>31</v>
      </c>
      <c r="K121">
        <v>31</v>
      </c>
      <c r="L121" t="s">
        <v>298</v>
      </c>
      <c r="M121">
        <v>55.36</v>
      </c>
    </row>
    <row r="122" spans="1:13" x14ac:dyDescent="0.25">
      <c r="A122">
        <v>121</v>
      </c>
      <c r="B122">
        <v>2025</v>
      </c>
      <c r="C122">
        <v>10</v>
      </c>
      <c r="D122">
        <v>31</v>
      </c>
      <c r="E122">
        <v>9</v>
      </c>
      <c r="F122" t="s">
        <v>259</v>
      </c>
      <c r="G122">
        <v>20</v>
      </c>
      <c r="H122" t="s">
        <v>651</v>
      </c>
      <c r="I122" t="s">
        <v>451</v>
      </c>
      <c r="J122">
        <v>29</v>
      </c>
      <c r="K122">
        <v>29</v>
      </c>
      <c r="L122" t="s">
        <v>296</v>
      </c>
      <c r="M122">
        <v>5.5359999999999996</v>
      </c>
    </row>
    <row r="123" spans="1:13" x14ac:dyDescent="0.25">
      <c r="A123">
        <v>122</v>
      </c>
      <c r="B123">
        <v>2025</v>
      </c>
      <c r="C123">
        <v>10</v>
      </c>
      <c r="D123">
        <v>31</v>
      </c>
      <c r="E123">
        <v>9</v>
      </c>
      <c r="G123">
        <f>SUMIFS(log_daily_records!AP:AP,log_daily_records!E:E,D123,log_daily_records!F:F,E123)</f>
        <v>12646.799928500002</v>
      </c>
      <c r="J123" t="s">
        <v>423</v>
      </c>
      <c r="K123" t="s">
        <v>423</v>
      </c>
      <c r="L123" t="s">
        <v>235</v>
      </c>
      <c r="M123">
        <v>1</v>
      </c>
    </row>
    <row r="124" spans="1:13" x14ac:dyDescent="0.25">
      <c r="A124">
        <v>123</v>
      </c>
      <c r="B124">
        <v>2025</v>
      </c>
      <c r="C124">
        <v>10</v>
      </c>
      <c r="D124">
        <v>31</v>
      </c>
      <c r="E124">
        <v>9</v>
      </c>
      <c r="G124">
        <v>10987</v>
      </c>
      <c r="J124" t="s">
        <v>419</v>
      </c>
      <c r="K124" t="s">
        <v>419</v>
      </c>
      <c r="L124" t="s">
        <v>738</v>
      </c>
      <c r="M124">
        <v>-1</v>
      </c>
    </row>
    <row r="125" spans="1:13" x14ac:dyDescent="0.25">
      <c r="A125">
        <v>124</v>
      </c>
      <c r="B125">
        <v>2025</v>
      </c>
      <c r="C125">
        <v>11</v>
      </c>
      <c r="D125">
        <v>31</v>
      </c>
      <c r="E125">
        <v>10</v>
      </c>
      <c r="G125">
        <f>SUMIFS(log_daily_records!AP:AP,log_daily_records!E:E,D125,log_daily_records!F:F,E125)</f>
        <v>12886.4409977</v>
      </c>
      <c r="J125" t="s">
        <v>423</v>
      </c>
      <c r="K125" t="s">
        <v>423</v>
      </c>
      <c r="L125" t="s">
        <v>235</v>
      </c>
      <c r="M125">
        <v>1</v>
      </c>
    </row>
    <row r="126" spans="1:13" x14ac:dyDescent="0.25">
      <c r="A126">
        <v>125</v>
      </c>
      <c r="B126">
        <v>2025</v>
      </c>
      <c r="C126">
        <v>11</v>
      </c>
      <c r="D126">
        <v>31</v>
      </c>
      <c r="E126">
        <v>10</v>
      </c>
      <c r="G126">
        <v>11358</v>
      </c>
      <c r="J126" t="s">
        <v>419</v>
      </c>
      <c r="K126" t="s">
        <v>419</v>
      </c>
      <c r="L126" t="s">
        <v>738</v>
      </c>
      <c r="M126">
        <v>-1</v>
      </c>
    </row>
    <row r="127" spans="1:13" x14ac:dyDescent="0.25">
      <c r="A127">
        <v>126</v>
      </c>
      <c r="B127">
        <v>2025</v>
      </c>
      <c r="C127">
        <v>11</v>
      </c>
      <c r="D127">
        <v>31</v>
      </c>
      <c r="E127">
        <v>10</v>
      </c>
      <c r="G127">
        <v>58</v>
      </c>
      <c r="J127" t="s">
        <v>466</v>
      </c>
      <c r="K127" t="s">
        <v>466</v>
      </c>
      <c r="L127" t="s">
        <v>739</v>
      </c>
      <c r="M127">
        <v>-55.36</v>
      </c>
    </row>
    <row r="128" spans="1:13" x14ac:dyDescent="0.25">
      <c r="A128">
        <v>127</v>
      </c>
      <c r="B128">
        <v>2025</v>
      </c>
      <c r="C128">
        <v>11</v>
      </c>
      <c r="D128">
        <v>31</v>
      </c>
      <c r="E128">
        <v>10</v>
      </c>
      <c r="G128">
        <v>150.999</v>
      </c>
      <c r="J128" t="s">
        <v>467</v>
      </c>
      <c r="K128" t="s">
        <v>467</v>
      </c>
      <c r="L128" t="s">
        <v>740</v>
      </c>
      <c r="M128">
        <v>-5.5359999999999996</v>
      </c>
    </row>
    <row r="129" spans="1:13" x14ac:dyDescent="0.25">
      <c r="A129">
        <v>128</v>
      </c>
      <c r="B129">
        <v>2024</v>
      </c>
      <c r="C129">
        <v>9</v>
      </c>
      <c r="D129">
        <v>33</v>
      </c>
      <c r="E129">
        <v>4</v>
      </c>
      <c r="G129">
        <v>19225</v>
      </c>
      <c r="J129" s="154">
        <v>1</v>
      </c>
      <c r="K129">
        <v>1</v>
      </c>
      <c r="L129" t="s">
        <v>545</v>
      </c>
      <c r="M129">
        <v>1.5</v>
      </c>
    </row>
    <row r="130" spans="1:13" x14ac:dyDescent="0.25">
      <c r="A130">
        <v>129</v>
      </c>
      <c r="B130">
        <v>2024</v>
      </c>
      <c r="C130">
        <v>9</v>
      </c>
      <c r="D130">
        <v>33</v>
      </c>
      <c r="E130">
        <v>4</v>
      </c>
      <c r="G130">
        <v>25773</v>
      </c>
      <c r="J130">
        <v>2</v>
      </c>
      <c r="K130">
        <v>2</v>
      </c>
      <c r="L130" t="s">
        <v>546</v>
      </c>
      <c r="M130">
        <v>4.7</v>
      </c>
    </row>
    <row r="131" spans="1:13" x14ac:dyDescent="0.25">
      <c r="A131">
        <v>130</v>
      </c>
      <c r="B131">
        <v>2024</v>
      </c>
      <c r="C131">
        <v>9</v>
      </c>
      <c r="D131">
        <v>33</v>
      </c>
      <c r="E131">
        <v>4</v>
      </c>
      <c r="G131">
        <v>21414</v>
      </c>
      <c r="J131">
        <v>3</v>
      </c>
      <c r="K131">
        <v>3</v>
      </c>
      <c r="L131" t="s">
        <v>547</v>
      </c>
      <c r="M131">
        <v>4.7</v>
      </c>
    </row>
    <row r="132" spans="1:13" x14ac:dyDescent="0.25">
      <c r="A132">
        <v>131</v>
      </c>
      <c r="B132">
        <v>2024</v>
      </c>
      <c r="C132">
        <v>9</v>
      </c>
      <c r="D132">
        <v>33</v>
      </c>
      <c r="E132">
        <v>4</v>
      </c>
      <c r="G132">
        <v>0</v>
      </c>
      <c r="J132">
        <v>4</v>
      </c>
      <c r="K132">
        <v>4</v>
      </c>
      <c r="L132" t="s">
        <v>548</v>
      </c>
      <c r="M132">
        <v>4.7</v>
      </c>
    </row>
    <row r="133" spans="1:13" x14ac:dyDescent="0.25">
      <c r="A133">
        <v>132</v>
      </c>
      <c r="B133">
        <v>2024</v>
      </c>
      <c r="C133">
        <v>9</v>
      </c>
      <c r="D133">
        <v>33</v>
      </c>
      <c r="E133">
        <v>4</v>
      </c>
      <c r="G133">
        <v>3363</v>
      </c>
      <c r="J133">
        <v>5</v>
      </c>
      <c r="K133">
        <v>5</v>
      </c>
      <c r="L133" t="s">
        <v>549</v>
      </c>
      <c r="M133">
        <v>3.85</v>
      </c>
    </row>
    <row r="134" spans="1:13" x14ac:dyDescent="0.25">
      <c r="A134">
        <v>133</v>
      </c>
      <c r="B134">
        <v>2024</v>
      </c>
      <c r="C134">
        <v>9</v>
      </c>
      <c r="D134">
        <v>33</v>
      </c>
      <c r="E134">
        <v>4</v>
      </c>
      <c r="G134">
        <v>0</v>
      </c>
      <c r="J134">
        <v>6</v>
      </c>
      <c r="K134">
        <v>6</v>
      </c>
      <c r="L134" t="s">
        <v>550</v>
      </c>
      <c r="M134">
        <v>1.5</v>
      </c>
    </row>
    <row r="135" spans="1:13" x14ac:dyDescent="0.25">
      <c r="A135">
        <v>134</v>
      </c>
      <c r="B135">
        <v>2025</v>
      </c>
      <c r="C135">
        <v>1</v>
      </c>
      <c r="D135">
        <v>33</v>
      </c>
      <c r="E135">
        <v>5</v>
      </c>
      <c r="G135">
        <v>13344</v>
      </c>
      <c r="J135" s="154">
        <v>1</v>
      </c>
      <c r="K135">
        <v>1</v>
      </c>
      <c r="L135" t="s">
        <v>545</v>
      </c>
      <c r="M135">
        <v>1.5</v>
      </c>
    </row>
    <row r="136" spans="1:13" x14ac:dyDescent="0.25">
      <c r="A136">
        <v>135</v>
      </c>
      <c r="B136">
        <v>2025</v>
      </c>
      <c r="C136">
        <v>1</v>
      </c>
      <c r="D136">
        <v>33</v>
      </c>
      <c r="E136">
        <v>5</v>
      </c>
      <c r="G136">
        <v>18963</v>
      </c>
      <c r="J136">
        <v>2</v>
      </c>
      <c r="K136">
        <v>2</v>
      </c>
      <c r="L136" t="s">
        <v>546</v>
      </c>
      <c r="M136">
        <v>4.7</v>
      </c>
    </row>
    <row r="137" spans="1:13" x14ac:dyDescent="0.25">
      <c r="A137">
        <v>136</v>
      </c>
      <c r="B137">
        <v>2025</v>
      </c>
      <c r="C137">
        <v>1</v>
      </c>
      <c r="D137">
        <v>33</v>
      </c>
      <c r="E137">
        <v>5</v>
      </c>
      <c r="G137">
        <v>15716</v>
      </c>
      <c r="J137">
        <v>3</v>
      </c>
      <c r="K137">
        <v>3</v>
      </c>
      <c r="L137" t="s">
        <v>547</v>
      </c>
      <c r="M137">
        <v>4.7</v>
      </c>
    </row>
    <row r="138" spans="1:13" x14ac:dyDescent="0.25">
      <c r="A138">
        <v>137</v>
      </c>
      <c r="B138">
        <v>2025</v>
      </c>
      <c r="C138">
        <v>1</v>
      </c>
      <c r="D138">
        <v>33</v>
      </c>
      <c r="E138">
        <v>5</v>
      </c>
      <c r="G138">
        <v>0</v>
      </c>
      <c r="J138">
        <v>4</v>
      </c>
      <c r="K138">
        <v>4</v>
      </c>
      <c r="L138" t="s">
        <v>548</v>
      </c>
      <c r="M138">
        <v>4.7</v>
      </c>
    </row>
    <row r="139" spans="1:13" x14ac:dyDescent="0.25">
      <c r="A139">
        <v>138</v>
      </c>
      <c r="B139">
        <v>2025</v>
      </c>
      <c r="C139">
        <v>1</v>
      </c>
      <c r="D139">
        <v>33</v>
      </c>
      <c r="E139">
        <v>5</v>
      </c>
      <c r="G139">
        <v>1736</v>
      </c>
      <c r="J139">
        <v>5</v>
      </c>
      <c r="K139">
        <v>5</v>
      </c>
      <c r="L139" t="s">
        <v>549</v>
      </c>
      <c r="M139">
        <v>3.85</v>
      </c>
    </row>
    <row r="140" spans="1:13" x14ac:dyDescent="0.25">
      <c r="A140">
        <v>139</v>
      </c>
      <c r="B140">
        <v>2025</v>
      </c>
      <c r="C140">
        <v>1</v>
      </c>
      <c r="D140">
        <v>33</v>
      </c>
      <c r="E140">
        <v>5</v>
      </c>
      <c r="G140">
        <v>0</v>
      </c>
      <c r="J140">
        <v>6</v>
      </c>
      <c r="K140">
        <v>6</v>
      </c>
      <c r="L140" t="s">
        <v>550</v>
      </c>
      <c r="M140">
        <v>1.5</v>
      </c>
    </row>
    <row r="141" spans="1:13" x14ac:dyDescent="0.25">
      <c r="A141">
        <v>140</v>
      </c>
      <c r="B141">
        <v>2025</v>
      </c>
      <c r="C141">
        <v>2</v>
      </c>
      <c r="D141">
        <v>33</v>
      </c>
      <c r="E141">
        <v>6</v>
      </c>
      <c r="G141">
        <v>-13344</v>
      </c>
      <c r="J141">
        <v>1</v>
      </c>
      <c r="K141">
        <v>1</v>
      </c>
      <c r="L141" t="s">
        <v>545</v>
      </c>
      <c r="M141">
        <v>1.5</v>
      </c>
    </row>
    <row r="142" spans="1:13" x14ac:dyDescent="0.25">
      <c r="A142">
        <v>141</v>
      </c>
      <c r="B142">
        <v>2025</v>
      </c>
      <c r="C142">
        <v>2</v>
      </c>
      <c r="D142">
        <v>33</v>
      </c>
      <c r="E142">
        <v>6</v>
      </c>
      <c r="G142">
        <v>-18963</v>
      </c>
      <c r="J142">
        <v>2</v>
      </c>
      <c r="K142">
        <v>2</v>
      </c>
      <c r="L142" t="s">
        <v>546</v>
      </c>
      <c r="M142">
        <v>4.7</v>
      </c>
    </row>
    <row r="143" spans="1:13" x14ac:dyDescent="0.25">
      <c r="A143">
        <v>142</v>
      </c>
      <c r="B143">
        <v>2025</v>
      </c>
      <c r="C143">
        <v>2</v>
      </c>
      <c r="D143">
        <v>33</v>
      </c>
      <c r="E143">
        <v>6</v>
      </c>
      <c r="G143">
        <v>-15716</v>
      </c>
      <c r="J143">
        <v>3</v>
      </c>
      <c r="K143">
        <v>3</v>
      </c>
      <c r="L143" t="s">
        <v>547</v>
      </c>
      <c r="M143">
        <v>4.7</v>
      </c>
    </row>
    <row r="144" spans="1:13" x14ac:dyDescent="0.25">
      <c r="A144">
        <v>143</v>
      </c>
      <c r="B144">
        <v>2025</v>
      </c>
      <c r="C144">
        <v>2</v>
      </c>
      <c r="D144">
        <v>33</v>
      </c>
      <c r="E144">
        <v>6</v>
      </c>
      <c r="G144">
        <v>-1736</v>
      </c>
      <c r="J144">
        <v>5</v>
      </c>
      <c r="K144">
        <v>5</v>
      </c>
      <c r="L144" t="s">
        <v>549</v>
      </c>
      <c r="M144">
        <v>3.85</v>
      </c>
    </row>
    <row r="145" spans="1:13" x14ac:dyDescent="0.25">
      <c r="A145">
        <v>144</v>
      </c>
      <c r="B145">
        <v>2025</v>
      </c>
      <c r="C145">
        <v>2</v>
      </c>
      <c r="D145">
        <v>33</v>
      </c>
      <c r="E145">
        <v>6</v>
      </c>
      <c r="G145">
        <v>31353</v>
      </c>
      <c r="J145">
        <v>7</v>
      </c>
      <c r="K145">
        <v>7</v>
      </c>
      <c r="L145" t="s">
        <v>552</v>
      </c>
      <c r="M145">
        <v>1.45</v>
      </c>
    </row>
    <row r="146" spans="1:13" x14ac:dyDescent="0.25">
      <c r="A146">
        <v>145</v>
      </c>
      <c r="B146">
        <v>2025</v>
      </c>
      <c r="C146">
        <v>2</v>
      </c>
      <c r="D146">
        <v>33</v>
      </c>
      <c r="E146">
        <v>6</v>
      </c>
      <c r="G146">
        <v>42009</v>
      </c>
      <c r="J146">
        <v>8</v>
      </c>
      <c r="K146">
        <v>8</v>
      </c>
      <c r="L146" t="s">
        <v>553</v>
      </c>
      <c r="M146">
        <v>4.2</v>
      </c>
    </row>
    <row r="147" spans="1:13" x14ac:dyDescent="0.25">
      <c r="A147">
        <v>146</v>
      </c>
      <c r="B147">
        <v>2025</v>
      </c>
      <c r="C147">
        <v>2</v>
      </c>
      <c r="D147">
        <v>33</v>
      </c>
      <c r="E147">
        <v>6</v>
      </c>
      <c r="G147">
        <v>34740</v>
      </c>
      <c r="J147">
        <v>9</v>
      </c>
      <c r="K147">
        <v>9</v>
      </c>
      <c r="L147" t="s">
        <v>554</v>
      </c>
      <c r="M147">
        <v>4.2</v>
      </c>
    </row>
    <row r="148" spans="1:13" x14ac:dyDescent="0.25">
      <c r="A148">
        <v>147</v>
      </c>
      <c r="B148">
        <v>2025</v>
      </c>
      <c r="C148">
        <v>2</v>
      </c>
      <c r="D148">
        <v>33</v>
      </c>
      <c r="E148">
        <v>6</v>
      </c>
      <c r="G148">
        <v>3252</v>
      </c>
      <c r="J148">
        <v>11</v>
      </c>
      <c r="K148">
        <v>11</v>
      </c>
      <c r="L148" t="s">
        <v>556</v>
      </c>
      <c r="M148">
        <v>3.5</v>
      </c>
    </row>
    <row r="149" spans="1:13" x14ac:dyDescent="0.25">
      <c r="A149">
        <v>148</v>
      </c>
      <c r="B149">
        <v>2025</v>
      </c>
      <c r="C149">
        <v>3</v>
      </c>
      <c r="D149">
        <v>33</v>
      </c>
      <c r="E149">
        <v>7</v>
      </c>
      <c r="G149">
        <v>17722</v>
      </c>
      <c r="J149">
        <v>7</v>
      </c>
      <c r="K149">
        <v>7</v>
      </c>
      <c r="L149" t="s">
        <v>552</v>
      </c>
      <c r="M149">
        <v>1.45</v>
      </c>
    </row>
    <row r="150" spans="1:13" x14ac:dyDescent="0.25">
      <c r="A150">
        <v>149</v>
      </c>
      <c r="B150">
        <v>2025</v>
      </c>
      <c r="C150">
        <v>3</v>
      </c>
      <c r="D150">
        <v>33</v>
      </c>
      <c r="E150">
        <v>7</v>
      </c>
      <c r="G150">
        <v>27701</v>
      </c>
      <c r="J150">
        <v>8</v>
      </c>
      <c r="K150">
        <v>8</v>
      </c>
      <c r="L150" t="s">
        <v>553</v>
      </c>
      <c r="M150">
        <v>4.2</v>
      </c>
    </row>
    <row r="151" spans="1:13" x14ac:dyDescent="0.25">
      <c r="A151">
        <v>150</v>
      </c>
      <c r="B151">
        <v>2025</v>
      </c>
      <c r="C151">
        <v>3</v>
      </c>
      <c r="D151">
        <v>33</v>
      </c>
      <c r="E151">
        <v>7</v>
      </c>
      <c r="G151">
        <v>22028</v>
      </c>
      <c r="J151">
        <v>9</v>
      </c>
      <c r="K151">
        <v>9</v>
      </c>
      <c r="L151" t="s">
        <v>554</v>
      </c>
      <c r="M151">
        <v>4.2</v>
      </c>
    </row>
    <row r="152" spans="1:13" x14ac:dyDescent="0.25">
      <c r="A152">
        <v>151</v>
      </c>
      <c r="B152">
        <v>2025</v>
      </c>
      <c r="C152">
        <v>3</v>
      </c>
      <c r="D152">
        <v>33</v>
      </c>
      <c r="E152">
        <v>7</v>
      </c>
      <c r="G152">
        <v>2671</v>
      </c>
      <c r="J152">
        <v>11</v>
      </c>
      <c r="K152">
        <v>11</v>
      </c>
      <c r="L152" t="s">
        <v>556</v>
      </c>
      <c r="M152">
        <v>3.5</v>
      </c>
    </row>
    <row r="153" spans="1:13" x14ac:dyDescent="0.25">
      <c r="A153">
        <v>152</v>
      </c>
      <c r="B153">
        <v>2025</v>
      </c>
      <c r="C153">
        <v>4</v>
      </c>
      <c r="D153">
        <v>33</v>
      </c>
      <c r="E153">
        <v>8</v>
      </c>
      <c r="G153">
        <v>22797</v>
      </c>
      <c r="J153">
        <v>7</v>
      </c>
      <c r="K153">
        <v>7</v>
      </c>
      <c r="L153" t="s">
        <v>552</v>
      </c>
      <c r="M153">
        <v>1.45</v>
      </c>
    </row>
    <row r="154" spans="1:13" x14ac:dyDescent="0.25">
      <c r="A154">
        <v>153</v>
      </c>
      <c r="B154">
        <v>2025</v>
      </c>
      <c r="C154">
        <v>4</v>
      </c>
      <c r="D154">
        <v>33</v>
      </c>
      <c r="E154">
        <v>8</v>
      </c>
      <c r="G154">
        <v>32920</v>
      </c>
      <c r="J154">
        <v>8</v>
      </c>
      <c r="K154">
        <v>8</v>
      </c>
      <c r="L154" t="s">
        <v>553</v>
      </c>
      <c r="M154">
        <v>4.2</v>
      </c>
    </row>
    <row r="155" spans="1:13" x14ac:dyDescent="0.25">
      <c r="A155">
        <v>154</v>
      </c>
      <c r="B155">
        <v>2025</v>
      </c>
      <c r="C155">
        <v>4</v>
      </c>
      <c r="D155">
        <v>33</v>
      </c>
      <c r="E155">
        <v>8</v>
      </c>
      <c r="G155">
        <v>33855</v>
      </c>
      <c r="J155">
        <v>9</v>
      </c>
      <c r="K155">
        <v>9</v>
      </c>
      <c r="L155" t="s">
        <v>554</v>
      </c>
      <c r="M155">
        <v>4.2</v>
      </c>
    </row>
    <row r="156" spans="1:13" x14ac:dyDescent="0.25">
      <c r="A156">
        <v>155</v>
      </c>
      <c r="B156">
        <v>2025</v>
      </c>
      <c r="C156">
        <v>4</v>
      </c>
      <c r="D156">
        <v>33</v>
      </c>
      <c r="E156">
        <v>8</v>
      </c>
      <c r="G156">
        <v>5637</v>
      </c>
      <c r="J156">
        <v>11</v>
      </c>
      <c r="K156">
        <v>11</v>
      </c>
      <c r="L156" t="s">
        <v>556</v>
      </c>
      <c r="M156">
        <v>3.5</v>
      </c>
    </row>
    <row r="157" spans="1:13" x14ac:dyDescent="0.25">
      <c r="A157">
        <v>156</v>
      </c>
      <c r="B157">
        <v>2025</v>
      </c>
      <c r="C157">
        <v>4</v>
      </c>
      <c r="D157">
        <v>33</v>
      </c>
      <c r="E157">
        <v>8</v>
      </c>
      <c r="G157">
        <v>2</v>
      </c>
      <c r="J157" t="s">
        <v>419</v>
      </c>
      <c r="K157" t="s">
        <v>419</v>
      </c>
      <c r="L157" t="s">
        <v>734</v>
      </c>
      <c r="M157">
        <v>-80</v>
      </c>
    </row>
    <row r="158" spans="1:13" x14ac:dyDescent="0.25">
      <c r="A158">
        <v>157</v>
      </c>
      <c r="B158">
        <v>2025</v>
      </c>
      <c r="C158">
        <v>4</v>
      </c>
      <c r="D158">
        <v>33</v>
      </c>
      <c r="E158">
        <v>8</v>
      </c>
      <c r="G158">
        <v>2</v>
      </c>
      <c r="J158" t="s">
        <v>428</v>
      </c>
      <c r="K158" t="s">
        <v>428</v>
      </c>
      <c r="L158" t="s">
        <v>735</v>
      </c>
      <c r="M158">
        <v>-80</v>
      </c>
    </row>
    <row r="159" spans="1:13" x14ac:dyDescent="0.25">
      <c r="A159">
        <v>158</v>
      </c>
      <c r="B159">
        <v>2025</v>
      </c>
      <c r="C159">
        <v>5</v>
      </c>
      <c r="D159">
        <v>33</v>
      </c>
      <c r="E159">
        <v>9</v>
      </c>
      <c r="G159">
        <v>-71872</v>
      </c>
      <c r="J159">
        <v>7</v>
      </c>
      <c r="K159">
        <v>7</v>
      </c>
      <c r="L159" t="s">
        <v>552</v>
      </c>
      <c r="M159">
        <v>1.45</v>
      </c>
    </row>
    <row r="160" spans="1:13" x14ac:dyDescent="0.25">
      <c r="A160">
        <v>159</v>
      </c>
      <c r="B160">
        <v>2025</v>
      </c>
      <c r="C160">
        <v>5</v>
      </c>
      <c r="D160">
        <v>33</v>
      </c>
      <c r="E160">
        <v>9</v>
      </c>
      <c r="G160">
        <v>-102630</v>
      </c>
      <c r="J160">
        <v>8</v>
      </c>
      <c r="K160">
        <v>8</v>
      </c>
      <c r="L160" t="s">
        <v>553</v>
      </c>
      <c r="M160">
        <v>4.2</v>
      </c>
    </row>
    <row r="161" spans="1:13" x14ac:dyDescent="0.25">
      <c r="A161">
        <v>160</v>
      </c>
      <c r="B161">
        <v>2025</v>
      </c>
      <c r="C161">
        <v>5</v>
      </c>
      <c r="D161">
        <v>33</v>
      </c>
      <c r="E161">
        <v>9</v>
      </c>
      <c r="G161">
        <v>-90623</v>
      </c>
      <c r="J161">
        <v>9</v>
      </c>
      <c r="K161">
        <v>9</v>
      </c>
      <c r="L161" t="s">
        <v>554</v>
      </c>
      <c r="M161">
        <v>4.2</v>
      </c>
    </row>
    <row r="162" spans="1:13" x14ac:dyDescent="0.25">
      <c r="A162">
        <v>161</v>
      </c>
      <c r="B162">
        <v>2025</v>
      </c>
      <c r="C162">
        <v>5</v>
      </c>
      <c r="D162">
        <v>33</v>
      </c>
      <c r="E162">
        <v>9</v>
      </c>
      <c r="G162">
        <v>0</v>
      </c>
      <c r="J162">
        <v>10</v>
      </c>
      <c r="K162">
        <v>10</v>
      </c>
      <c r="L162" t="s">
        <v>555</v>
      </c>
      <c r="M162">
        <v>4.2</v>
      </c>
    </row>
    <row r="163" spans="1:13" x14ac:dyDescent="0.25">
      <c r="A163">
        <v>162</v>
      </c>
      <c r="B163">
        <v>2025</v>
      </c>
      <c r="C163">
        <v>5</v>
      </c>
      <c r="D163">
        <v>33</v>
      </c>
      <c r="E163">
        <v>9</v>
      </c>
      <c r="G163">
        <v>-11560</v>
      </c>
      <c r="J163">
        <v>11</v>
      </c>
      <c r="K163">
        <v>11</v>
      </c>
      <c r="L163" t="s">
        <v>556</v>
      </c>
      <c r="M163">
        <v>3.5</v>
      </c>
    </row>
    <row r="164" spans="1:13" x14ac:dyDescent="0.25">
      <c r="A164">
        <v>163</v>
      </c>
      <c r="B164">
        <v>2025</v>
      </c>
      <c r="C164">
        <v>5</v>
      </c>
      <c r="D164">
        <v>33</v>
      </c>
      <c r="E164">
        <v>9</v>
      </c>
      <c r="G164">
        <v>101270</v>
      </c>
      <c r="J164">
        <v>12</v>
      </c>
      <c r="K164">
        <v>12</v>
      </c>
      <c r="L164" t="s">
        <v>558</v>
      </c>
      <c r="M164">
        <v>1.56</v>
      </c>
    </row>
    <row r="165" spans="1:13" x14ac:dyDescent="0.25">
      <c r="A165">
        <v>164</v>
      </c>
      <c r="B165">
        <v>2025</v>
      </c>
      <c r="C165">
        <v>5</v>
      </c>
      <c r="D165">
        <v>33</v>
      </c>
      <c r="E165">
        <v>9</v>
      </c>
      <c r="G165">
        <v>137486</v>
      </c>
      <c r="J165">
        <v>13</v>
      </c>
      <c r="K165">
        <v>13</v>
      </c>
      <c r="L165" t="s">
        <v>559</v>
      </c>
      <c r="M165">
        <v>4.53</v>
      </c>
    </row>
    <row r="166" spans="1:13" x14ac:dyDescent="0.25">
      <c r="A166">
        <v>165</v>
      </c>
      <c r="B166">
        <v>2025</v>
      </c>
      <c r="C166">
        <v>5</v>
      </c>
      <c r="D166">
        <v>33</v>
      </c>
      <c r="E166">
        <v>9</v>
      </c>
      <c r="G166">
        <v>118849</v>
      </c>
      <c r="J166">
        <v>14</v>
      </c>
      <c r="K166">
        <v>14</v>
      </c>
      <c r="L166" t="s">
        <v>560</v>
      </c>
      <c r="M166">
        <v>4.53</v>
      </c>
    </row>
    <row r="167" spans="1:13" x14ac:dyDescent="0.25">
      <c r="A167">
        <v>166</v>
      </c>
      <c r="B167">
        <v>2025</v>
      </c>
      <c r="C167">
        <v>5</v>
      </c>
      <c r="D167">
        <v>33</v>
      </c>
      <c r="E167">
        <v>9</v>
      </c>
      <c r="G167">
        <v>3311</v>
      </c>
      <c r="J167">
        <v>15</v>
      </c>
      <c r="K167">
        <v>15</v>
      </c>
      <c r="L167" t="s">
        <v>561</v>
      </c>
      <c r="M167">
        <v>4.53</v>
      </c>
    </row>
    <row r="168" spans="1:13" x14ac:dyDescent="0.25">
      <c r="A168">
        <v>167</v>
      </c>
      <c r="B168">
        <v>2025</v>
      </c>
      <c r="C168">
        <v>5</v>
      </c>
      <c r="D168">
        <v>33</v>
      </c>
      <c r="E168">
        <v>9</v>
      </c>
      <c r="G168">
        <v>13886</v>
      </c>
      <c r="J168">
        <v>16</v>
      </c>
      <c r="K168">
        <v>16</v>
      </c>
      <c r="L168" t="s">
        <v>562</v>
      </c>
      <c r="M168">
        <v>3.77</v>
      </c>
    </row>
    <row r="169" spans="1:13" x14ac:dyDescent="0.25">
      <c r="A169">
        <v>168</v>
      </c>
      <c r="B169">
        <v>2025</v>
      </c>
      <c r="C169">
        <v>5</v>
      </c>
      <c r="D169">
        <v>33</v>
      </c>
      <c r="E169">
        <v>9</v>
      </c>
      <c r="G169">
        <v>1</v>
      </c>
      <c r="J169" t="s">
        <v>466</v>
      </c>
      <c r="K169" t="s">
        <v>466</v>
      </c>
      <c r="L169" t="s">
        <v>736</v>
      </c>
      <c r="M169">
        <v>-680</v>
      </c>
    </row>
    <row r="170" spans="1:13" x14ac:dyDescent="0.25">
      <c r="A170">
        <v>169</v>
      </c>
      <c r="B170">
        <v>2025</v>
      </c>
      <c r="C170">
        <v>6</v>
      </c>
      <c r="D170">
        <v>33</v>
      </c>
      <c r="E170">
        <v>10</v>
      </c>
      <c r="G170">
        <v>28551</v>
      </c>
      <c r="J170">
        <v>12</v>
      </c>
      <c r="K170">
        <v>12</v>
      </c>
      <c r="L170" t="s">
        <v>558</v>
      </c>
      <c r="M170">
        <v>1.56</v>
      </c>
    </row>
    <row r="171" spans="1:13" x14ac:dyDescent="0.25">
      <c r="A171">
        <v>170</v>
      </c>
      <c r="B171">
        <v>2025</v>
      </c>
      <c r="C171">
        <v>6</v>
      </c>
      <c r="D171">
        <v>33</v>
      </c>
      <c r="E171">
        <v>10</v>
      </c>
      <c r="G171">
        <v>33698</v>
      </c>
      <c r="J171">
        <v>13</v>
      </c>
      <c r="K171">
        <v>13</v>
      </c>
      <c r="L171" t="s">
        <v>559</v>
      </c>
      <c r="M171">
        <v>4.53</v>
      </c>
    </row>
    <row r="172" spans="1:13" x14ac:dyDescent="0.25">
      <c r="A172">
        <v>171</v>
      </c>
      <c r="B172">
        <v>2025</v>
      </c>
      <c r="C172">
        <v>6</v>
      </c>
      <c r="D172">
        <v>33</v>
      </c>
      <c r="E172">
        <v>10</v>
      </c>
      <c r="G172">
        <v>30708</v>
      </c>
      <c r="J172">
        <v>14</v>
      </c>
      <c r="K172">
        <v>14</v>
      </c>
      <c r="L172" t="s">
        <v>560</v>
      </c>
      <c r="M172">
        <v>4.53</v>
      </c>
    </row>
    <row r="173" spans="1:13" x14ac:dyDescent="0.25">
      <c r="A173">
        <v>172</v>
      </c>
      <c r="B173">
        <v>2025</v>
      </c>
      <c r="C173">
        <v>6</v>
      </c>
      <c r="D173">
        <v>33</v>
      </c>
      <c r="E173">
        <v>10</v>
      </c>
      <c r="G173">
        <v>3422</v>
      </c>
      <c r="J173">
        <v>15</v>
      </c>
      <c r="K173">
        <v>15</v>
      </c>
      <c r="L173" t="s">
        <v>561</v>
      </c>
      <c r="M173">
        <v>4.53</v>
      </c>
    </row>
    <row r="174" spans="1:13" x14ac:dyDescent="0.25">
      <c r="A174">
        <v>173</v>
      </c>
      <c r="B174">
        <v>2025</v>
      </c>
      <c r="C174">
        <v>6</v>
      </c>
      <c r="D174">
        <v>33</v>
      </c>
      <c r="E174">
        <v>10</v>
      </c>
      <c r="G174">
        <v>1781</v>
      </c>
      <c r="J174">
        <v>16</v>
      </c>
      <c r="K174">
        <v>16</v>
      </c>
      <c r="L174" t="s">
        <v>562</v>
      </c>
      <c r="M174">
        <v>3.77</v>
      </c>
    </row>
    <row r="175" spans="1:13" x14ac:dyDescent="0.25">
      <c r="A175">
        <v>174</v>
      </c>
      <c r="B175">
        <v>2025</v>
      </c>
      <c r="C175">
        <v>7</v>
      </c>
      <c r="D175">
        <v>33</v>
      </c>
      <c r="E175">
        <v>11</v>
      </c>
      <c r="G175">
        <v>35230</v>
      </c>
      <c r="J175">
        <v>12</v>
      </c>
      <c r="K175">
        <v>12</v>
      </c>
      <c r="L175" t="s">
        <v>558</v>
      </c>
      <c r="M175">
        <v>1.56</v>
      </c>
    </row>
    <row r="176" spans="1:13" x14ac:dyDescent="0.25">
      <c r="A176">
        <v>175</v>
      </c>
      <c r="B176">
        <v>2025</v>
      </c>
      <c r="C176">
        <v>7</v>
      </c>
      <c r="D176">
        <v>33</v>
      </c>
      <c r="E176">
        <v>11</v>
      </c>
      <c r="G176">
        <v>40659</v>
      </c>
      <c r="J176">
        <v>13</v>
      </c>
      <c r="K176">
        <v>13</v>
      </c>
      <c r="L176" t="s">
        <v>559</v>
      </c>
      <c r="M176">
        <v>4.53</v>
      </c>
    </row>
    <row r="177" spans="1:13" x14ac:dyDescent="0.25">
      <c r="A177">
        <v>176</v>
      </c>
      <c r="B177">
        <v>2025</v>
      </c>
      <c r="C177">
        <v>7</v>
      </c>
      <c r="D177">
        <v>33</v>
      </c>
      <c r="E177">
        <v>11</v>
      </c>
      <c r="G177">
        <v>37822</v>
      </c>
      <c r="J177">
        <v>14</v>
      </c>
      <c r="K177">
        <v>14</v>
      </c>
      <c r="L177" t="s">
        <v>560</v>
      </c>
      <c r="M177">
        <v>4.53</v>
      </c>
    </row>
    <row r="178" spans="1:13" x14ac:dyDescent="0.25">
      <c r="A178">
        <v>177</v>
      </c>
      <c r="B178">
        <v>2025</v>
      </c>
      <c r="C178">
        <v>7</v>
      </c>
      <c r="D178">
        <v>33</v>
      </c>
      <c r="E178">
        <v>11</v>
      </c>
      <c r="G178">
        <v>3943</v>
      </c>
      <c r="J178">
        <v>15</v>
      </c>
      <c r="K178">
        <v>15</v>
      </c>
      <c r="L178" t="s">
        <v>561</v>
      </c>
      <c r="M178">
        <v>4.53</v>
      </c>
    </row>
    <row r="179" spans="1:13" x14ac:dyDescent="0.25">
      <c r="A179">
        <v>178</v>
      </c>
      <c r="B179">
        <v>2025</v>
      </c>
      <c r="C179">
        <v>7</v>
      </c>
      <c r="D179">
        <v>33</v>
      </c>
      <c r="E179">
        <v>11</v>
      </c>
      <c r="G179">
        <v>2485</v>
      </c>
      <c r="J179">
        <v>16</v>
      </c>
      <c r="K179">
        <v>16</v>
      </c>
      <c r="L179" t="s">
        <v>562</v>
      </c>
      <c r="M179">
        <v>3.77</v>
      </c>
    </row>
    <row r="180" spans="1:13" x14ac:dyDescent="0.25">
      <c r="A180">
        <v>179</v>
      </c>
      <c r="B180">
        <v>2025</v>
      </c>
      <c r="C180">
        <v>8</v>
      </c>
      <c r="D180">
        <v>33</v>
      </c>
      <c r="E180">
        <v>12</v>
      </c>
      <c r="G180">
        <v>43128</v>
      </c>
      <c r="J180">
        <v>12</v>
      </c>
      <c r="K180">
        <v>12</v>
      </c>
      <c r="L180" t="s">
        <v>558</v>
      </c>
      <c r="M180">
        <v>1.56</v>
      </c>
    </row>
    <row r="181" spans="1:13" x14ac:dyDescent="0.25">
      <c r="A181">
        <v>180</v>
      </c>
      <c r="B181">
        <v>2025</v>
      </c>
      <c r="C181">
        <v>8</v>
      </c>
      <c r="D181">
        <v>33</v>
      </c>
      <c r="E181">
        <v>12</v>
      </c>
      <c r="G181">
        <v>46474</v>
      </c>
      <c r="J181">
        <v>13</v>
      </c>
      <c r="K181">
        <v>13</v>
      </c>
      <c r="L181" t="s">
        <v>559</v>
      </c>
      <c r="M181">
        <v>4.53</v>
      </c>
    </row>
    <row r="182" spans="1:13" x14ac:dyDescent="0.25">
      <c r="A182">
        <v>181</v>
      </c>
      <c r="B182">
        <v>2025</v>
      </c>
      <c r="C182">
        <v>8</v>
      </c>
      <c r="D182">
        <v>33</v>
      </c>
      <c r="E182">
        <v>12</v>
      </c>
      <c r="G182">
        <v>44377</v>
      </c>
      <c r="J182">
        <v>14</v>
      </c>
      <c r="K182">
        <v>14</v>
      </c>
      <c r="L182" t="s">
        <v>560</v>
      </c>
      <c r="M182">
        <v>4.53</v>
      </c>
    </row>
    <row r="183" spans="1:13" x14ac:dyDescent="0.25">
      <c r="A183">
        <v>182</v>
      </c>
      <c r="B183">
        <v>2025</v>
      </c>
      <c r="C183">
        <v>8</v>
      </c>
      <c r="D183">
        <v>33</v>
      </c>
      <c r="E183">
        <v>12</v>
      </c>
      <c r="G183">
        <v>4173</v>
      </c>
      <c r="J183">
        <v>15</v>
      </c>
      <c r="K183">
        <v>15</v>
      </c>
      <c r="L183" t="s">
        <v>561</v>
      </c>
      <c r="M183">
        <v>4.53</v>
      </c>
    </row>
    <row r="184" spans="1:13" x14ac:dyDescent="0.25">
      <c r="A184">
        <v>183</v>
      </c>
      <c r="B184">
        <v>2025</v>
      </c>
      <c r="C184">
        <v>8</v>
      </c>
      <c r="D184">
        <v>33</v>
      </c>
      <c r="E184">
        <v>12</v>
      </c>
      <c r="G184">
        <v>4475</v>
      </c>
      <c r="J184">
        <v>16</v>
      </c>
      <c r="K184">
        <v>16</v>
      </c>
      <c r="L184" t="s">
        <v>562</v>
      </c>
      <c r="M184">
        <v>3.77</v>
      </c>
    </row>
    <row r="185" spans="1:13" x14ac:dyDescent="0.25">
      <c r="A185">
        <v>184</v>
      </c>
      <c r="B185">
        <v>2025</v>
      </c>
      <c r="C185">
        <v>9</v>
      </c>
      <c r="D185">
        <v>33</v>
      </c>
      <c r="E185">
        <v>13</v>
      </c>
      <c r="G185">
        <v>48388</v>
      </c>
      <c r="J185">
        <v>12</v>
      </c>
      <c r="K185">
        <v>12</v>
      </c>
      <c r="L185" t="s">
        <v>558</v>
      </c>
      <c r="M185">
        <v>1.56</v>
      </c>
    </row>
    <row r="186" spans="1:13" x14ac:dyDescent="0.25">
      <c r="A186">
        <v>185</v>
      </c>
      <c r="B186">
        <v>2025</v>
      </c>
      <c r="C186">
        <v>9</v>
      </c>
      <c r="D186">
        <v>33</v>
      </c>
      <c r="E186">
        <v>13</v>
      </c>
      <c r="G186">
        <v>52355</v>
      </c>
      <c r="J186">
        <v>13</v>
      </c>
      <c r="K186">
        <v>13</v>
      </c>
      <c r="L186" t="s">
        <v>559</v>
      </c>
      <c r="M186">
        <v>4.53</v>
      </c>
    </row>
    <row r="187" spans="1:13" x14ac:dyDescent="0.25">
      <c r="A187">
        <v>186</v>
      </c>
      <c r="B187">
        <v>2025</v>
      </c>
      <c r="C187">
        <v>9</v>
      </c>
      <c r="D187">
        <v>33</v>
      </c>
      <c r="E187">
        <v>13</v>
      </c>
      <c r="G187">
        <v>49596</v>
      </c>
      <c r="J187">
        <v>14</v>
      </c>
      <c r="K187">
        <v>14</v>
      </c>
      <c r="L187" t="s">
        <v>560</v>
      </c>
      <c r="M187">
        <v>4.53</v>
      </c>
    </row>
    <row r="188" spans="1:13" x14ac:dyDescent="0.25">
      <c r="A188">
        <v>187</v>
      </c>
      <c r="B188">
        <v>2025</v>
      </c>
      <c r="C188">
        <v>9</v>
      </c>
      <c r="D188">
        <v>33</v>
      </c>
      <c r="E188">
        <v>13</v>
      </c>
      <c r="G188">
        <v>3873</v>
      </c>
      <c r="J188">
        <v>15</v>
      </c>
      <c r="K188">
        <v>15</v>
      </c>
      <c r="L188" t="s">
        <v>561</v>
      </c>
      <c r="M188">
        <v>4.53</v>
      </c>
    </row>
    <row r="189" spans="1:13" x14ac:dyDescent="0.25">
      <c r="A189">
        <v>188</v>
      </c>
      <c r="B189">
        <v>2025</v>
      </c>
      <c r="C189">
        <v>9</v>
      </c>
      <c r="D189">
        <v>33</v>
      </c>
      <c r="E189">
        <v>13</v>
      </c>
      <c r="G189">
        <v>4971</v>
      </c>
      <c r="J189">
        <v>16</v>
      </c>
      <c r="K189">
        <v>16</v>
      </c>
      <c r="L189" t="s">
        <v>562</v>
      </c>
      <c r="M189">
        <v>3.77</v>
      </c>
    </row>
    <row r="190" spans="1:13" x14ac:dyDescent="0.25">
      <c r="A190">
        <v>189</v>
      </c>
      <c r="B190">
        <v>2025</v>
      </c>
      <c r="C190">
        <v>9</v>
      </c>
      <c r="D190">
        <v>33</v>
      </c>
      <c r="E190">
        <v>13</v>
      </c>
      <c r="G190">
        <v>1</v>
      </c>
      <c r="J190" t="s">
        <v>467</v>
      </c>
      <c r="K190" t="s">
        <v>467</v>
      </c>
      <c r="L190" t="s">
        <v>737</v>
      </c>
      <c r="M190">
        <v>-5.15</v>
      </c>
    </row>
    <row r="191" spans="1:13" x14ac:dyDescent="0.25">
      <c r="A191">
        <v>190</v>
      </c>
      <c r="B191">
        <v>2025</v>
      </c>
      <c r="C191">
        <v>10</v>
      </c>
      <c r="D191">
        <v>33</v>
      </c>
      <c r="E191">
        <v>14</v>
      </c>
      <c r="G191">
        <v>51154</v>
      </c>
      <c r="J191">
        <v>12</v>
      </c>
      <c r="K191">
        <v>12</v>
      </c>
      <c r="L191" t="s">
        <v>558</v>
      </c>
      <c r="M191">
        <v>1.56</v>
      </c>
    </row>
    <row r="192" spans="1:13" x14ac:dyDescent="0.25">
      <c r="A192">
        <v>191</v>
      </c>
      <c r="B192">
        <v>2025</v>
      </c>
      <c r="C192">
        <v>10</v>
      </c>
      <c r="D192">
        <v>33</v>
      </c>
      <c r="E192">
        <v>14</v>
      </c>
      <c r="G192">
        <v>56012</v>
      </c>
      <c r="J192">
        <v>13</v>
      </c>
      <c r="K192">
        <v>13</v>
      </c>
      <c r="L192" t="s">
        <v>559</v>
      </c>
      <c r="M192">
        <v>4.53</v>
      </c>
    </row>
    <row r="193" spans="1:13" x14ac:dyDescent="0.25">
      <c r="A193">
        <v>192</v>
      </c>
      <c r="B193">
        <v>2025</v>
      </c>
      <c r="C193">
        <v>10</v>
      </c>
      <c r="D193">
        <v>33</v>
      </c>
      <c r="E193">
        <v>14</v>
      </c>
      <c r="G193">
        <v>52993</v>
      </c>
      <c r="J193">
        <v>14</v>
      </c>
      <c r="K193">
        <v>14</v>
      </c>
      <c r="L193" t="s">
        <v>560</v>
      </c>
      <c r="M193">
        <v>4.53</v>
      </c>
    </row>
    <row r="194" spans="1:13" x14ac:dyDescent="0.25">
      <c r="A194">
        <v>193</v>
      </c>
      <c r="B194">
        <v>2025</v>
      </c>
      <c r="C194">
        <v>10</v>
      </c>
      <c r="D194">
        <v>33</v>
      </c>
      <c r="E194">
        <v>14</v>
      </c>
      <c r="G194">
        <v>3837</v>
      </c>
      <c r="J194">
        <v>15</v>
      </c>
      <c r="K194">
        <v>15</v>
      </c>
      <c r="L194" t="s">
        <v>561</v>
      </c>
      <c r="M194">
        <v>4.53</v>
      </c>
    </row>
    <row r="195" spans="1:13" x14ac:dyDescent="0.25">
      <c r="A195">
        <v>194</v>
      </c>
      <c r="B195">
        <v>2025</v>
      </c>
      <c r="C195">
        <v>10</v>
      </c>
      <c r="D195">
        <v>33</v>
      </c>
      <c r="E195">
        <v>14</v>
      </c>
      <c r="G195">
        <v>4454</v>
      </c>
      <c r="J195">
        <v>16</v>
      </c>
      <c r="K195">
        <v>16</v>
      </c>
      <c r="L195" t="s">
        <v>562</v>
      </c>
      <c r="M195">
        <v>3.77</v>
      </c>
    </row>
    <row r="196" spans="1:13" x14ac:dyDescent="0.25">
      <c r="A196">
        <v>195</v>
      </c>
      <c r="B196">
        <v>2025</v>
      </c>
      <c r="C196">
        <v>11</v>
      </c>
      <c r="D196">
        <v>33</v>
      </c>
      <c r="E196">
        <v>15</v>
      </c>
      <c r="G196">
        <v>49730</v>
      </c>
      <c r="J196">
        <v>12</v>
      </c>
      <c r="K196">
        <v>12</v>
      </c>
      <c r="L196" t="s">
        <v>558</v>
      </c>
      <c r="M196">
        <v>1.56</v>
      </c>
    </row>
    <row r="197" spans="1:13" x14ac:dyDescent="0.25">
      <c r="A197">
        <v>196</v>
      </c>
      <c r="B197">
        <v>2025</v>
      </c>
      <c r="C197">
        <v>11</v>
      </c>
      <c r="D197">
        <v>33</v>
      </c>
      <c r="E197">
        <v>15</v>
      </c>
      <c r="G197">
        <v>56306</v>
      </c>
      <c r="J197">
        <v>13</v>
      </c>
      <c r="K197">
        <v>13</v>
      </c>
      <c r="L197" t="s">
        <v>559</v>
      </c>
      <c r="M197">
        <v>4.53</v>
      </c>
    </row>
    <row r="198" spans="1:13" x14ac:dyDescent="0.25">
      <c r="A198">
        <v>197</v>
      </c>
      <c r="B198">
        <v>2025</v>
      </c>
      <c r="C198">
        <v>11</v>
      </c>
      <c r="D198">
        <v>33</v>
      </c>
      <c r="E198">
        <v>15</v>
      </c>
      <c r="G198">
        <v>52246</v>
      </c>
      <c r="J198">
        <v>14</v>
      </c>
      <c r="K198">
        <v>14</v>
      </c>
      <c r="L198" t="s">
        <v>560</v>
      </c>
      <c r="M198">
        <v>4.53</v>
      </c>
    </row>
    <row r="199" spans="1:13" x14ac:dyDescent="0.25">
      <c r="A199">
        <v>198</v>
      </c>
      <c r="B199">
        <v>2025</v>
      </c>
      <c r="C199">
        <v>11</v>
      </c>
      <c r="D199">
        <v>33</v>
      </c>
      <c r="E199">
        <v>15</v>
      </c>
      <c r="G199">
        <v>3707</v>
      </c>
      <c r="J199">
        <v>15</v>
      </c>
      <c r="K199">
        <v>15</v>
      </c>
      <c r="L199" t="s">
        <v>561</v>
      </c>
      <c r="M199">
        <v>4.53</v>
      </c>
    </row>
    <row r="200" spans="1:13" x14ac:dyDescent="0.25">
      <c r="A200">
        <v>199</v>
      </c>
      <c r="B200">
        <v>2025</v>
      </c>
      <c r="C200">
        <v>11</v>
      </c>
      <c r="D200">
        <v>33</v>
      </c>
      <c r="E200">
        <v>15</v>
      </c>
      <c r="G200">
        <v>3149</v>
      </c>
      <c r="J200">
        <v>16</v>
      </c>
      <c r="K200">
        <v>16</v>
      </c>
      <c r="L200" t="s">
        <v>562</v>
      </c>
      <c r="M200">
        <v>3.77</v>
      </c>
    </row>
    <row r="201" spans="1:13" x14ac:dyDescent="0.25">
      <c r="A201">
        <v>200</v>
      </c>
      <c r="B201">
        <v>2025</v>
      </c>
      <c r="C201">
        <v>6</v>
      </c>
      <c r="D201">
        <v>91</v>
      </c>
      <c r="E201">
        <v>1</v>
      </c>
      <c r="F201" s="168" t="s">
        <v>590</v>
      </c>
      <c r="G201">
        <f>1+5/30</f>
        <v>1.1666666666666667</v>
      </c>
      <c r="I201" t="s">
        <v>591</v>
      </c>
      <c r="J201">
        <v>1</v>
      </c>
      <c r="K201">
        <v>1</v>
      </c>
      <c r="L201" t="s">
        <v>589</v>
      </c>
      <c r="M201">
        <v>3500</v>
      </c>
    </row>
    <row r="202" spans="1:13" x14ac:dyDescent="0.25">
      <c r="A202">
        <v>201</v>
      </c>
      <c r="B202">
        <v>2025</v>
      </c>
      <c r="C202">
        <v>8</v>
      </c>
      <c r="D202">
        <v>91</v>
      </c>
      <c r="E202">
        <v>2</v>
      </c>
      <c r="F202" s="168" t="s">
        <v>590</v>
      </c>
      <c r="G202">
        <v>1</v>
      </c>
      <c r="J202">
        <v>1</v>
      </c>
      <c r="K202">
        <v>1</v>
      </c>
      <c r="L202" t="s">
        <v>589</v>
      </c>
      <c r="M202">
        <v>3500</v>
      </c>
    </row>
    <row r="203" spans="1:13" x14ac:dyDescent="0.25">
      <c r="A203">
        <v>202</v>
      </c>
      <c r="B203">
        <v>2025</v>
      </c>
      <c r="C203">
        <v>9</v>
      </c>
      <c r="D203">
        <v>91</v>
      </c>
      <c r="E203">
        <v>3</v>
      </c>
      <c r="F203" s="168" t="s">
        <v>590</v>
      </c>
      <c r="G203">
        <v>1</v>
      </c>
      <c r="J203">
        <v>1</v>
      </c>
      <c r="K203">
        <v>1</v>
      </c>
      <c r="L203" t="s">
        <v>589</v>
      </c>
      <c r="M203">
        <v>3500</v>
      </c>
    </row>
    <row r="204" spans="1:13" x14ac:dyDescent="0.25">
      <c r="A204">
        <v>203</v>
      </c>
      <c r="B204">
        <v>2025</v>
      </c>
      <c r="C204">
        <v>10</v>
      </c>
      <c r="D204">
        <v>91</v>
      </c>
      <c r="E204">
        <v>4</v>
      </c>
      <c r="F204" s="168" t="s">
        <v>590</v>
      </c>
      <c r="G204">
        <v>1</v>
      </c>
      <c r="J204">
        <v>1</v>
      </c>
      <c r="K204">
        <v>1</v>
      </c>
      <c r="L204" t="s">
        <v>589</v>
      </c>
      <c r="M204">
        <v>3500</v>
      </c>
    </row>
    <row r="205" spans="1:13" x14ac:dyDescent="0.25">
      <c r="A205">
        <v>204</v>
      </c>
      <c r="B205">
        <v>2025</v>
      </c>
      <c r="C205">
        <v>11</v>
      </c>
      <c r="D205">
        <v>91</v>
      </c>
      <c r="E205">
        <v>5</v>
      </c>
      <c r="F205" s="168" t="s">
        <v>590</v>
      </c>
      <c r="G205">
        <v>1</v>
      </c>
      <c r="J205">
        <v>1</v>
      </c>
      <c r="K205">
        <v>1</v>
      </c>
      <c r="L205" t="s">
        <v>589</v>
      </c>
      <c r="M205">
        <v>3500</v>
      </c>
    </row>
    <row r="206" spans="1:13" x14ac:dyDescent="0.25">
      <c r="A206">
        <v>205</v>
      </c>
      <c r="B206">
        <v>2025</v>
      </c>
      <c r="C206">
        <v>9</v>
      </c>
      <c r="D206">
        <v>98</v>
      </c>
      <c r="E206">
        <v>3</v>
      </c>
      <c r="F206" t="s">
        <v>608</v>
      </c>
      <c r="G206">
        <v>250</v>
      </c>
      <c r="J206" t="s">
        <v>419</v>
      </c>
      <c r="K206" t="s">
        <v>419</v>
      </c>
      <c r="L206" t="s">
        <v>738</v>
      </c>
      <c r="M206">
        <v>-1</v>
      </c>
    </row>
    <row r="207" spans="1:13" x14ac:dyDescent="0.25">
      <c r="A207">
        <v>206</v>
      </c>
      <c r="B207">
        <v>2025</v>
      </c>
      <c r="C207">
        <v>10</v>
      </c>
      <c r="D207">
        <v>98</v>
      </c>
      <c r="E207">
        <v>4</v>
      </c>
      <c r="F207" t="s">
        <v>608</v>
      </c>
      <c r="G207">
        <v>-250</v>
      </c>
      <c r="J207" t="s">
        <v>419</v>
      </c>
      <c r="K207" t="s">
        <v>419</v>
      </c>
      <c r="L207" t="s">
        <v>738</v>
      </c>
      <c r="M207">
        <v>-1</v>
      </c>
    </row>
    <row r="208" spans="1:13" x14ac:dyDescent="0.25">
      <c r="A208">
        <v>207</v>
      </c>
      <c r="B208">
        <v>2025</v>
      </c>
      <c r="C208">
        <v>8</v>
      </c>
      <c r="D208">
        <v>103</v>
      </c>
      <c r="E208">
        <v>1</v>
      </c>
      <c r="G208">
        <v>1</v>
      </c>
      <c r="J208">
        <v>1</v>
      </c>
      <c r="K208">
        <v>1</v>
      </c>
      <c r="L208" t="s">
        <v>618</v>
      </c>
      <c r="M208">
        <v>3400</v>
      </c>
    </row>
    <row r="209" spans="1:13" x14ac:dyDescent="0.25">
      <c r="A209">
        <v>208</v>
      </c>
      <c r="B209">
        <v>2025</v>
      </c>
      <c r="C209">
        <v>7</v>
      </c>
      <c r="D209">
        <v>107</v>
      </c>
      <c r="E209">
        <v>1</v>
      </c>
      <c r="G209">
        <v>1</v>
      </c>
      <c r="J209">
        <v>1</v>
      </c>
      <c r="K209">
        <v>1</v>
      </c>
      <c r="L209" t="s">
        <v>623</v>
      </c>
      <c r="M209">
        <v>3300</v>
      </c>
    </row>
    <row r="210" spans="1:13" x14ac:dyDescent="0.25">
      <c r="A210">
        <v>209</v>
      </c>
      <c r="B210">
        <v>2025</v>
      </c>
      <c r="C210">
        <v>7</v>
      </c>
      <c r="D210">
        <v>107</v>
      </c>
      <c r="E210">
        <v>1</v>
      </c>
      <c r="G210">
        <v>1</v>
      </c>
      <c r="J210">
        <v>2</v>
      </c>
      <c r="K210">
        <v>2</v>
      </c>
      <c r="L210" t="s">
        <v>625</v>
      </c>
      <c r="M210">
        <v>3300</v>
      </c>
    </row>
    <row r="211" spans="1:13" x14ac:dyDescent="0.25">
      <c r="A211">
        <v>210</v>
      </c>
      <c r="B211">
        <v>2025</v>
      </c>
      <c r="C211">
        <v>7</v>
      </c>
      <c r="D211">
        <v>107</v>
      </c>
      <c r="E211">
        <v>1</v>
      </c>
      <c r="G211">
        <v>1</v>
      </c>
      <c r="J211">
        <v>3</v>
      </c>
      <c r="K211">
        <v>3</v>
      </c>
      <c r="L211" t="s">
        <v>626</v>
      </c>
      <c r="M211">
        <v>3300</v>
      </c>
    </row>
    <row r="212" spans="1:13" x14ac:dyDescent="0.25">
      <c r="A212">
        <v>211</v>
      </c>
      <c r="B212">
        <v>2025</v>
      </c>
      <c r="C212">
        <v>10</v>
      </c>
      <c r="D212">
        <v>107</v>
      </c>
      <c r="E212">
        <v>2</v>
      </c>
      <c r="G212">
        <v>1</v>
      </c>
      <c r="J212">
        <v>4</v>
      </c>
      <c r="K212">
        <v>4</v>
      </c>
      <c r="L212" t="s">
        <v>627</v>
      </c>
      <c r="M212">
        <v>3750</v>
      </c>
    </row>
    <row r="213" spans="1:13" x14ac:dyDescent="0.25">
      <c r="A213">
        <v>212</v>
      </c>
      <c r="B213">
        <v>2025</v>
      </c>
      <c r="C213">
        <v>10</v>
      </c>
      <c r="D213">
        <v>107</v>
      </c>
      <c r="E213">
        <v>2</v>
      </c>
      <c r="G213">
        <v>1</v>
      </c>
      <c r="J213">
        <v>5</v>
      </c>
      <c r="K213">
        <v>5</v>
      </c>
      <c r="L213" t="s">
        <v>628</v>
      </c>
      <c r="M213">
        <v>3750</v>
      </c>
    </row>
    <row r="214" spans="1:13" x14ac:dyDescent="0.25">
      <c r="A214">
        <v>213</v>
      </c>
      <c r="B214">
        <v>2025</v>
      </c>
      <c r="C214">
        <v>10</v>
      </c>
      <c r="D214">
        <v>107</v>
      </c>
      <c r="E214">
        <v>2</v>
      </c>
      <c r="G214">
        <v>4</v>
      </c>
      <c r="J214">
        <v>6</v>
      </c>
      <c r="K214">
        <v>6</v>
      </c>
      <c r="L214" t="s">
        <v>629</v>
      </c>
      <c r="M214">
        <v>350</v>
      </c>
    </row>
    <row r="215" spans="1:13" x14ac:dyDescent="0.25">
      <c r="A215">
        <v>214</v>
      </c>
      <c r="B215">
        <v>2025</v>
      </c>
      <c r="C215">
        <v>10</v>
      </c>
      <c r="D215">
        <v>107</v>
      </c>
      <c r="E215">
        <v>2</v>
      </c>
      <c r="G215">
        <v>3</v>
      </c>
      <c r="J215">
        <v>7</v>
      </c>
      <c r="K215">
        <v>7</v>
      </c>
      <c r="L215" t="s">
        <v>630</v>
      </c>
      <c r="M215">
        <v>350</v>
      </c>
    </row>
    <row r="216" spans="1:13" x14ac:dyDescent="0.25">
      <c r="A216">
        <v>215</v>
      </c>
      <c r="B216">
        <v>2025</v>
      </c>
      <c r="C216">
        <v>10</v>
      </c>
      <c r="D216">
        <v>107</v>
      </c>
      <c r="E216">
        <v>2</v>
      </c>
      <c r="G216">
        <v>7</v>
      </c>
      <c r="J216">
        <v>8</v>
      </c>
      <c r="K216">
        <v>8</v>
      </c>
      <c r="L216" t="s">
        <v>631</v>
      </c>
      <c r="M216">
        <v>500</v>
      </c>
    </row>
    <row r="217" spans="1:13" x14ac:dyDescent="0.25">
      <c r="A217">
        <v>216</v>
      </c>
      <c r="B217">
        <v>2025</v>
      </c>
      <c r="C217">
        <v>11</v>
      </c>
      <c r="D217">
        <v>150</v>
      </c>
      <c r="E217">
        <v>1</v>
      </c>
      <c r="G217">
        <v>10</v>
      </c>
      <c r="J217">
        <v>1</v>
      </c>
      <c r="K217">
        <v>1</v>
      </c>
      <c r="L217" t="s">
        <v>641</v>
      </c>
      <c r="M217">
        <v>220</v>
      </c>
    </row>
    <row r="218" spans="1:13" x14ac:dyDescent="0.25">
      <c r="A218">
        <v>217</v>
      </c>
      <c r="B218">
        <v>2025</v>
      </c>
      <c r="C218">
        <v>12</v>
      </c>
      <c r="D218">
        <v>98</v>
      </c>
      <c r="E218">
        <v>6</v>
      </c>
      <c r="F218" t="s">
        <v>608</v>
      </c>
      <c r="G218">
        <v>250</v>
      </c>
      <c r="J218" t="s">
        <v>419</v>
      </c>
      <c r="K218" t="s">
        <v>419</v>
      </c>
      <c r="L218" t="s">
        <v>738</v>
      </c>
      <c r="M218">
        <v>-1</v>
      </c>
    </row>
    <row r="219" spans="1:13" x14ac:dyDescent="0.25">
      <c r="A219">
        <v>218</v>
      </c>
      <c r="B219">
        <v>2025</v>
      </c>
      <c r="C219">
        <v>12</v>
      </c>
      <c r="D219">
        <v>11</v>
      </c>
      <c r="E219">
        <v>12</v>
      </c>
      <c r="G219">
        <v>1</v>
      </c>
      <c r="J219" s="154">
        <v>1</v>
      </c>
      <c r="K219">
        <v>1</v>
      </c>
      <c r="L219" t="s">
        <v>150</v>
      </c>
      <c r="M219">
        <v>5500</v>
      </c>
    </row>
    <row r="220" spans="1:13" x14ac:dyDescent="0.25">
      <c r="A220">
        <v>219</v>
      </c>
      <c r="B220">
        <v>2025</v>
      </c>
      <c r="C220">
        <v>12</v>
      </c>
      <c r="D220">
        <v>11</v>
      </c>
      <c r="E220">
        <v>12</v>
      </c>
      <c r="G220">
        <v>10</v>
      </c>
      <c r="J220" s="154">
        <v>2</v>
      </c>
      <c r="K220">
        <v>2</v>
      </c>
      <c r="L220" t="s">
        <v>151</v>
      </c>
      <c r="M220">
        <v>200</v>
      </c>
    </row>
    <row r="221" spans="1:13" x14ac:dyDescent="0.25">
      <c r="A221">
        <v>220</v>
      </c>
      <c r="B221">
        <v>2025</v>
      </c>
      <c r="C221">
        <v>12</v>
      </c>
      <c r="D221">
        <v>11</v>
      </c>
      <c r="E221">
        <v>12</v>
      </c>
      <c r="G221">
        <v>7</v>
      </c>
      <c r="J221" s="154">
        <v>3</v>
      </c>
      <c r="K221">
        <v>3</v>
      </c>
      <c r="L221" t="s">
        <v>157</v>
      </c>
      <c r="M221">
        <v>100</v>
      </c>
    </row>
    <row r="222" spans="1:13" x14ac:dyDescent="0.25">
      <c r="A222">
        <v>221</v>
      </c>
      <c r="B222">
        <v>2025</v>
      </c>
      <c r="C222">
        <v>12</v>
      </c>
      <c r="D222">
        <v>14</v>
      </c>
      <c r="E222">
        <v>9</v>
      </c>
      <c r="G222">
        <v>1</v>
      </c>
      <c r="J222" s="154">
        <v>15</v>
      </c>
      <c r="K222">
        <v>15</v>
      </c>
      <c r="L222" t="s">
        <v>204</v>
      </c>
      <c r="M222">
        <v>4000</v>
      </c>
    </row>
    <row r="223" spans="1:13" x14ac:dyDescent="0.25">
      <c r="A223">
        <v>222</v>
      </c>
      <c r="B223">
        <v>2025</v>
      </c>
      <c r="C223">
        <v>12</v>
      </c>
      <c r="D223">
        <v>30</v>
      </c>
      <c r="E223">
        <v>12</v>
      </c>
      <c r="G223">
        <v>1</v>
      </c>
      <c r="J223" s="154">
        <v>4</v>
      </c>
      <c r="K223">
        <v>4</v>
      </c>
      <c r="L223" t="s">
        <v>416</v>
      </c>
      <c r="M223">
        <v>5500</v>
      </c>
    </row>
    <row r="224" spans="1:13" x14ac:dyDescent="0.25">
      <c r="A224">
        <v>223</v>
      </c>
      <c r="B224">
        <v>2025</v>
      </c>
      <c r="C224">
        <v>12</v>
      </c>
      <c r="D224">
        <v>33</v>
      </c>
      <c r="E224">
        <v>16</v>
      </c>
      <c r="G224">
        <v>55775</v>
      </c>
      <c r="J224">
        <v>12</v>
      </c>
      <c r="K224">
        <v>12</v>
      </c>
      <c r="L224" t="s">
        <v>558</v>
      </c>
      <c r="M224">
        <v>1.56</v>
      </c>
    </row>
    <row r="225" spans="1:13" x14ac:dyDescent="0.25">
      <c r="A225">
        <v>224</v>
      </c>
      <c r="B225">
        <v>2025</v>
      </c>
      <c r="C225">
        <v>12</v>
      </c>
      <c r="D225">
        <v>33</v>
      </c>
      <c r="E225">
        <v>16</v>
      </c>
      <c r="G225">
        <v>61064</v>
      </c>
      <c r="J225">
        <v>13</v>
      </c>
      <c r="K225">
        <v>13</v>
      </c>
      <c r="L225" t="s">
        <v>559</v>
      </c>
      <c r="M225">
        <v>4.53</v>
      </c>
    </row>
    <row r="226" spans="1:13" x14ac:dyDescent="0.25">
      <c r="A226">
        <v>225</v>
      </c>
      <c r="B226">
        <v>2025</v>
      </c>
      <c r="C226">
        <v>12</v>
      </c>
      <c r="D226">
        <v>33</v>
      </c>
      <c r="E226">
        <v>16</v>
      </c>
      <c r="G226">
        <v>55562</v>
      </c>
      <c r="J226">
        <v>14</v>
      </c>
      <c r="K226">
        <v>14</v>
      </c>
      <c r="L226" t="s">
        <v>560</v>
      </c>
      <c r="M226">
        <v>4.53</v>
      </c>
    </row>
    <row r="227" spans="1:13" x14ac:dyDescent="0.25">
      <c r="A227">
        <v>226</v>
      </c>
      <c r="B227">
        <v>2025</v>
      </c>
      <c r="C227">
        <v>12</v>
      </c>
      <c r="D227">
        <v>33</v>
      </c>
      <c r="E227">
        <v>16</v>
      </c>
      <c r="G227">
        <v>5444</v>
      </c>
      <c r="J227">
        <v>15</v>
      </c>
      <c r="K227">
        <v>15</v>
      </c>
      <c r="L227" t="s">
        <v>561</v>
      </c>
      <c r="M227">
        <v>4.53</v>
      </c>
    </row>
    <row r="228" spans="1:13" x14ac:dyDescent="0.25">
      <c r="A228">
        <v>227</v>
      </c>
      <c r="B228">
        <v>2025</v>
      </c>
      <c r="C228">
        <v>12</v>
      </c>
      <c r="D228">
        <v>33</v>
      </c>
      <c r="E228">
        <v>16</v>
      </c>
      <c r="G228">
        <v>2806</v>
      </c>
      <c r="J228">
        <v>16</v>
      </c>
      <c r="K228">
        <v>16</v>
      </c>
      <c r="L228" t="s">
        <v>562</v>
      </c>
      <c r="M228">
        <v>3.77</v>
      </c>
    </row>
    <row r="229" spans="1:13" x14ac:dyDescent="0.25">
      <c r="A229">
        <v>228</v>
      </c>
      <c r="B229">
        <v>2025</v>
      </c>
      <c r="C229">
        <v>12</v>
      </c>
      <c r="D229">
        <v>107</v>
      </c>
      <c r="E229">
        <v>3</v>
      </c>
      <c r="G229">
        <v>22</v>
      </c>
      <c r="J229">
        <v>6</v>
      </c>
      <c r="K229" cm="1">
        <f t="array" ref="K229:M229">_xlfn.LET(_xlpm.l,_xlfn._xlws.FILTER(_xlfn._TRO_TRAILING(log_prices!E:I),(_xlfn._TRO_TRAILING(log_prices!C:C)=D229)*IF(J229="",1,_xlfn._TRO_TRAILING(log_prices!E:E)=J229)),_xlfn.HSTACK(_xlfn.TAKE(_xlpm.l,,2),_xlfn.DROP(_xlpm.l,,4)))</f>
        <v>6</v>
      </c>
      <c r="L229" t="str">
        <v>Boru qaynaqçı testlərində iştirak və sertifikatlarının hazırlanması</v>
      </c>
      <c r="M229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8463-92B2-469F-A8A2-4052CBCFB091}">
  <sheetPr codeName="Sheet8" filterMode="1">
    <pageSetUpPr fitToPage="1"/>
  </sheetPr>
  <dimension ref="A1:AT1097"/>
  <sheetViews>
    <sheetView zoomScale="70" zoomScaleNormal="70" zoomScaleSheetLayoutView="100" workbookViewId="0">
      <pane xSplit="7" ySplit="1" topLeftCell="H882" activePane="bottomRight" state="frozen"/>
      <selection activeCell="L221" sqref="L221"/>
      <selection pane="topRight" activeCell="L221" sqref="L221"/>
      <selection pane="bottomLeft" activeCell="L221" sqref="L221"/>
      <selection pane="bottomRight" activeCell="F1099" sqref="F1099"/>
    </sheetView>
  </sheetViews>
  <sheetFormatPr defaultRowHeight="15" outlineLevelCol="1" x14ac:dyDescent="0.25"/>
  <cols>
    <col min="1" max="1" width="6.7109375" customWidth="1"/>
    <col min="2" max="2" width="6" bestFit="1" customWidth="1"/>
    <col min="3" max="3" width="4.5703125" customWidth="1"/>
    <col min="4" max="4" width="10.7109375" bestFit="1" customWidth="1"/>
    <col min="5" max="5" width="9.5703125" customWidth="1"/>
    <col min="6" max="6" width="6.28515625" bestFit="1" customWidth="1"/>
    <col min="7" max="7" width="10.5703125" customWidth="1"/>
    <col min="8" max="15" width="7" style="154" customWidth="1" outlineLevel="1"/>
    <col min="16" max="16" width="8.140625" style="154" customWidth="1" outlineLevel="1"/>
    <col min="17" max="37" width="7" style="154" customWidth="1" outlineLevel="1"/>
    <col min="38" max="38" width="7.140625" style="154" customWidth="1" outlineLevel="1"/>
    <col min="39" max="39" width="7.140625" customWidth="1"/>
    <col min="40" max="40" width="8" customWidth="1"/>
    <col min="41" max="41" width="6.85546875" customWidth="1"/>
    <col min="42" max="42" width="8.140625" customWidth="1"/>
    <col min="43" max="43" width="8.85546875" customWidth="1"/>
    <col min="44" max="44" width="9.42578125" customWidth="1"/>
  </cols>
  <sheetData>
    <row r="1" spans="1:46" x14ac:dyDescent="0.25">
      <c r="A1" t="s">
        <v>168</v>
      </c>
      <c r="B1" t="s">
        <v>291</v>
      </c>
      <c r="C1" t="s">
        <v>183</v>
      </c>
      <c r="D1" t="s">
        <v>712</v>
      </c>
      <c r="E1" t="s">
        <v>188</v>
      </c>
      <c r="F1" t="s">
        <v>181</v>
      </c>
      <c r="G1" t="s">
        <v>566</v>
      </c>
      <c r="H1" s="165">
        <v>1</v>
      </c>
      <c r="I1" s="165">
        <v>2</v>
      </c>
      <c r="J1" s="165">
        <v>3</v>
      </c>
      <c r="K1" s="165">
        <v>4</v>
      </c>
      <c r="L1" s="165">
        <v>5</v>
      </c>
      <c r="M1" s="165">
        <v>6</v>
      </c>
      <c r="N1" s="165">
        <v>7</v>
      </c>
      <c r="O1" s="165">
        <v>8</v>
      </c>
      <c r="P1" s="165">
        <v>9</v>
      </c>
      <c r="Q1" s="165">
        <v>10</v>
      </c>
      <c r="R1" s="165">
        <v>11</v>
      </c>
      <c r="S1" s="165">
        <v>12</v>
      </c>
      <c r="T1" s="165">
        <v>13</v>
      </c>
      <c r="U1" s="165">
        <v>14</v>
      </c>
      <c r="V1" s="165">
        <v>15</v>
      </c>
      <c r="W1" s="165">
        <v>16</v>
      </c>
      <c r="X1" s="165">
        <v>17</v>
      </c>
      <c r="Y1" s="165">
        <v>18</v>
      </c>
      <c r="Z1" s="165">
        <v>19</v>
      </c>
      <c r="AA1" s="165">
        <v>20</v>
      </c>
      <c r="AB1" s="165">
        <v>21</v>
      </c>
      <c r="AC1" s="165">
        <v>22</v>
      </c>
      <c r="AD1" s="165">
        <v>23</v>
      </c>
      <c r="AE1" s="165">
        <v>24</v>
      </c>
      <c r="AF1" s="165">
        <v>25</v>
      </c>
      <c r="AG1" s="165">
        <v>26</v>
      </c>
      <c r="AH1" s="165">
        <v>27</v>
      </c>
      <c r="AI1" s="165">
        <v>28</v>
      </c>
      <c r="AJ1" s="165">
        <v>29</v>
      </c>
      <c r="AK1" s="165">
        <v>30</v>
      </c>
      <c r="AL1" s="165">
        <v>31</v>
      </c>
      <c r="AM1" t="s">
        <v>440</v>
      </c>
      <c r="AN1" t="s">
        <v>441</v>
      </c>
      <c r="AO1" t="s">
        <v>420</v>
      </c>
      <c r="AP1" t="s">
        <v>647</v>
      </c>
      <c r="AQ1" t="s">
        <v>425</v>
      </c>
      <c r="AR1" t="s">
        <v>431</v>
      </c>
      <c r="AS1" t="s">
        <v>168</v>
      </c>
      <c r="AT1" t="s">
        <v>648</v>
      </c>
    </row>
    <row r="2" spans="1:46" hidden="1" x14ac:dyDescent="0.25">
      <c r="A2" cm="1">
        <f t="array" ref="A2:A1097">_xlfn.SEQUENCE(COUNTA(E:E)-1)</f>
        <v>1</v>
      </c>
      <c r="B2">
        <v>2025</v>
      </c>
      <c r="C2">
        <v>1</v>
      </c>
      <c r="D2" t="s">
        <v>233</v>
      </c>
      <c r="E2">
        <v>30</v>
      </c>
      <c r="F2">
        <v>1</v>
      </c>
      <c r="G2" t="s">
        <v>534</v>
      </c>
      <c r="AC2" s="154">
        <v>0.29166666666666669</v>
      </c>
      <c r="AD2" s="154">
        <v>0.29166666666666669</v>
      </c>
      <c r="AE2" s="154">
        <v>0.29166666666666669</v>
      </c>
      <c r="AF2" s="154">
        <v>0.29166666666666669</v>
      </c>
      <c r="AG2" s="154">
        <v>0.29166666666666669</v>
      </c>
      <c r="AH2" s="154">
        <v>0.29166666666666669</v>
      </c>
      <c r="AI2" s="154">
        <v>0.29166666666666669</v>
      </c>
      <c r="AJ2" s="154">
        <v>0.29166666666666669</v>
      </c>
      <c r="AK2" s="154">
        <v>0.29166666666666669</v>
      </c>
      <c r="AL2" s="154">
        <v>0.29166666666666669</v>
      </c>
    </row>
    <row r="3" spans="1:46" hidden="1" x14ac:dyDescent="0.25">
      <c r="A3">
        <v>2</v>
      </c>
      <c r="B3">
        <v>2025</v>
      </c>
      <c r="C3">
        <v>1</v>
      </c>
      <c r="D3" t="s">
        <v>233</v>
      </c>
      <c r="E3">
        <v>30</v>
      </c>
      <c r="F3">
        <v>1</v>
      </c>
      <c r="G3" t="s">
        <v>535</v>
      </c>
      <c r="AC3" s="154">
        <v>0.75</v>
      </c>
      <c r="AD3" s="154">
        <v>0.75</v>
      </c>
      <c r="AE3" s="154">
        <v>0.75</v>
      </c>
      <c r="AF3" s="154">
        <v>0.75</v>
      </c>
      <c r="AG3" s="154">
        <v>0.79166666666666663</v>
      </c>
      <c r="AH3" s="154">
        <v>0.79166666666666663</v>
      </c>
      <c r="AI3" s="154">
        <v>0.75</v>
      </c>
      <c r="AJ3" s="154">
        <v>0.75</v>
      </c>
      <c r="AK3" s="154">
        <v>0.75</v>
      </c>
      <c r="AL3" s="154">
        <v>0.75</v>
      </c>
      <c r="AM3" cm="1">
        <f t="array" ref="AM3">SUM(IFERROR(IF((H3:AL3-H2:AL2)*24&gt;=11,1,""),""))</f>
        <v>10</v>
      </c>
      <c r="AS3">
        <v>1</v>
      </c>
    </row>
    <row r="4" spans="1:46" hidden="1" x14ac:dyDescent="0.25">
      <c r="A4">
        <v>3</v>
      </c>
      <c r="B4">
        <v>2025</v>
      </c>
      <c r="C4">
        <v>2</v>
      </c>
      <c r="D4" t="s">
        <v>233</v>
      </c>
      <c r="E4">
        <v>30</v>
      </c>
      <c r="F4">
        <v>2</v>
      </c>
      <c r="G4" t="s">
        <v>534</v>
      </c>
      <c r="H4" s="154">
        <v>0.29166666666666669</v>
      </c>
      <c r="I4" s="154">
        <v>0.29166666666666669</v>
      </c>
      <c r="J4" s="154">
        <v>0.29166666666666669</v>
      </c>
      <c r="K4" s="154">
        <v>0.29166666666666669</v>
      </c>
      <c r="L4" s="154">
        <v>0.29166666666666669</v>
      </c>
      <c r="M4" s="154">
        <v>0.29166666666666669</v>
      </c>
      <c r="N4" s="154">
        <v>0.29166666666666669</v>
      </c>
      <c r="O4" s="154">
        <v>0.29166666666666669</v>
      </c>
      <c r="P4" s="154">
        <v>0.29166666666666669</v>
      </c>
      <c r="Q4" s="154">
        <v>0.29166666666666669</v>
      </c>
      <c r="R4" s="154">
        <v>0.29166666666666669</v>
      </c>
      <c r="S4" s="154">
        <v>0.29166666666666669</v>
      </c>
      <c r="T4" s="154">
        <v>0.29166666666666669</v>
      </c>
      <c r="U4" s="154">
        <v>0.29166666666666669</v>
      </c>
      <c r="V4" s="154">
        <v>0.29166666666666669</v>
      </c>
      <c r="W4" s="154">
        <v>0.29166666666666669</v>
      </c>
      <c r="X4" s="154">
        <v>0.29166666666666669</v>
      </c>
      <c r="Y4" s="154">
        <v>0.29166666666666669</v>
      </c>
      <c r="Z4" s="154">
        <v>0.29166666666666669</v>
      </c>
      <c r="AA4" s="154">
        <v>0.29166666666666669</v>
      </c>
      <c r="AB4" s="154">
        <v>0.29166666666666669</v>
      </c>
      <c r="AC4" s="154">
        <v>0.29166666666666669</v>
      </c>
      <c r="AD4" s="154">
        <v>0.29166666666666669</v>
      </c>
      <c r="AE4" s="154">
        <v>0.29166666666666669</v>
      </c>
      <c r="AF4" s="154">
        <v>0.29166666666666669</v>
      </c>
      <c r="AG4" s="154">
        <v>0.29166666666666669</v>
      </c>
      <c r="AH4" s="154">
        <v>0.29166666666666669</v>
      </c>
      <c r="AI4" s="154">
        <v>0.29166666666666669</v>
      </c>
      <c r="AJ4" s="154" t="s">
        <v>424</v>
      </c>
      <c r="AK4" s="154" t="s">
        <v>424</v>
      </c>
      <c r="AL4" s="154" t="s">
        <v>424</v>
      </c>
    </row>
    <row r="5" spans="1:46" hidden="1" x14ac:dyDescent="0.25">
      <c r="A5">
        <v>4</v>
      </c>
      <c r="B5">
        <v>2025</v>
      </c>
      <c r="C5">
        <v>2</v>
      </c>
      <c r="D5" t="s">
        <v>233</v>
      </c>
      <c r="E5">
        <v>30</v>
      </c>
      <c r="F5">
        <v>2</v>
      </c>
      <c r="G5" t="s">
        <v>535</v>
      </c>
      <c r="H5" s="154">
        <v>0.75</v>
      </c>
      <c r="I5" s="154">
        <v>0.75</v>
      </c>
      <c r="J5" s="154">
        <v>0.75</v>
      </c>
      <c r="K5" s="154">
        <v>0.75</v>
      </c>
      <c r="L5" s="154">
        <v>0.75</v>
      </c>
      <c r="M5" s="154">
        <v>0.75</v>
      </c>
      <c r="N5" s="154">
        <v>0.75</v>
      </c>
      <c r="O5" s="154">
        <v>0.75</v>
      </c>
      <c r="P5" s="154">
        <v>0.75</v>
      </c>
      <c r="Q5" s="154">
        <v>0.75</v>
      </c>
      <c r="R5" s="154">
        <v>0.75</v>
      </c>
      <c r="S5" s="154">
        <v>0.75</v>
      </c>
      <c r="T5" s="154">
        <v>0.75</v>
      </c>
      <c r="U5" s="154">
        <v>0.75</v>
      </c>
      <c r="V5" s="154">
        <v>0.75</v>
      </c>
      <c r="W5" s="154">
        <v>0.75</v>
      </c>
      <c r="X5" s="154">
        <v>0.75</v>
      </c>
      <c r="Y5" s="154">
        <v>0.75</v>
      </c>
      <c r="Z5" s="154">
        <v>0.75</v>
      </c>
      <c r="AA5" s="154">
        <v>0.75</v>
      </c>
      <c r="AB5" s="154">
        <v>0.75</v>
      </c>
      <c r="AC5" s="154">
        <v>0.75</v>
      </c>
      <c r="AD5" s="154">
        <v>0.75</v>
      </c>
      <c r="AE5" s="154">
        <v>0.75</v>
      </c>
      <c r="AF5" s="154">
        <v>0.75</v>
      </c>
      <c r="AG5" s="154">
        <v>0.79166666666666663</v>
      </c>
      <c r="AH5" s="154">
        <v>0.79166666666666663</v>
      </c>
      <c r="AI5" s="154">
        <v>0.75</v>
      </c>
      <c r="AJ5" s="154" t="s">
        <v>424</v>
      </c>
      <c r="AK5" s="154" t="s">
        <v>424</v>
      </c>
      <c r="AL5" s="154" t="s">
        <v>424</v>
      </c>
      <c r="AM5">
        <v>30</v>
      </c>
      <c r="AS5">
        <v>2</v>
      </c>
    </row>
    <row r="6" spans="1:46" hidden="1" x14ac:dyDescent="0.25">
      <c r="A6">
        <v>5</v>
      </c>
      <c r="B6">
        <v>2025</v>
      </c>
      <c r="C6">
        <v>2</v>
      </c>
      <c r="D6" t="s">
        <v>402</v>
      </c>
      <c r="E6">
        <v>30</v>
      </c>
      <c r="F6">
        <v>2</v>
      </c>
      <c r="G6" t="s">
        <v>534</v>
      </c>
      <c r="H6" s="154">
        <v>0.29166666666666669</v>
      </c>
      <c r="I6" s="154">
        <v>0.29166666666666669</v>
      </c>
      <c r="J6" s="154">
        <v>0.29166666666666669</v>
      </c>
      <c r="K6" s="154">
        <v>0.29166666666666669</v>
      </c>
      <c r="L6" s="154">
        <v>0.29166666666666669</v>
      </c>
      <c r="M6" s="154">
        <v>0.29166666666666669</v>
      </c>
      <c r="N6" s="154">
        <v>0.29166666666666669</v>
      </c>
      <c r="O6" s="154">
        <v>0.29166666666666669</v>
      </c>
      <c r="P6" s="154">
        <v>0.29166666666666669</v>
      </c>
      <c r="Q6" s="154">
        <v>0.29166666666666669</v>
      </c>
      <c r="R6" s="154">
        <v>0.29166666666666669</v>
      </c>
      <c r="S6" s="154">
        <v>0.29166666666666669</v>
      </c>
      <c r="T6" s="154">
        <v>0.29166666666666669</v>
      </c>
      <c r="U6" s="154">
        <v>0.29166666666666669</v>
      </c>
      <c r="V6" s="154">
        <v>0.29166666666666669</v>
      </c>
      <c r="W6" s="154">
        <v>0.29166666666666669</v>
      </c>
      <c r="X6" s="154">
        <v>0.29166666666666669</v>
      </c>
      <c r="Y6" s="154">
        <v>0.29166666666666669</v>
      </c>
      <c r="Z6" s="154">
        <v>0.29166666666666669</v>
      </c>
      <c r="AA6" s="154">
        <v>0.29166666666666669</v>
      </c>
      <c r="AB6" s="154">
        <v>0.29166666666666669</v>
      </c>
      <c r="AC6" s="154">
        <v>0.29166666666666669</v>
      </c>
      <c r="AD6" s="154">
        <v>0.29166666666666669</v>
      </c>
      <c r="AE6" s="154">
        <v>0.29166666666666669</v>
      </c>
      <c r="AF6" s="154">
        <v>0.29166666666666669</v>
      </c>
      <c r="AG6" s="154">
        <v>0.29166666666666669</v>
      </c>
      <c r="AH6" s="154">
        <v>0.29166666666666669</v>
      </c>
      <c r="AI6" s="154">
        <v>0.29166666666666669</v>
      </c>
      <c r="AJ6" s="154" t="s">
        <v>424</v>
      </c>
      <c r="AK6" s="154" t="s">
        <v>424</v>
      </c>
      <c r="AL6" s="154" t="s">
        <v>424</v>
      </c>
    </row>
    <row r="7" spans="1:46" hidden="1" x14ac:dyDescent="0.25">
      <c r="A7">
        <v>6</v>
      </c>
      <c r="B7">
        <v>2025</v>
      </c>
      <c r="C7">
        <v>2</v>
      </c>
      <c r="D7" t="s">
        <v>402</v>
      </c>
      <c r="E7">
        <v>30</v>
      </c>
      <c r="F7">
        <v>2</v>
      </c>
      <c r="G7" t="s">
        <v>535</v>
      </c>
      <c r="H7" s="154">
        <v>0.75</v>
      </c>
      <c r="I7" s="154">
        <v>0.75</v>
      </c>
      <c r="J7" s="154">
        <v>0.75</v>
      </c>
      <c r="K7" s="154">
        <v>0.75</v>
      </c>
      <c r="L7" s="154">
        <v>0.75</v>
      </c>
      <c r="M7" s="154">
        <v>0.75</v>
      </c>
      <c r="N7" s="154">
        <v>0.75</v>
      </c>
      <c r="O7" s="154">
        <v>0.75</v>
      </c>
      <c r="P7" s="154">
        <v>0.75</v>
      </c>
      <c r="Q7" s="154">
        <v>0.75</v>
      </c>
      <c r="R7" s="154">
        <v>0.75</v>
      </c>
      <c r="S7" s="154">
        <v>0.75</v>
      </c>
      <c r="T7" s="154">
        <v>0.75</v>
      </c>
      <c r="U7" s="154">
        <v>0.75</v>
      </c>
      <c r="V7" s="154">
        <v>0.75</v>
      </c>
      <c r="W7" s="154">
        <v>0.75</v>
      </c>
      <c r="X7" s="154">
        <v>0.75</v>
      </c>
      <c r="Y7" s="154">
        <v>0.75</v>
      </c>
      <c r="Z7" s="154">
        <v>0.75</v>
      </c>
      <c r="AA7" s="154">
        <v>0.75</v>
      </c>
      <c r="AB7" s="154">
        <v>0.75</v>
      </c>
      <c r="AC7" s="154">
        <v>0.75</v>
      </c>
      <c r="AD7" s="154">
        <v>0.75</v>
      </c>
      <c r="AE7" s="154">
        <v>0.75</v>
      </c>
      <c r="AF7" s="154">
        <v>0.75</v>
      </c>
      <c r="AG7" s="154">
        <v>0.79166666666666663</v>
      </c>
      <c r="AH7" s="154">
        <v>0.79166666666666663</v>
      </c>
      <c r="AI7" s="154">
        <v>0.75</v>
      </c>
      <c r="AJ7" s="154" t="s">
        <v>424</v>
      </c>
      <c r="AK7" s="154" t="s">
        <v>424</v>
      </c>
      <c r="AL7" s="154" t="s">
        <v>424</v>
      </c>
      <c r="AM7">
        <v>30</v>
      </c>
      <c r="AS7">
        <v>3</v>
      </c>
    </row>
    <row r="8" spans="1:46" hidden="1" x14ac:dyDescent="0.25">
      <c r="A8">
        <v>7</v>
      </c>
      <c r="B8">
        <v>2025</v>
      </c>
      <c r="C8">
        <v>1</v>
      </c>
      <c r="D8" t="s">
        <v>238</v>
      </c>
      <c r="E8">
        <v>31</v>
      </c>
      <c r="F8">
        <v>1</v>
      </c>
      <c r="G8" t="s">
        <v>534</v>
      </c>
      <c r="H8" s="154" t="s">
        <v>424</v>
      </c>
      <c r="I8" s="154" t="s">
        <v>424</v>
      </c>
      <c r="J8" s="154" t="s">
        <v>424</v>
      </c>
      <c r="K8" s="154" t="s">
        <v>424</v>
      </c>
      <c r="L8" s="154" t="s">
        <v>424</v>
      </c>
      <c r="M8" s="154" t="s">
        <v>424</v>
      </c>
      <c r="N8" s="154" t="s">
        <v>424</v>
      </c>
      <c r="O8" s="154" t="s">
        <v>424</v>
      </c>
      <c r="P8" s="154" t="s">
        <v>424</v>
      </c>
      <c r="Q8" s="154" t="s">
        <v>424</v>
      </c>
      <c r="R8" s="154" t="s">
        <v>424</v>
      </c>
      <c r="S8" s="154" t="s">
        <v>424</v>
      </c>
      <c r="T8" s="154" t="s">
        <v>424</v>
      </c>
      <c r="U8" s="154" t="s">
        <v>424</v>
      </c>
      <c r="V8" s="154" t="s">
        <v>424</v>
      </c>
      <c r="W8" s="154" t="s">
        <v>424</v>
      </c>
      <c r="X8" s="154" t="s">
        <v>424</v>
      </c>
      <c r="Y8" s="154" t="s">
        <v>424</v>
      </c>
      <c r="Z8" s="154" t="s">
        <v>424</v>
      </c>
      <c r="AA8" s="154" t="s">
        <v>424</v>
      </c>
      <c r="AB8" s="154" t="s">
        <v>424</v>
      </c>
      <c r="AC8" s="154" t="s">
        <v>424</v>
      </c>
      <c r="AD8" s="154" t="s">
        <v>424</v>
      </c>
      <c r="AE8" s="154">
        <v>0.29166666666666669</v>
      </c>
      <c r="AF8" s="154">
        <v>0.29166666666666669</v>
      </c>
      <c r="AG8" s="154">
        <v>0.29166666666666669</v>
      </c>
      <c r="AH8" s="154">
        <v>0.29166666666666669</v>
      </c>
      <c r="AI8" s="154">
        <v>0.29166666666666669</v>
      </c>
      <c r="AJ8" s="154">
        <v>0.29166666666666669</v>
      </c>
      <c r="AK8" s="154">
        <v>0.29166666666666669</v>
      </c>
      <c r="AL8" s="154">
        <v>0.29166666666666669</v>
      </c>
      <c r="AS8">
        <v>4</v>
      </c>
    </row>
    <row r="9" spans="1:46" hidden="1" x14ac:dyDescent="0.25">
      <c r="A9">
        <v>8</v>
      </c>
      <c r="B9">
        <v>2025</v>
      </c>
      <c r="C9">
        <v>1</v>
      </c>
      <c r="D9" t="s">
        <v>238</v>
      </c>
      <c r="E9">
        <v>31</v>
      </c>
      <c r="F9">
        <v>1</v>
      </c>
      <c r="G9" t="s">
        <v>535</v>
      </c>
      <c r="H9" s="154" t="s">
        <v>424</v>
      </c>
      <c r="I9" s="154" t="s">
        <v>424</v>
      </c>
      <c r="J9" s="154" t="s">
        <v>424</v>
      </c>
      <c r="K9" s="154" t="s">
        <v>424</v>
      </c>
      <c r="L9" s="154" t="s">
        <v>424</v>
      </c>
      <c r="M9" s="154" t="s">
        <v>424</v>
      </c>
      <c r="N9" s="154" t="s">
        <v>424</v>
      </c>
      <c r="O9" s="154" t="s">
        <v>424</v>
      </c>
      <c r="P9" s="154" t="s">
        <v>424</v>
      </c>
      <c r="Q9" s="154" t="s">
        <v>424</v>
      </c>
      <c r="R9" s="154" t="s">
        <v>424</v>
      </c>
      <c r="S9" s="154" t="s">
        <v>424</v>
      </c>
      <c r="T9" s="154" t="s">
        <v>424</v>
      </c>
      <c r="U9" s="154" t="s">
        <v>424</v>
      </c>
      <c r="V9" s="154" t="s">
        <v>424</v>
      </c>
      <c r="W9" s="154" t="s">
        <v>424</v>
      </c>
      <c r="X9" s="154" t="s">
        <v>424</v>
      </c>
      <c r="Y9" s="154" t="s">
        <v>424</v>
      </c>
      <c r="Z9" s="154" t="s">
        <v>424</v>
      </c>
      <c r="AA9" s="154" t="s">
        <v>424</v>
      </c>
      <c r="AB9" s="154" t="s">
        <v>424</v>
      </c>
      <c r="AC9" s="154" t="s">
        <v>424</v>
      </c>
      <c r="AD9" s="154" t="s">
        <v>424</v>
      </c>
      <c r="AE9" s="154">
        <v>0.75</v>
      </c>
      <c r="AF9" s="154">
        <v>0.75</v>
      </c>
      <c r="AG9" s="154">
        <v>0.75</v>
      </c>
      <c r="AH9" s="154">
        <v>0.75</v>
      </c>
      <c r="AI9" s="154">
        <v>0.75</v>
      </c>
      <c r="AJ9" s="154">
        <v>0.75</v>
      </c>
      <c r="AK9" s="154">
        <v>0.75</v>
      </c>
      <c r="AL9" s="154">
        <v>0.75</v>
      </c>
      <c r="AM9" cm="1">
        <f t="array" ref="AM9">SUM(IFERROR(IF((H9:AL9-H8:AL8)*24&gt;=11,1,""),""))</f>
        <v>8</v>
      </c>
      <c r="AO9" cm="1">
        <f t="array" ref="AO9">SUM(IFERROR(MOD((H9:AL9-H8:AL8)*24,11),""))</f>
        <v>0</v>
      </c>
      <c r="AS9">
        <v>5</v>
      </c>
    </row>
    <row r="10" spans="1:46" hidden="1" x14ac:dyDescent="0.25">
      <c r="A10">
        <v>9</v>
      </c>
      <c r="B10">
        <v>2025</v>
      </c>
      <c r="C10">
        <v>2</v>
      </c>
      <c r="D10" t="s">
        <v>238</v>
      </c>
      <c r="E10">
        <v>31</v>
      </c>
      <c r="F10">
        <v>1</v>
      </c>
      <c r="G10" t="s">
        <v>534</v>
      </c>
      <c r="H10" s="154">
        <v>0.29166666666666669</v>
      </c>
      <c r="I10" s="154">
        <v>0.29166666666666669</v>
      </c>
      <c r="J10" s="154">
        <v>0.29166666666666669</v>
      </c>
      <c r="K10" s="154">
        <v>0.29166666666666669</v>
      </c>
      <c r="L10" s="154">
        <v>0.29166666666666669</v>
      </c>
      <c r="M10" s="154">
        <v>0.29166666666666669</v>
      </c>
      <c r="N10" s="154">
        <v>0.29166666666666669</v>
      </c>
      <c r="O10" s="154">
        <v>0.29166666666666669</v>
      </c>
      <c r="P10" s="154">
        <v>0.29166666666666669</v>
      </c>
      <c r="Q10" s="154">
        <v>0.29166666666666669</v>
      </c>
      <c r="R10" s="154">
        <v>0.29166666666666669</v>
      </c>
      <c r="S10" s="154">
        <v>0.29166666666666669</v>
      </c>
      <c r="T10" s="154">
        <v>0.29166666666666669</v>
      </c>
      <c r="U10" s="154">
        <v>0.29166666666666669</v>
      </c>
      <c r="V10" s="154">
        <v>0.29166666666666669</v>
      </c>
      <c r="W10" s="154">
        <v>0.29166666666666669</v>
      </c>
      <c r="X10" s="154">
        <v>0.29166666666666669</v>
      </c>
      <c r="Y10" s="154">
        <v>0.29166666666666669</v>
      </c>
      <c r="Z10" s="154">
        <v>0.29166666666666669</v>
      </c>
      <c r="AA10" s="154">
        <v>0.29166666666666669</v>
      </c>
      <c r="AB10" s="154">
        <v>0.29166666666666669</v>
      </c>
      <c r="AC10" s="154">
        <v>0.29166666666666669</v>
      </c>
      <c r="AD10" s="154">
        <v>0.29166666666666669</v>
      </c>
      <c r="AE10" s="154">
        <v>0.29166666666666669</v>
      </c>
      <c r="AF10" s="154">
        <v>0.29166666666666669</v>
      </c>
      <c r="AG10" s="154">
        <v>0.29166666666666669</v>
      </c>
      <c r="AH10" s="154">
        <v>0.29166666666666669</v>
      </c>
      <c r="AI10" s="154">
        <v>0.29166666666666669</v>
      </c>
      <c r="AJ10" s="154" t="s">
        <v>424</v>
      </c>
      <c r="AK10" s="154" t="s">
        <v>424</v>
      </c>
      <c r="AL10" s="154" t="s">
        <v>424</v>
      </c>
      <c r="AS10">
        <v>6</v>
      </c>
    </row>
    <row r="11" spans="1:46" hidden="1" x14ac:dyDescent="0.25">
      <c r="A11">
        <v>10</v>
      </c>
      <c r="B11">
        <v>2025</v>
      </c>
      <c r="C11">
        <v>2</v>
      </c>
      <c r="D11" t="s">
        <v>238</v>
      </c>
      <c r="E11">
        <v>31</v>
      </c>
      <c r="F11">
        <v>1</v>
      </c>
      <c r="G11" t="s">
        <v>535</v>
      </c>
      <c r="H11" s="154">
        <v>0.75</v>
      </c>
      <c r="I11" s="154">
        <v>0.75</v>
      </c>
      <c r="J11" s="154">
        <v>0.75</v>
      </c>
      <c r="K11" s="154">
        <v>0.75</v>
      </c>
      <c r="L11" s="154">
        <v>0.75</v>
      </c>
      <c r="M11" s="154">
        <v>0.75</v>
      </c>
      <c r="N11" s="154">
        <v>0.75</v>
      </c>
      <c r="O11" s="154">
        <v>0.75</v>
      </c>
      <c r="P11" s="154">
        <v>0.75</v>
      </c>
      <c r="Q11" s="154">
        <v>0.75</v>
      </c>
      <c r="R11" s="154">
        <v>0.75</v>
      </c>
      <c r="S11" s="154">
        <v>0.75</v>
      </c>
      <c r="T11" s="154">
        <v>0.75</v>
      </c>
      <c r="U11" s="154">
        <v>0.75</v>
      </c>
      <c r="V11" s="154">
        <v>0.75</v>
      </c>
      <c r="W11" s="154">
        <v>0.75</v>
      </c>
      <c r="X11" s="154">
        <v>0.75</v>
      </c>
      <c r="Y11" s="154">
        <v>0.75</v>
      </c>
      <c r="Z11" s="154">
        <v>0.75</v>
      </c>
      <c r="AA11" s="154">
        <v>0.75</v>
      </c>
      <c r="AB11" s="154">
        <v>0.75</v>
      </c>
      <c r="AC11" s="154">
        <v>0.75</v>
      </c>
      <c r="AD11" s="154">
        <v>0.75</v>
      </c>
      <c r="AE11" s="154">
        <v>0.75</v>
      </c>
      <c r="AF11" s="154">
        <v>0.75</v>
      </c>
      <c r="AG11" s="154">
        <v>0.79166666666666663</v>
      </c>
      <c r="AH11" s="154">
        <v>0.79166666666666663</v>
      </c>
      <c r="AI11" s="154">
        <v>0.75</v>
      </c>
      <c r="AJ11" s="154" t="s">
        <v>424</v>
      </c>
      <c r="AK11" s="154" t="s">
        <v>424</v>
      </c>
      <c r="AL11" s="154" t="s">
        <v>424</v>
      </c>
      <c r="AM11" cm="1">
        <f t="array" ref="AM11">SUM(IFERROR(IF((H11:AL11-H10:AL10)*24&gt;=11,1,""),""))</f>
        <v>28</v>
      </c>
      <c r="AO11" cm="1">
        <f t="array" ref="AO11">SUM(IFERROR(MOD((H11:AL11-H10:AL10)*24,11),""))</f>
        <v>1.9999999999999964</v>
      </c>
      <c r="AS11">
        <v>7</v>
      </c>
    </row>
    <row r="12" spans="1:46" hidden="1" x14ac:dyDescent="0.25">
      <c r="A12">
        <v>11</v>
      </c>
      <c r="B12">
        <v>2025</v>
      </c>
      <c r="C12">
        <v>1</v>
      </c>
      <c r="D12" t="s">
        <v>260</v>
      </c>
      <c r="E12">
        <v>31</v>
      </c>
      <c r="F12">
        <v>1</v>
      </c>
      <c r="G12" t="s">
        <v>534</v>
      </c>
      <c r="H12" s="154" t="s">
        <v>424</v>
      </c>
      <c r="I12" s="154" t="s">
        <v>424</v>
      </c>
      <c r="J12" s="154" t="s">
        <v>424</v>
      </c>
      <c r="K12" s="154" t="s">
        <v>424</v>
      </c>
      <c r="L12" s="154" t="s">
        <v>424</v>
      </c>
      <c r="M12" s="154" t="s">
        <v>424</v>
      </c>
      <c r="N12" s="154" t="s">
        <v>424</v>
      </c>
      <c r="O12" s="154" t="s">
        <v>424</v>
      </c>
      <c r="P12" s="154" t="s">
        <v>424</v>
      </c>
      <c r="Q12" s="154" t="s">
        <v>424</v>
      </c>
      <c r="R12" s="154" t="s">
        <v>424</v>
      </c>
      <c r="S12" s="154" t="s">
        <v>424</v>
      </c>
      <c r="T12" s="154" t="s">
        <v>424</v>
      </c>
      <c r="U12" s="154" t="s">
        <v>424</v>
      </c>
      <c r="V12" s="154" t="s">
        <v>424</v>
      </c>
      <c r="W12" s="154" t="s">
        <v>424</v>
      </c>
      <c r="X12" s="154" t="s">
        <v>424</v>
      </c>
      <c r="Y12" s="154" t="s">
        <v>424</v>
      </c>
      <c r="Z12" s="154" t="s">
        <v>424</v>
      </c>
      <c r="AA12" s="154" t="s">
        <v>424</v>
      </c>
      <c r="AB12" s="154" t="s">
        <v>424</v>
      </c>
      <c r="AC12" s="154" t="s">
        <v>424</v>
      </c>
      <c r="AD12" s="154" t="s">
        <v>424</v>
      </c>
      <c r="AE12" s="154" t="s">
        <v>424</v>
      </c>
      <c r="AF12" s="154" t="s">
        <v>424</v>
      </c>
      <c r="AG12" s="154" t="s">
        <v>424</v>
      </c>
      <c r="AH12" s="154" t="s">
        <v>424</v>
      </c>
      <c r="AI12" s="154" t="s">
        <v>424</v>
      </c>
      <c r="AJ12" s="154">
        <v>0.29166666666666669</v>
      </c>
      <c r="AK12" s="154">
        <v>0.29166666666666669</v>
      </c>
      <c r="AL12" s="154">
        <v>0.29166666666666669</v>
      </c>
      <c r="AS12">
        <v>8</v>
      </c>
    </row>
    <row r="13" spans="1:46" hidden="1" x14ac:dyDescent="0.25">
      <c r="A13">
        <v>12</v>
      </c>
      <c r="B13">
        <v>2025</v>
      </c>
      <c r="C13">
        <v>1</v>
      </c>
      <c r="D13" t="s">
        <v>260</v>
      </c>
      <c r="E13">
        <v>31</v>
      </c>
      <c r="F13">
        <v>1</v>
      </c>
      <c r="G13" t="s">
        <v>535</v>
      </c>
      <c r="H13" s="154" t="s">
        <v>424</v>
      </c>
      <c r="I13" s="154" t="s">
        <v>424</v>
      </c>
      <c r="J13" s="154" t="s">
        <v>424</v>
      </c>
      <c r="K13" s="154" t="s">
        <v>424</v>
      </c>
      <c r="L13" s="154" t="s">
        <v>424</v>
      </c>
      <c r="M13" s="154" t="s">
        <v>424</v>
      </c>
      <c r="N13" s="154" t="s">
        <v>424</v>
      </c>
      <c r="O13" s="154" t="s">
        <v>424</v>
      </c>
      <c r="P13" s="154" t="s">
        <v>424</v>
      </c>
      <c r="Q13" s="154" t="s">
        <v>424</v>
      </c>
      <c r="R13" s="154" t="s">
        <v>424</v>
      </c>
      <c r="S13" s="154" t="s">
        <v>424</v>
      </c>
      <c r="T13" s="154" t="s">
        <v>424</v>
      </c>
      <c r="U13" s="154" t="s">
        <v>424</v>
      </c>
      <c r="V13" s="154" t="s">
        <v>424</v>
      </c>
      <c r="W13" s="154" t="s">
        <v>424</v>
      </c>
      <c r="X13" s="154" t="s">
        <v>424</v>
      </c>
      <c r="Y13" s="154" t="s">
        <v>424</v>
      </c>
      <c r="Z13" s="154" t="s">
        <v>424</v>
      </c>
      <c r="AA13" s="154" t="s">
        <v>424</v>
      </c>
      <c r="AB13" s="154" t="s">
        <v>424</v>
      </c>
      <c r="AC13" s="154" t="s">
        <v>424</v>
      </c>
      <c r="AD13" s="154" t="s">
        <v>424</v>
      </c>
      <c r="AE13" s="154" t="s">
        <v>424</v>
      </c>
      <c r="AF13" s="154" t="s">
        <v>424</v>
      </c>
      <c r="AG13" s="154" t="s">
        <v>424</v>
      </c>
      <c r="AH13" s="154" t="s">
        <v>424</v>
      </c>
      <c r="AI13" s="154" t="s">
        <v>424</v>
      </c>
      <c r="AJ13" s="154">
        <v>0.75</v>
      </c>
      <c r="AK13" s="154">
        <v>0.75</v>
      </c>
      <c r="AL13" s="154">
        <v>0.75</v>
      </c>
      <c r="AM13" cm="1">
        <f t="array" ref="AM13">SUM(IFERROR(IF((H13:AL13-H12:AL12)*24&gt;=11,1,""),""))</f>
        <v>3</v>
      </c>
      <c r="AS13">
        <v>9</v>
      </c>
    </row>
    <row r="14" spans="1:46" hidden="1" x14ac:dyDescent="0.25">
      <c r="A14">
        <v>13</v>
      </c>
      <c r="B14">
        <v>2025</v>
      </c>
      <c r="C14">
        <v>2</v>
      </c>
      <c r="D14" t="s">
        <v>260</v>
      </c>
      <c r="E14">
        <v>31</v>
      </c>
      <c r="F14">
        <v>1</v>
      </c>
      <c r="G14" t="s">
        <v>534</v>
      </c>
      <c r="H14" s="154">
        <v>0.29166666666666669</v>
      </c>
      <c r="I14" s="154">
        <v>0.29166666666666669</v>
      </c>
      <c r="J14" s="154">
        <v>0.29166666666666669</v>
      </c>
      <c r="K14" s="154">
        <v>0.29166666666666669</v>
      </c>
      <c r="L14" s="154">
        <v>0.29166666666666669</v>
      </c>
      <c r="M14" s="154">
        <v>0.29166666666666669</v>
      </c>
      <c r="N14" s="154">
        <v>0.29166666666666669</v>
      </c>
      <c r="O14" s="154">
        <v>0.29166666666666669</v>
      </c>
      <c r="P14" s="154">
        <v>0.29166666666666669</v>
      </c>
      <c r="Q14" s="154">
        <v>0.29166666666666669</v>
      </c>
      <c r="R14" s="154">
        <v>0.29166666666666669</v>
      </c>
      <c r="S14" s="154">
        <v>0.29166666666666669</v>
      </c>
      <c r="T14" s="154">
        <v>0.29166666666666669</v>
      </c>
      <c r="U14" s="154">
        <v>0.29166666666666669</v>
      </c>
      <c r="V14" s="154">
        <v>0.29166666666666669</v>
      </c>
      <c r="W14" s="154">
        <v>0.29166666666666669</v>
      </c>
      <c r="X14" s="154">
        <v>0.29166666666666669</v>
      </c>
      <c r="Y14" s="154">
        <v>0.29166666666666669</v>
      </c>
      <c r="Z14" s="154">
        <v>0.29166666666666669</v>
      </c>
      <c r="AA14" s="154">
        <v>0.29166666666666669</v>
      </c>
      <c r="AB14" s="154">
        <v>0.29166666666666669</v>
      </c>
      <c r="AC14" s="154">
        <v>0.29166666666666669</v>
      </c>
      <c r="AD14" s="154">
        <v>0.29166666666666669</v>
      </c>
      <c r="AE14" s="154">
        <v>0.29166666666666669</v>
      </c>
      <c r="AF14" s="154">
        <v>0.29166666666666669</v>
      </c>
      <c r="AG14" s="154">
        <v>0.29166666666666669</v>
      </c>
      <c r="AH14" s="154">
        <v>0.29166666666666669</v>
      </c>
      <c r="AI14" s="154">
        <v>0.29166666666666669</v>
      </c>
      <c r="AJ14" s="154" t="s">
        <v>424</v>
      </c>
      <c r="AK14" s="154" t="s">
        <v>424</v>
      </c>
      <c r="AL14" s="154" t="s">
        <v>424</v>
      </c>
      <c r="AS14">
        <v>10</v>
      </c>
    </row>
    <row r="15" spans="1:46" hidden="1" x14ac:dyDescent="0.25">
      <c r="A15">
        <v>14</v>
      </c>
      <c r="B15">
        <v>2025</v>
      </c>
      <c r="C15">
        <v>2</v>
      </c>
      <c r="D15" t="s">
        <v>260</v>
      </c>
      <c r="E15">
        <v>31</v>
      </c>
      <c r="F15">
        <v>1</v>
      </c>
      <c r="G15" t="s">
        <v>535</v>
      </c>
      <c r="H15" s="154">
        <v>0.75</v>
      </c>
      <c r="I15" s="154">
        <v>0.75</v>
      </c>
      <c r="J15" s="154">
        <v>0.75</v>
      </c>
      <c r="K15" s="154">
        <v>0.75</v>
      </c>
      <c r="L15" s="154">
        <v>0.75</v>
      </c>
      <c r="M15" s="154">
        <v>0.75</v>
      </c>
      <c r="N15" s="154">
        <v>0.75</v>
      </c>
      <c r="O15" s="154">
        <v>0.75</v>
      </c>
      <c r="P15" s="154">
        <v>0.75</v>
      </c>
      <c r="Q15" s="154">
        <v>0.75</v>
      </c>
      <c r="R15" s="154">
        <v>0.75</v>
      </c>
      <c r="S15" s="154">
        <v>0.75</v>
      </c>
      <c r="T15" s="154">
        <v>0.75</v>
      </c>
      <c r="U15" s="154">
        <v>0.75</v>
      </c>
      <c r="V15" s="154">
        <v>0.75</v>
      </c>
      <c r="W15" s="154">
        <v>0.75</v>
      </c>
      <c r="X15" s="154">
        <v>0.75</v>
      </c>
      <c r="Y15" s="154">
        <v>0.75</v>
      </c>
      <c r="Z15" s="154">
        <v>0.75</v>
      </c>
      <c r="AA15" s="154">
        <v>0.75</v>
      </c>
      <c r="AB15" s="154">
        <v>0.75</v>
      </c>
      <c r="AC15" s="154">
        <v>0.75</v>
      </c>
      <c r="AD15" s="154">
        <v>0.75</v>
      </c>
      <c r="AE15" s="154">
        <v>0.75</v>
      </c>
      <c r="AF15" s="154">
        <v>0.75</v>
      </c>
      <c r="AG15" s="154">
        <v>0.75</v>
      </c>
      <c r="AH15" s="154">
        <v>0.75</v>
      </c>
      <c r="AI15" s="154">
        <v>0.75</v>
      </c>
      <c r="AJ15" s="154" t="s">
        <v>424</v>
      </c>
      <c r="AK15" s="154" t="s">
        <v>424</v>
      </c>
      <c r="AL15" s="154" t="s">
        <v>424</v>
      </c>
      <c r="AM15" cm="1">
        <f t="array" ref="AM15">SUM(IFERROR(IF((H15:AL15-H14:AL14)*24&gt;=11,1,""),""))</f>
        <v>28</v>
      </c>
      <c r="AS15">
        <v>11</v>
      </c>
    </row>
    <row r="16" spans="1:46" hidden="1" x14ac:dyDescent="0.25">
      <c r="A16">
        <v>15</v>
      </c>
      <c r="B16">
        <v>2025</v>
      </c>
      <c r="C16">
        <v>2</v>
      </c>
      <c r="D16" t="s">
        <v>239</v>
      </c>
      <c r="E16">
        <v>31</v>
      </c>
      <c r="F16">
        <v>1</v>
      </c>
      <c r="G16" t="s">
        <v>534</v>
      </c>
      <c r="H16" s="154" t="s">
        <v>424</v>
      </c>
      <c r="I16" s="154" t="s">
        <v>424</v>
      </c>
      <c r="J16" s="154" t="s">
        <v>424</v>
      </c>
      <c r="K16" s="154" t="s">
        <v>424</v>
      </c>
      <c r="L16" s="154" t="s">
        <v>424</v>
      </c>
      <c r="M16" s="154">
        <v>0.29166666666666669</v>
      </c>
      <c r="N16" s="154">
        <v>0.29166666666666669</v>
      </c>
      <c r="O16" s="154">
        <v>0.29166666666666669</v>
      </c>
      <c r="P16" s="154">
        <v>0.29166666666666669</v>
      </c>
      <c r="Q16" s="154">
        <v>0.29166666666666669</v>
      </c>
      <c r="R16" s="154">
        <v>0.29166666666666669</v>
      </c>
      <c r="S16" s="154" t="s">
        <v>424</v>
      </c>
      <c r="T16" s="154" t="s">
        <v>424</v>
      </c>
      <c r="U16" s="154" t="s">
        <v>424</v>
      </c>
      <c r="V16" s="154" t="s">
        <v>424</v>
      </c>
      <c r="W16" s="154" t="s">
        <v>424</v>
      </c>
      <c r="X16" s="154" t="s">
        <v>424</v>
      </c>
      <c r="Y16" s="154" t="s">
        <v>424</v>
      </c>
      <c r="Z16" s="154" t="s">
        <v>424</v>
      </c>
      <c r="AA16" s="154" t="s">
        <v>424</v>
      </c>
      <c r="AB16" s="154" t="s">
        <v>424</v>
      </c>
      <c r="AC16" s="154" t="s">
        <v>424</v>
      </c>
      <c r="AD16" s="154" t="s">
        <v>424</v>
      </c>
      <c r="AE16" s="154" t="s">
        <v>424</v>
      </c>
      <c r="AF16" s="154" t="s">
        <v>424</v>
      </c>
      <c r="AG16" s="154" t="s">
        <v>424</v>
      </c>
      <c r="AH16" s="154" t="s">
        <v>424</v>
      </c>
      <c r="AI16" s="154" t="s">
        <v>424</v>
      </c>
      <c r="AJ16" s="154" t="s">
        <v>424</v>
      </c>
      <c r="AK16" s="154" t="s">
        <v>424</v>
      </c>
      <c r="AL16" s="154" t="s">
        <v>424</v>
      </c>
      <c r="AS16">
        <v>12</v>
      </c>
    </row>
    <row r="17" spans="1:45" hidden="1" x14ac:dyDescent="0.25">
      <c r="A17">
        <v>16</v>
      </c>
      <c r="B17">
        <v>2025</v>
      </c>
      <c r="C17">
        <v>2</v>
      </c>
      <c r="D17" t="s">
        <v>239</v>
      </c>
      <c r="E17">
        <v>31</v>
      </c>
      <c r="F17">
        <v>1</v>
      </c>
      <c r="G17" t="s">
        <v>535</v>
      </c>
      <c r="H17" s="154" t="s">
        <v>424</v>
      </c>
      <c r="I17" s="154" t="s">
        <v>424</v>
      </c>
      <c r="J17" s="154" t="s">
        <v>424</v>
      </c>
      <c r="K17" s="154" t="s">
        <v>424</v>
      </c>
      <c r="L17" s="154" t="s">
        <v>424</v>
      </c>
      <c r="M17" s="154">
        <v>0.75</v>
      </c>
      <c r="N17" s="154">
        <v>0.75</v>
      </c>
      <c r="O17" s="154">
        <v>0.75</v>
      </c>
      <c r="P17" s="154">
        <v>0.75</v>
      </c>
      <c r="Q17" s="154">
        <v>0.75</v>
      </c>
      <c r="R17" s="154">
        <v>0.75</v>
      </c>
      <c r="S17" s="154" t="s">
        <v>424</v>
      </c>
      <c r="T17" s="154" t="s">
        <v>424</v>
      </c>
      <c r="U17" s="154" t="s">
        <v>424</v>
      </c>
      <c r="V17" s="154" t="s">
        <v>424</v>
      </c>
      <c r="W17" s="154" t="s">
        <v>424</v>
      </c>
      <c r="X17" s="154" t="s">
        <v>424</v>
      </c>
      <c r="Y17" s="154" t="s">
        <v>424</v>
      </c>
      <c r="Z17" s="154" t="s">
        <v>424</v>
      </c>
      <c r="AA17" s="154" t="s">
        <v>424</v>
      </c>
      <c r="AB17" s="154" t="s">
        <v>424</v>
      </c>
      <c r="AC17" s="154" t="s">
        <v>424</v>
      </c>
      <c r="AD17" s="154" t="s">
        <v>424</v>
      </c>
      <c r="AE17" s="154" t="s">
        <v>424</v>
      </c>
      <c r="AF17" s="154" t="s">
        <v>424</v>
      </c>
      <c r="AG17" s="154" t="s">
        <v>424</v>
      </c>
      <c r="AH17" s="154" t="s">
        <v>424</v>
      </c>
      <c r="AI17" s="154" t="s">
        <v>424</v>
      </c>
      <c r="AJ17" s="154" t="s">
        <v>424</v>
      </c>
      <c r="AK17" s="154" t="s">
        <v>424</v>
      </c>
      <c r="AL17" s="154" t="s">
        <v>424</v>
      </c>
      <c r="AM17" cm="1">
        <f t="array" ref="AM17">SUM(IFERROR(IF((H17:AL17-H16:AL16)*24&gt;=11,1,""),""))</f>
        <v>6</v>
      </c>
      <c r="AO17" cm="1">
        <f t="array" ref="AO17">SUM(IFERROR(MOD((H17:AL17-H16:AL16)*24,11),""))</f>
        <v>0</v>
      </c>
      <c r="AS17">
        <v>13</v>
      </c>
    </row>
    <row r="18" spans="1:45" hidden="1" x14ac:dyDescent="0.25">
      <c r="A18">
        <v>17</v>
      </c>
      <c r="B18">
        <v>2025</v>
      </c>
      <c r="C18">
        <v>2</v>
      </c>
      <c r="D18" t="s">
        <v>240</v>
      </c>
      <c r="E18">
        <v>31</v>
      </c>
      <c r="F18">
        <v>1</v>
      </c>
      <c r="G18" t="s">
        <v>534</v>
      </c>
      <c r="H18" s="154" t="s">
        <v>424</v>
      </c>
      <c r="I18" s="154" t="s">
        <v>424</v>
      </c>
      <c r="J18" s="154" t="s">
        <v>424</v>
      </c>
      <c r="K18" s="154" t="s">
        <v>424</v>
      </c>
      <c r="L18" s="154" t="s">
        <v>424</v>
      </c>
      <c r="M18" s="154" t="s">
        <v>424</v>
      </c>
      <c r="N18" s="154" t="s">
        <v>424</v>
      </c>
      <c r="O18" s="154" t="s">
        <v>424</v>
      </c>
      <c r="P18" s="154" t="s">
        <v>424</v>
      </c>
      <c r="Q18" s="154" t="s">
        <v>424</v>
      </c>
      <c r="R18" s="154" t="s">
        <v>424</v>
      </c>
      <c r="S18" s="154">
        <v>0.29166666666666669</v>
      </c>
      <c r="T18" s="154">
        <v>0.29166666666666669</v>
      </c>
      <c r="U18" s="154">
        <v>0.29166666666666669</v>
      </c>
      <c r="V18" s="154">
        <v>0.29166666666666669</v>
      </c>
      <c r="W18" s="154">
        <v>0.29166666666666669</v>
      </c>
      <c r="X18" s="154">
        <v>0.29166666666666669</v>
      </c>
      <c r="Y18" s="154">
        <v>0.29166666666666669</v>
      </c>
      <c r="Z18" s="154">
        <v>0.29166666666666669</v>
      </c>
      <c r="AA18" s="154">
        <v>0.29166666666666669</v>
      </c>
      <c r="AB18" s="154">
        <v>0.29166666666666669</v>
      </c>
      <c r="AC18" s="154">
        <v>0.29166666666666669</v>
      </c>
      <c r="AD18" s="154">
        <v>0.29166666666666669</v>
      </c>
      <c r="AE18" s="154">
        <v>0.29166666666666669</v>
      </c>
      <c r="AF18" s="154">
        <v>0.29166666666666669</v>
      </c>
      <c r="AG18" s="154">
        <v>0.29166666666666669</v>
      </c>
      <c r="AH18" s="154">
        <v>0.29166666666666669</v>
      </c>
      <c r="AI18" s="154">
        <v>0.29166666666666669</v>
      </c>
      <c r="AJ18" s="154" t="s">
        <v>424</v>
      </c>
      <c r="AK18" s="154" t="s">
        <v>424</v>
      </c>
      <c r="AL18" s="154" t="s">
        <v>424</v>
      </c>
      <c r="AS18">
        <v>14</v>
      </c>
    </row>
    <row r="19" spans="1:45" hidden="1" x14ac:dyDescent="0.25">
      <c r="A19">
        <v>18</v>
      </c>
      <c r="B19">
        <v>2025</v>
      </c>
      <c r="C19">
        <v>2</v>
      </c>
      <c r="D19" t="s">
        <v>240</v>
      </c>
      <c r="E19">
        <v>31</v>
      </c>
      <c r="F19">
        <v>1</v>
      </c>
      <c r="G19" t="s">
        <v>535</v>
      </c>
      <c r="H19" s="154" t="s">
        <v>424</v>
      </c>
      <c r="I19" s="154" t="s">
        <v>424</v>
      </c>
      <c r="J19" s="154" t="s">
        <v>424</v>
      </c>
      <c r="K19" s="154" t="s">
        <v>424</v>
      </c>
      <c r="L19" s="154" t="s">
        <v>424</v>
      </c>
      <c r="M19" s="154" t="s">
        <v>424</v>
      </c>
      <c r="N19" s="154" t="s">
        <v>424</v>
      </c>
      <c r="O19" s="154" t="s">
        <v>424</v>
      </c>
      <c r="P19" s="154" t="s">
        <v>424</v>
      </c>
      <c r="Q19" s="154" t="s">
        <v>424</v>
      </c>
      <c r="R19" s="154" t="s">
        <v>424</v>
      </c>
      <c r="S19" s="154">
        <v>0.75</v>
      </c>
      <c r="T19" s="154">
        <v>0.75</v>
      </c>
      <c r="U19" s="154">
        <v>0.75</v>
      </c>
      <c r="V19" s="154">
        <v>0.75</v>
      </c>
      <c r="W19" s="154">
        <v>0.75</v>
      </c>
      <c r="X19" s="154">
        <v>0.75</v>
      </c>
      <c r="Y19" s="154">
        <v>0.75</v>
      </c>
      <c r="Z19" s="154">
        <v>0.75</v>
      </c>
      <c r="AA19" s="154">
        <v>0.75</v>
      </c>
      <c r="AB19" s="154">
        <v>0.75</v>
      </c>
      <c r="AC19" s="154">
        <v>0.75</v>
      </c>
      <c r="AD19" s="154">
        <v>0.75</v>
      </c>
      <c r="AE19" s="154">
        <v>0.75</v>
      </c>
      <c r="AF19" s="154">
        <v>0.75</v>
      </c>
      <c r="AG19" s="154">
        <v>0.75</v>
      </c>
      <c r="AH19" s="154">
        <v>0.75</v>
      </c>
      <c r="AI19" s="154">
        <v>0.75</v>
      </c>
      <c r="AJ19" s="154" t="s">
        <v>424</v>
      </c>
      <c r="AK19" s="154" t="s">
        <v>424</v>
      </c>
      <c r="AL19" s="154" t="s">
        <v>424</v>
      </c>
      <c r="AM19" cm="1">
        <f t="array" ref="AM19">SUM(IFERROR(IF((H19:AL19-H18:AL18)*24&gt;=11,1,""),""))</f>
        <v>17</v>
      </c>
      <c r="AO19" cm="1">
        <f t="array" ref="AO19">SUM(IFERROR(MOD((H19:AL19-H18:AL18)*24,11),""))</f>
        <v>0</v>
      </c>
      <c r="AS19">
        <v>15</v>
      </c>
    </row>
    <row r="20" spans="1:45" hidden="1" x14ac:dyDescent="0.25">
      <c r="A20">
        <v>19</v>
      </c>
      <c r="B20">
        <v>2025</v>
      </c>
      <c r="C20">
        <v>2</v>
      </c>
      <c r="D20" t="s">
        <v>241</v>
      </c>
      <c r="E20">
        <v>31</v>
      </c>
      <c r="F20">
        <v>1</v>
      </c>
      <c r="G20" t="s">
        <v>534</v>
      </c>
      <c r="H20" s="154">
        <v>0.29166666666666669</v>
      </c>
      <c r="I20" s="154">
        <v>0.29166666666666669</v>
      </c>
      <c r="J20" s="154">
        <v>0.29166666666666669</v>
      </c>
      <c r="K20" s="154">
        <v>0.29166666666666669</v>
      </c>
      <c r="L20" s="154" t="s">
        <v>424</v>
      </c>
      <c r="M20" s="154" t="s">
        <v>424</v>
      </c>
      <c r="N20" s="154" t="s">
        <v>424</v>
      </c>
      <c r="O20" s="154" t="s">
        <v>424</v>
      </c>
      <c r="P20" s="154" t="s">
        <v>424</v>
      </c>
      <c r="Q20" s="154" t="s">
        <v>424</v>
      </c>
      <c r="R20" s="154" t="s">
        <v>424</v>
      </c>
      <c r="S20" s="154" t="s">
        <v>424</v>
      </c>
      <c r="T20" s="154" t="s">
        <v>424</v>
      </c>
      <c r="U20" s="154" t="s">
        <v>424</v>
      </c>
      <c r="V20" s="154" t="s">
        <v>424</v>
      </c>
      <c r="W20" s="154" t="s">
        <v>424</v>
      </c>
      <c r="X20" s="154" t="s">
        <v>424</v>
      </c>
      <c r="Y20" s="154" t="s">
        <v>424</v>
      </c>
      <c r="Z20" s="154" t="s">
        <v>424</v>
      </c>
      <c r="AA20" s="154" t="s">
        <v>424</v>
      </c>
      <c r="AB20" s="154" t="s">
        <v>424</v>
      </c>
      <c r="AC20" s="154" t="s">
        <v>424</v>
      </c>
      <c r="AD20" s="154" t="s">
        <v>424</v>
      </c>
      <c r="AE20" s="154" t="s">
        <v>424</v>
      </c>
      <c r="AF20" s="154" t="s">
        <v>424</v>
      </c>
      <c r="AG20" s="154" t="s">
        <v>424</v>
      </c>
      <c r="AH20" s="154" t="s">
        <v>424</v>
      </c>
      <c r="AI20" s="154" t="s">
        <v>424</v>
      </c>
      <c r="AJ20" s="154" t="s">
        <v>424</v>
      </c>
      <c r="AK20" s="154">
        <v>0.29166666666666669</v>
      </c>
      <c r="AL20" s="154">
        <v>0.29166666666666669</v>
      </c>
      <c r="AS20">
        <v>16</v>
      </c>
    </row>
    <row r="21" spans="1:45" hidden="1" x14ac:dyDescent="0.25">
      <c r="A21">
        <v>20</v>
      </c>
      <c r="B21">
        <v>2025</v>
      </c>
      <c r="C21">
        <v>2</v>
      </c>
      <c r="D21" t="s">
        <v>241</v>
      </c>
      <c r="E21">
        <v>31</v>
      </c>
      <c r="F21">
        <v>1</v>
      </c>
      <c r="G21" t="s">
        <v>535</v>
      </c>
      <c r="H21" s="154">
        <v>0.75</v>
      </c>
      <c r="I21" s="154">
        <v>0.75</v>
      </c>
      <c r="J21" s="154">
        <v>0.75</v>
      </c>
      <c r="K21" s="154">
        <v>0.75</v>
      </c>
      <c r="L21" s="154" t="s">
        <v>424</v>
      </c>
      <c r="M21" s="154" t="s">
        <v>424</v>
      </c>
      <c r="N21" s="154" t="s">
        <v>424</v>
      </c>
      <c r="O21" s="154" t="s">
        <v>424</v>
      </c>
      <c r="P21" s="154" t="s">
        <v>424</v>
      </c>
      <c r="Q21" s="154" t="s">
        <v>424</v>
      </c>
      <c r="R21" s="154" t="s">
        <v>424</v>
      </c>
      <c r="S21" s="154" t="s">
        <v>424</v>
      </c>
      <c r="T21" s="154" t="s">
        <v>424</v>
      </c>
      <c r="U21" s="154" t="s">
        <v>424</v>
      </c>
      <c r="V21" s="154" t="s">
        <v>424</v>
      </c>
      <c r="W21" s="154" t="s">
        <v>424</v>
      </c>
      <c r="X21" s="154" t="s">
        <v>424</v>
      </c>
      <c r="Y21" s="154" t="s">
        <v>424</v>
      </c>
      <c r="Z21" s="154" t="s">
        <v>424</v>
      </c>
      <c r="AA21" s="154" t="s">
        <v>424</v>
      </c>
      <c r="AB21" s="154" t="s">
        <v>424</v>
      </c>
      <c r="AC21" s="154" t="s">
        <v>424</v>
      </c>
      <c r="AD21" s="154" t="s">
        <v>424</v>
      </c>
      <c r="AE21" s="154" t="s">
        <v>424</v>
      </c>
      <c r="AF21" s="154" t="s">
        <v>424</v>
      </c>
      <c r="AG21" s="154" t="s">
        <v>424</v>
      </c>
      <c r="AH21" s="154" t="s">
        <v>424</v>
      </c>
      <c r="AI21" s="154" t="s">
        <v>424</v>
      </c>
      <c r="AJ21" s="154" t="s">
        <v>424</v>
      </c>
      <c r="AK21" s="154">
        <v>0.75</v>
      </c>
      <c r="AL21" s="154">
        <v>0.75</v>
      </c>
      <c r="AM21" cm="1">
        <f t="array" ref="AM21">SUM(IFERROR(IF((H21:AL21-H20:AL20)*24&gt;=11,1,""),""))</f>
        <v>6</v>
      </c>
      <c r="AO21" cm="1">
        <f t="array" ref="AO21">SUM(IFERROR(MOD((H21:AL21-H20:AL20)*24,11),""))</f>
        <v>0</v>
      </c>
      <c r="AS21">
        <v>17</v>
      </c>
    </row>
    <row r="22" spans="1:45" hidden="1" x14ac:dyDescent="0.25">
      <c r="A22">
        <v>21</v>
      </c>
      <c r="B22">
        <v>2025</v>
      </c>
      <c r="C22">
        <v>2</v>
      </c>
      <c r="D22" t="s">
        <v>430</v>
      </c>
      <c r="E22">
        <v>31</v>
      </c>
      <c r="F22">
        <v>1</v>
      </c>
      <c r="G22" t="s">
        <v>534</v>
      </c>
      <c r="H22" s="154" t="s">
        <v>424</v>
      </c>
      <c r="I22" s="154" t="s">
        <v>424</v>
      </c>
      <c r="J22" s="154" t="s">
        <v>424</v>
      </c>
      <c r="K22" s="154">
        <v>0.29166666666666669</v>
      </c>
      <c r="L22" s="154">
        <v>0.29166666666666669</v>
      </c>
      <c r="M22" s="154">
        <v>0.29166666666666669</v>
      </c>
      <c r="N22" s="154">
        <v>0.29166666666666669</v>
      </c>
      <c r="O22" s="154">
        <v>0.29166666666666669</v>
      </c>
      <c r="P22" s="154">
        <v>0.29166666666666669</v>
      </c>
      <c r="Q22" s="154" t="s">
        <v>424</v>
      </c>
      <c r="R22" s="154" t="s">
        <v>424</v>
      </c>
      <c r="S22" s="154" t="s">
        <v>424</v>
      </c>
      <c r="T22" s="154" t="s">
        <v>424</v>
      </c>
      <c r="U22" s="154" t="s">
        <v>424</v>
      </c>
      <c r="V22" s="154" t="s">
        <v>424</v>
      </c>
      <c r="W22" s="154" t="s">
        <v>424</v>
      </c>
      <c r="X22" s="154">
        <v>0.29166666666666669</v>
      </c>
      <c r="Y22" s="154">
        <v>0.29166666666666669</v>
      </c>
      <c r="Z22" s="154">
        <v>0.29166666666666669</v>
      </c>
      <c r="AA22" s="154">
        <v>0.29166666666666669</v>
      </c>
      <c r="AB22" s="154">
        <v>0.29166666666666669</v>
      </c>
      <c r="AC22" s="154">
        <v>0.29166666666666669</v>
      </c>
      <c r="AD22" s="154" t="s">
        <v>424</v>
      </c>
      <c r="AE22" s="154">
        <v>0.29166666666666669</v>
      </c>
      <c r="AF22" s="154">
        <v>0.29166666666666669</v>
      </c>
      <c r="AG22" s="154">
        <v>0.29166666666666669</v>
      </c>
      <c r="AH22" s="154">
        <v>0.29166666666666669</v>
      </c>
      <c r="AI22" s="154">
        <v>0.29166666666666669</v>
      </c>
      <c r="AJ22" s="154" t="s">
        <v>424</v>
      </c>
      <c r="AK22" s="154" t="s">
        <v>424</v>
      </c>
      <c r="AL22" s="154" t="s">
        <v>424</v>
      </c>
      <c r="AS22">
        <v>18</v>
      </c>
    </row>
    <row r="23" spans="1:45" hidden="1" x14ac:dyDescent="0.25">
      <c r="A23">
        <v>22</v>
      </c>
      <c r="B23">
        <v>2025</v>
      </c>
      <c r="C23">
        <v>2</v>
      </c>
      <c r="D23" t="s">
        <v>430</v>
      </c>
      <c r="E23">
        <v>31</v>
      </c>
      <c r="F23">
        <v>1</v>
      </c>
      <c r="G23" t="s">
        <v>535</v>
      </c>
      <c r="H23" s="154" t="s">
        <v>424</v>
      </c>
      <c r="I23" s="154" t="s">
        <v>424</v>
      </c>
      <c r="J23" s="154" t="s">
        <v>424</v>
      </c>
      <c r="K23" s="154">
        <v>0.79166666666666663</v>
      </c>
      <c r="L23" s="154">
        <v>0.79166666666666663</v>
      </c>
      <c r="M23" s="154">
        <v>0.79166666666666663</v>
      </c>
      <c r="N23" s="154">
        <v>0.79166666666666663</v>
      </c>
      <c r="O23" s="154">
        <v>0.79166666666666663</v>
      </c>
      <c r="P23" s="154">
        <v>0.79166666666666663</v>
      </c>
      <c r="Q23" s="154" t="s">
        <v>424</v>
      </c>
      <c r="R23" s="154" t="s">
        <v>424</v>
      </c>
      <c r="S23" s="154" t="s">
        <v>424</v>
      </c>
      <c r="T23" s="154" t="s">
        <v>424</v>
      </c>
      <c r="U23" s="154" t="s">
        <v>424</v>
      </c>
      <c r="V23" s="154" t="s">
        <v>424</v>
      </c>
      <c r="W23" s="154" t="s">
        <v>424</v>
      </c>
      <c r="X23" s="154">
        <v>0.79166666666666663</v>
      </c>
      <c r="Y23" s="154">
        <v>0.79166666666666663</v>
      </c>
      <c r="Z23" s="154">
        <v>0.79166666666666663</v>
      </c>
      <c r="AA23" s="154">
        <v>0.79166666666666663</v>
      </c>
      <c r="AB23" s="154">
        <v>0.79166666666666663</v>
      </c>
      <c r="AC23" s="154">
        <v>0.79166666666666663</v>
      </c>
      <c r="AD23" s="154" t="s">
        <v>424</v>
      </c>
      <c r="AE23" s="154">
        <v>0.79166666666666663</v>
      </c>
      <c r="AF23" s="154">
        <v>0.79166666666666663</v>
      </c>
      <c r="AG23" s="154">
        <v>0.79166666666666663</v>
      </c>
      <c r="AH23" s="154">
        <v>0.79166666666666663</v>
      </c>
      <c r="AI23" s="154">
        <v>0.79166666666666663</v>
      </c>
      <c r="AJ23" s="154" t="s">
        <v>424</v>
      </c>
      <c r="AK23" s="154" t="s">
        <v>424</v>
      </c>
      <c r="AL23" s="154" t="s">
        <v>424</v>
      </c>
      <c r="AM23" cm="1">
        <f t="array" ref="AM23">SUM(IFERROR(IF((H23:AL23-H22:AL22)*24&gt;=11,1,""),""))</f>
        <v>17</v>
      </c>
      <c r="AO23" cm="1">
        <f t="array" ref="AO23">SUM(IFERROR(MOD((H23:AL23-H22:AL22)*24,11),""))</f>
        <v>16.999999999999972</v>
      </c>
      <c r="AS23">
        <v>19</v>
      </c>
    </row>
    <row r="24" spans="1:45" hidden="1" x14ac:dyDescent="0.25">
      <c r="A24">
        <v>23</v>
      </c>
      <c r="B24">
        <v>2025</v>
      </c>
      <c r="C24">
        <v>2</v>
      </c>
      <c r="D24" t="s">
        <v>242</v>
      </c>
      <c r="E24">
        <v>31</v>
      </c>
      <c r="F24">
        <v>1</v>
      </c>
      <c r="G24" t="s">
        <v>534</v>
      </c>
      <c r="H24" s="154" t="s">
        <v>424</v>
      </c>
      <c r="I24" s="154" t="s">
        <v>424</v>
      </c>
      <c r="J24" s="154" t="s">
        <v>424</v>
      </c>
      <c r="K24" s="154" t="s">
        <v>424</v>
      </c>
      <c r="L24" s="154" t="s">
        <v>424</v>
      </c>
      <c r="M24" s="154" t="s">
        <v>424</v>
      </c>
      <c r="N24" s="154" t="s">
        <v>424</v>
      </c>
      <c r="O24" s="154" t="s">
        <v>424</v>
      </c>
      <c r="P24" s="154" t="s">
        <v>424</v>
      </c>
      <c r="Q24" s="154">
        <v>0.29166666666666669</v>
      </c>
      <c r="R24" s="154">
        <v>0.29166666666666669</v>
      </c>
      <c r="S24" s="154">
        <v>0.29166666666666669</v>
      </c>
      <c r="T24" s="154">
        <v>0.29166666666666669</v>
      </c>
      <c r="U24" s="154">
        <v>0.29166666666666669</v>
      </c>
      <c r="V24" s="154">
        <v>0.29166666666666669</v>
      </c>
      <c r="W24" s="154">
        <v>0.29166666666666669</v>
      </c>
      <c r="X24" s="154">
        <v>0.29166666666666669</v>
      </c>
      <c r="Y24" s="154">
        <v>0.29166666666666669</v>
      </c>
      <c r="Z24" s="154">
        <v>0.29166666666666669</v>
      </c>
      <c r="AA24" s="154">
        <v>0.29166666666666669</v>
      </c>
      <c r="AB24" s="154">
        <v>0.29166666666666669</v>
      </c>
      <c r="AC24" s="154">
        <v>0.29166666666666669</v>
      </c>
      <c r="AD24" s="154">
        <v>0.29166666666666669</v>
      </c>
      <c r="AE24" s="154">
        <v>0.29166666666666669</v>
      </c>
      <c r="AF24" s="154">
        <v>0.29166666666666669</v>
      </c>
      <c r="AG24" s="154">
        <v>0.29166666666666669</v>
      </c>
      <c r="AH24" s="154">
        <v>0.29166666666666669</v>
      </c>
      <c r="AI24" s="154">
        <v>0.29166666666666669</v>
      </c>
      <c r="AJ24" s="154" t="s">
        <v>424</v>
      </c>
      <c r="AK24" s="154" t="s">
        <v>424</v>
      </c>
      <c r="AL24" s="154" t="s">
        <v>424</v>
      </c>
      <c r="AS24">
        <v>20</v>
      </c>
    </row>
    <row r="25" spans="1:45" hidden="1" x14ac:dyDescent="0.25">
      <c r="A25">
        <v>24</v>
      </c>
      <c r="B25">
        <v>2025</v>
      </c>
      <c r="C25">
        <v>2</v>
      </c>
      <c r="D25" t="s">
        <v>242</v>
      </c>
      <c r="E25">
        <v>31</v>
      </c>
      <c r="F25">
        <v>1</v>
      </c>
      <c r="G25" t="s">
        <v>535</v>
      </c>
      <c r="H25" s="154" t="s">
        <v>424</v>
      </c>
      <c r="I25" s="154" t="s">
        <v>424</v>
      </c>
      <c r="J25" s="154" t="s">
        <v>424</v>
      </c>
      <c r="K25" s="154" t="s">
        <v>424</v>
      </c>
      <c r="L25" s="154" t="s">
        <v>424</v>
      </c>
      <c r="M25" s="154" t="s">
        <v>424</v>
      </c>
      <c r="N25" s="154" t="s">
        <v>424</v>
      </c>
      <c r="O25" s="154" t="s">
        <v>424</v>
      </c>
      <c r="P25" s="154" t="s">
        <v>424</v>
      </c>
      <c r="Q25" s="154">
        <v>0.79166666666666663</v>
      </c>
      <c r="R25" s="154">
        <v>0.79166666666666663</v>
      </c>
      <c r="S25" s="154">
        <v>0.79166666666666663</v>
      </c>
      <c r="T25" s="154">
        <v>0.79166666666666663</v>
      </c>
      <c r="U25" s="154">
        <v>0.79166666666666663</v>
      </c>
      <c r="V25" s="154">
        <v>0.79166666666666663</v>
      </c>
      <c r="W25" s="154">
        <v>0.79166666666666663</v>
      </c>
      <c r="X25" s="154">
        <v>0.79166666666666663</v>
      </c>
      <c r="Y25" s="154">
        <v>0.79166666666666663</v>
      </c>
      <c r="Z25" s="154">
        <v>0.79166666666666663</v>
      </c>
      <c r="AA25" s="154">
        <v>0.79166666666666663</v>
      </c>
      <c r="AB25" s="154">
        <v>0.79166666666666663</v>
      </c>
      <c r="AC25" s="154">
        <v>0.79166666666666663</v>
      </c>
      <c r="AD25" s="154">
        <v>0.79166666666666663</v>
      </c>
      <c r="AE25" s="154">
        <v>0.79166666666666663</v>
      </c>
      <c r="AF25" s="154">
        <v>0.79166666666666663</v>
      </c>
      <c r="AG25" s="154">
        <v>0.79166666666666663</v>
      </c>
      <c r="AH25" s="154">
        <v>0.79166666666666663</v>
      </c>
      <c r="AI25" s="154">
        <v>0.79166666666666663</v>
      </c>
      <c r="AJ25" s="154" t="s">
        <v>424</v>
      </c>
      <c r="AK25" s="154" t="s">
        <v>424</v>
      </c>
      <c r="AL25" s="154" t="s">
        <v>424</v>
      </c>
      <c r="AM25" cm="1">
        <f t="array" ref="AM25">SUM(IFERROR(IF((H25:AL25-H24:AL24)*24&gt;=11,1,""),""))</f>
        <v>19</v>
      </c>
      <c r="AO25" cm="1">
        <f t="array" ref="AO25">SUM(IFERROR(MOD((H25:AL25-H24:AL24)*24,11),""))</f>
        <v>18.999999999999972</v>
      </c>
      <c r="AS25">
        <v>21</v>
      </c>
    </row>
    <row r="26" spans="1:45" hidden="1" x14ac:dyDescent="0.25">
      <c r="A26">
        <v>25</v>
      </c>
      <c r="B26">
        <v>2025</v>
      </c>
      <c r="C26">
        <v>2</v>
      </c>
      <c r="D26" t="s">
        <v>243</v>
      </c>
      <c r="E26">
        <v>31</v>
      </c>
      <c r="F26">
        <v>1</v>
      </c>
      <c r="G26" t="s">
        <v>534</v>
      </c>
      <c r="H26" s="154" t="s">
        <v>424</v>
      </c>
      <c r="I26" s="154" t="s">
        <v>424</v>
      </c>
      <c r="J26" s="154" t="s">
        <v>424</v>
      </c>
      <c r="K26" s="154" t="s">
        <v>424</v>
      </c>
      <c r="L26" s="154" t="s">
        <v>424</v>
      </c>
      <c r="M26" s="154" t="s">
        <v>424</v>
      </c>
      <c r="N26" s="154" t="s">
        <v>424</v>
      </c>
      <c r="O26" s="154" t="s">
        <v>424</v>
      </c>
      <c r="P26" s="154" t="s">
        <v>424</v>
      </c>
      <c r="Q26" s="154" t="s">
        <v>424</v>
      </c>
      <c r="R26" s="154" t="s">
        <v>424</v>
      </c>
      <c r="S26" s="154" t="s">
        <v>424</v>
      </c>
      <c r="T26" s="154" t="s">
        <v>424</v>
      </c>
      <c r="U26" s="154" t="s">
        <v>424</v>
      </c>
      <c r="V26" s="154" t="s">
        <v>424</v>
      </c>
      <c r="W26" s="154" t="s">
        <v>424</v>
      </c>
      <c r="X26" s="154" t="s">
        <v>424</v>
      </c>
      <c r="Y26" s="154" t="s">
        <v>424</v>
      </c>
      <c r="Z26" s="154" t="s">
        <v>424</v>
      </c>
      <c r="AA26" s="154" t="s">
        <v>424</v>
      </c>
      <c r="AB26" s="154" t="s">
        <v>424</v>
      </c>
      <c r="AC26" s="154">
        <v>0.29166666666666669</v>
      </c>
      <c r="AD26" s="154">
        <v>0.29166666666666669</v>
      </c>
      <c r="AE26" s="154">
        <v>0.29166666666666669</v>
      </c>
      <c r="AF26" s="154">
        <v>0.29166666666666669</v>
      </c>
      <c r="AG26" s="154">
        <v>0.29166666666666669</v>
      </c>
      <c r="AH26" s="154">
        <v>0.29166666666666669</v>
      </c>
      <c r="AI26" s="154">
        <v>0.29166666666666669</v>
      </c>
      <c r="AJ26" s="154" t="s">
        <v>424</v>
      </c>
      <c r="AK26" s="154" t="s">
        <v>424</v>
      </c>
      <c r="AL26" s="154" t="s">
        <v>424</v>
      </c>
      <c r="AS26">
        <v>22</v>
      </c>
    </row>
    <row r="27" spans="1:45" hidden="1" x14ac:dyDescent="0.25">
      <c r="A27">
        <v>26</v>
      </c>
      <c r="B27">
        <v>2025</v>
      </c>
      <c r="C27">
        <v>2</v>
      </c>
      <c r="D27" t="s">
        <v>243</v>
      </c>
      <c r="E27">
        <v>31</v>
      </c>
      <c r="F27">
        <v>1</v>
      </c>
      <c r="G27" t="s">
        <v>535</v>
      </c>
      <c r="H27" s="154" t="s">
        <v>424</v>
      </c>
      <c r="I27" s="154" t="s">
        <v>424</v>
      </c>
      <c r="J27" s="154" t="s">
        <v>424</v>
      </c>
      <c r="K27" s="154" t="s">
        <v>424</v>
      </c>
      <c r="L27" s="154" t="s">
        <v>424</v>
      </c>
      <c r="M27" s="154" t="s">
        <v>424</v>
      </c>
      <c r="N27" s="154" t="s">
        <v>424</v>
      </c>
      <c r="O27" s="154" t="s">
        <v>424</v>
      </c>
      <c r="P27" s="154" t="s">
        <v>424</v>
      </c>
      <c r="Q27" s="154" t="s">
        <v>424</v>
      </c>
      <c r="R27" s="154" t="s">
        <v>424</v>
      </c>
      <c r="S27" s="154" t="s">
        <v>424</v>
      </c>
      <c r="T27" s="154" t="s">
        <v>424</v>
      </c>
      <c r="U27" s="154" t="s">
        <v>424</v>
      </c>
      <c r="V27" s="154" t="s">
        <v>424</v>
      </c>
      <c r="W27" s="154" t="s">
        <v>424</v>
      </c>
      <c r="X27" s="154" t="s">
        <v>424</v>
      </c>
      <c r="Y27" s="154" t="s">
        <v>424</v>
      </c>
      <c r="Z27" s="154" t="s">
        <v>424</v>
      </c>
      <c r="AA27" s="154" t="s">
        <v>424</v>
      </c>
      <c r="AB27" s="154" t="s">
        <v>424</v>
      </c>
      <c r="AC27" s="154">
        <v>0.75</v>
      </c>
      <c r="AD27" s="154">
        <v>0.75</v>
      </c>
      <c r="AE27" s="154">
        <v>0.75</v>
      </c>
      <c r="AF27" s="154">
        <v>0.75</v>
      </c>
      <c r="AG27" s="154">
        <v>0.75</v>
      </c>
      <c r="AH27" s="154">
        <v>0.75</v>
      </c>
      <c r="AI27" s="154">
        <v>0.75</v>
      </c>
      <c r="AJ27" s="154" t="s">
        <v>424</v>
      </c>
      <c r="AK27" s="154" t="s">
        <v>424</v>
      </c>
      <c r="AL27" s="154" t="s">
        <v>424</v>
      </c>
      <c r="AM27" cm="1">
        <f t="array" ref="AM27">SUM(IFERROR(IF((H27:AL27-H26:AL26)*24&gt;=11,1,""),""))</f>
        <v>7</v>
      </c>
      <c r="AO27" cm="1">
        <f t="array" ref="AO27">SUM(IFERROR(MOD((H27:AL27-H26:AL26)*24,11),""))</f>
        <v>0</v>
      </c>
      <c r="AS27">
        <v>23</v>
      </c>
    </row>
    <row r="28" spans="1:45" hidden="1" x14ac:dyDescent="0.25">
      <c r="A28">
        <v>27</v>
      </c>
      <c r="B28">
        <v>2025</v>
      </c>
      <c r="C28">
        <v>2</v>
      </c>
      <c r="D28" t="s">
        <v>261</v>
      </c>
      <c r="E28">
        <v>31</v>
      </c>
      <c r="F28">
        <v>1</v>
      </c>
      <c r="G28" t="s">
        <v>534</v>
      </c>
      <c r="H28" s="154" t="s">
        <v>424</v>
      </c>
      <c r="I28" s="154" t="s">
        <v>424</v>
      </c>
      <c r="J28" s="154" t="s">
        <v>424</v>
      </c>
      <c r="K28" s="154" t="s">
        <v>424</v>
      </c>
      <c r="L28" s="154" t="s">
        <v>424</v>
      </c>
      <c r="M28" s="154" t="s">
        <v>424</v>
      </c>
      <c r="N28" s="154" t="s">
        <v>424</v>
      </c>
      <c r="O28" s="154" t="s">
        <v>424</v>
      </c>
      <c r="P28" s="154" t="s">
        <v>424</v>
      </c>
      <c r="Q28" s="154" t="s">
        <v>424</v>
      </c>
      <c r="R28" s="154" t="s">
        <v>424</v>
      </c>
      <c r="S28" s="154" t="s">
        <v>424</v>
      </c>
      <c r="T28" s="154" t="s">
        <v>424</v>
      </c>
      <c r="U28" s="154" t="s">
        <v>424</v>
      </c>
      <c r="V28" s="154" t="s">
        <v>424</v>
      </c>
      <c r="W28" s="154" t="s">
        <v>424</v>
      </c>
      <c r="X28" s="154" t="s">
        <v>424</v>
      </c>
      <c r="Y28" s="154" t="s">
        <v>424</v>
      </c>
      <c r="Z28" s="154" t="s">
        <v>424</v>
      </c>
      <c r="AA28" s="154">
        <v>0.29166666666666669</v>
      </c>
      <c r="AB28" s="154">
        <v>0.29166666666666669</v>
      </c>
      <c r="AC28" s="154">
        <v>0.29166666666666669</v>
      </c>
      <c r="AD28" s="154">
        <v>0.29166666666666669</v>
      </c>
      <c r="AE28" s="154">
        <v>0.29166666666666669</v>
      </c>
      <c r="AF28" s="154">
        <v>0.29166666666666669</v>
      </c>
      <c r="AG28" s="154">
        <v>0.29166666666666669</v>
      </c>
      <c r="AH28" s="154">
        <v>0.29166666666666669</v>
      </c>
      <c r="AI28" s="154">
        <v>0.29166666666666669</v>
      </c>
      <c r="AJ28" s="154" t="s">
        <v>424</v>
      </c>
      <c r="AK28" s="154" t="s">
        <v>424</v>
      </c>
      <c r="AL28" s="154" t="s">
        <v>424</v>
      </c>
      <c r="AS28">
        <v>24</v>
      </c>
    </row>
    <row r="29" spans="1:45" hidden="1" x14ac:dyDescent="0.25">
      <c r="A29">
        <v>28</v>
      </c>
      <c r="B29">
        <v>2025</v>
      </c>
      <c r="C29">
        <v>2</v>
      </c>
      <c r="D29" t="s">
        <v>261</v>
      </c>
      <c r="E29">
        <v>31</v>
      </c>
      <c r="F29">
        <v>1</v>
      </c>
      <c r="G29" t="s">
        <v>535</v>
      </c>
      <c r="H29" s="154" t="s">
        <v>424</v>
      </c>
      <c r="I29" s="154" t="s">
        <v>424</v>
      </c>
      <c r="J29" s="154" t="s">
        <v>424</v>
      </c>
      <c r="K29" s="154" t="s">
        <v>424</v>
      </c>
      <c r="L29" s="154" t="s">
        <v>424</v>
      </c>
      <c r="M29" s="154" t="s">
        <v>424</v>
      </c>
      <c r="N29" s="154" t="s">
        <v>424</v>
      </c>
      <c r="O29" s="154" t="s">
        <v>424</v>
      </c>
      <c r="P29" s="154" t="s">
        <v>424</v>
      </c>
      <c r="Q29" s="154" t="s">
        <v>424</v>
      </c>
      <c r="R29" s="154" t="s">
        <v>424</v>
      </c>
      <c r="S29" s="154" t="s">
        <v>424</v>
      </c>
      <c r="T29" s="154" t="s">
        <v>424</v>
      </c>
      <c r="U29" s="154" t="s">
        <v>424</v>
      </c>
      <c r="V29" s="154" t="s">
        <v>424</v>
      </c>
      <c r="W29" s="154" t="s">
        <v>424</v>
      </c>
      <c r="X29" s="154" t="s">
        <v>424</v>
      </c>
      <c r="Y29" s="154" t="s">
        <v>424</v>
      </c>
      <c r="Z29" s="154" t="s">
        <v>424</v>
      </c>
      <c r="AA29" s="154">
        <v>0.75</v>
      </c>
      <c r="AB29" s="154">
        <v>0.75</v>
      </c>
      <c r="AC29" s="154">
        <v>0.75</v>
      </c>
      <c r="AD29" s="154">
        <v>0.75</v>
      </c>
      <c r="AE29" s="154">
        <v>0.75</v>
      </c>
      <c r="AF29" s="154">
        <v>0.75</v>
      </c>
      <c r="AG29" s="154">
        <v>0.75</v>
      </c>
      <c r="AH29" s="154">
        <v>0.75</v>
      </c>
      <c r="AI29" s="154">
        <v>0.75</v>
      </c>
      <c r="AJ29" s="154" t="s">
        <v>424</v>
      </c>
      <c r="AK29" s="154" t="s">
        <v>424</v>
      </c>
      <c r="AL29" s="154" t="s">
        <v>424</v>
      </c>
      <c r="AM29" cm="1">
        <f t="array" ref="AM29">SUM(IFERROR(IF((H29:AL29-H28:AL28)*24&gt;=11,1,""),""))</f>
        <v>9</v>
      </c>
      <c r="AO29" cm="1">
        <f t="array" ref="AO29">SUM(IFERROR(MOD((H29:AL29-H28:AL28)*24,11),""))</f>
        <v>0</v>
      </c>
      <c r="AS29">
        <v>25</v>
      </c>
    </row>
    <row r="30" spans="1:45" hidden="1" x14ac:dyDescent="0.25">
      <c r="A30">
        <v>29</v>
      </c>
      <c r="B30">
        <v>2025</v>
      </c>
      <c r="C30">
        <v>3</v>
      </c>
      <c r="D30" t="s">
        <v>238</v>
      </c>
      <c r="E30">
        <v>31</v>
      </c>
      <c r="F30">
        <v>2</v>
      </c>
      <c r="G30" t="s">
        <v>534</v>
      </c>
      <c r="H30" s="154" t="s">
        <v>424</v>
      </c>
      <c r="I30" s="154" t="s">
        <v>424</v>
      </c>
      <c r="J30" s="154">
        <v>0.29166666666666669</v>
      </c>
      <c r="K30" s="154">
        <v>0.29166666666666669</v>
      </c>
      <c r="L30" s="154">
        <v>0.29166666666666669</v>
      </c>
      <c r="M30" s="154">
        <v>0.29166666666666669</v>
      </c>
      <c r="N30" s="154">
        <v>0.29166666666666669</v>
      </c>
      <c r="O30" s="154">
        <v>0.29166666666666669</v>
      </c>
      <c r="P30" s="154" t="s">
        <v>424</v>
      </c>
      <c r="Q30" s="154">
        <v>0.29166666666666669</v>
      </c>
      <c r="R30" s="154">
        <v>0.29166666666666669</v>
      </c>
      <c r="S30" s="154">
        <v>0.29166666666666669</v>
      </c>
      <c r="T30" s="154">
        <v>0.29166666666666669</v>
      </c>
      <c r="U30" s="154">
        <v>0.29166666666666669</v>
      </c>
      <c r="V30" s="154">
        <v>0.29166666666666669</v>
      </c>
      <c r="W30" s="154" t="s">
        <v>424</v>
      </c>
      <c r="X30" s="154">
        <v>0.29166666666666669</v>
      </c>
      <c r="Y30" s="154">
        <v>0.29166666666666669</v>
      </c>
      <c r="Z30" s="154">
        <v>0.29166666666666669</v>
      </c>
      <c r="AA30" s="154" t="s">
        <v>424</v>
      </c>
      <c r="AB30" s="154" t="s">
        <v>424</v>
      </c>
      <c r="AC30" s="154" t="s">
        <v>424</v>
      </c>
      <c r="AD30" s="154" t="s">
        <v>424</v>
      </c>
      <c r="AE30" s="154">
        <v>0.29166666666666669</v>
      </c>
      <c r="AF30" s="154">
        <v>0.29166666666666669</v>
      </c>
      <c r="AG30" s="154">
        <v>0.29166666666666669</v>
      </c>
      <c r="AH30" s="154">
        <v>0.29166666666666669</v>
      </c>
      <c r="AI30" s="154">
        <v>0.29166666666666669</v>
      </c>
      <c r="AJ30" s="154">
        <v>0.29166666666666669</v>
      </c>
      <c r="AK30" s="154" t="s">
        <v>424</v>
      </c>
      <c r="AL30" s="154" t="s">
        <v>424</v>
      </c>
      <c r="AS30">
        <v>26</v>
      </c>
    </row>
    <row r="31" spans="1:45" hidden="1" x14ac:dyDescent="0.25">
      <c r="A31">
        <v>30</v>
      </c>
      <c r="B31">
        <v>2025</v>
      </c>
      <c r="C31">
        <v>3</v>
      </c>
      <c r="D31" t="s">
        <v>238</v>
      </c>
      <c r="E31">
        <v>31</v>
      </c>
      <c r="F31">
        <v>2</v>
      </c>
      <c r="G31" t="s">
        <v>535</v>
      </c>
      <c r="H31" s="154" t="s">
        <v>424</v>
      </c>
      <c r="I31" s="154" t="s">
        <v>424</v>
      </c>
      <c r="J31" s="154">
        <v>0.75</v>
      </c>
      <c r="K31" s="154">
        <v>0.75</v>
      </c>
      <c r="L31" s="154">
        <v>0.75</v>
      </c>
      <c r="M31" s="154">
        <v>0.75</v>
      </c>
      <c r="N31" s="154">
        <v>0.75</v>
      </c>
      <c r="O31" s="154">
        <v>0.75</v>
      </c>
      <c r="P31" s="154" t="s">
        <v>424</v>
      </c>
      <c r="Q31" s="154">
        <v>0.75</v>
      </c>
      <c r="R31" s="154">
        <v>0.75</v>
      </c>
      <c r="S31" s="154">
        <v>0.75</v>
      </c>
      <c r="T31" s="154">
        <v>0.75</v>
      </c>
      <c r="U31" s="154">
        <v>0.75</v>
      </c>
      <c r="V31" s="154">
        <v>0.75</v>
      </c>
      <c r="W31" s="154" t="s">
        <v>424</v>
      </c>
      <c r="X31" s="154">
        <v>0.75</v>
      </c>
      <c r="Y31" s="154">
        <v>0.75</v>
      </c>
      <c r="Z31" s="154">
        <v>0.75</v>
      </c>
      <c r="AA31" s="154" t="s">
        <v>424</v>
      </c>
      <c r="AB31" s="154" t="s">
        <v>424</v>
      </c>
      <c r="AC31" s="154" t="s">
        <v>424</v>
      </c>
      <c r="AD31" s="154" t="s">
        <v>424</v>
      </c>
      <c r="AE31" s="154">
        <v>0.75</v>
      </c>
      <c r="AF31" s="154">
        <v>0.75</v>
      </c>
      <c r="AG31" s="154">
        <v>0.75</v>
      </c>
      <c r="AH31" s="154">
        <v>0.75</v>
      </c>
      <c r="AI31" s="154">
        <v>0.75</v>
      </c>
      <c r="AJ31" s="154">
        <v>0.75</v>
      </c>
      <c r="AK31" s="154" t="s">
        <v>424</v>
      </c>
      <c r="AL31" s="154" t="s">
        <v>424</v>
      </c>
      <c r="AM31" cm="1">
        <f t="array" ref="AM31">SUM(IFERROR(IF((H31:AL31-H30:AL30)*24&gt;=11,1,""),""))</f>
        <v>21</v>
      </c>
      <c r="AO31" cm="1">
        <f t="array" ref="AO31">SUM(IFERROR(MOD((H31:AL31-H30:AL30)*24,11),""))</f>
        <v>0</v>
      </c>
      <c r="AS31">
        <v>27</v>
      </c>
    </row>
    <row r="32" spans="1:45" hidden="1" x14ac:dyDescent="0.25">
      <c r="A32">
        <v>31</v>
      </c>
      <c r="B32">
        <v>2025</v>
      </c>
      <c r="C32">
        <v>3</v>
      </c>
      <c r="D32" t="s">
        <v>238</v>
      </c>
      <c r="E32">
        <v>31</v>
      </c>
      <c r="F32">
        <v>2</v>
      </c>
      <c r="G32" t="s">
        <v>536</v>
      </c>
      <c r="H32" s="154" t="s">
        <v>424</v>
      </c>
      <c r="I32" s="154" t="s">
        <v>424</v>
      </c>
      <c r="J32" s="154">
        <v>219057</v>
      </c>
      <c r="K32" s="154">
        <v>219368</v>
      </c>
      <c r="L32" s="154">
        <v>219608</v>
      </c>
      <c r="M32" s="154">
        <v>219832</v>
      </c>
      <c r="N32" s="154">
        <v>220225</v>
      </c>
      <c r="O32" s="154">
        <v>220150</v>
      </c>
      <c r="P32" s="154" t="s">
        <v>424</v>
      </c>
      <c r="Q32" s="154">
        <v>220868</v>
      </c>
      <c r="R32" s="154">
        <v>221134</v>
      </c>
      <c r="S32" s="154">
        <v>221355</v>
      </c>
      <c r="T32" s="154">
        <v>221572</v>
      </c>
      <c r="U32" s="154">
        <v>221882</v>
      </c>
      <c r="V32" s="154">
        <v>222106</v>
      </c>
      <c r="W32" s="154" t="s">
        <v>424</v>
      </c>
      <c r="X32" s="154">
        <v>222358</v>
      </c>
      <c r="Y32" s="154">
        <v>222609</v>
      </c>
      <c r="Z32" s="154">
        <v>222962</v>
      </c>
      <c r="AA32" s="154" t="s">
        <v>424</v>
      </c>
      <c r="AB32" s="154" t="s">
        <v>424</v>
      </c>
      <c r="AC32" s="154" t="s">
        <v>424</v>
      </c>
      <c r="AD32" s="154" t="s">
        <v>424</v>
      </c>
      <c r="AE32" s="154">
        <v>224762</v>
      </c>
      <c r="AF32" s="154">
        <v>224988</v>
      </c>
      <c r="AG32" s="154">
        <v>225232</v>
      </c>
      <c r="AH32" s="154">
        <v>225450</v>
      </c>
      <c r="AI32" s="154">
        <v>225714</v>
      </c>
      <c r="AJ32" s="154">
        <v>225934</v>
      </c>
      <c r="AK32" s="154" t="s">
        <v>424</v>
      </c>
      <c r="AL32" s="154" t="s">
        <v>424</v>
      </c>
      <c r="AS32">
        <v>28</v>
      </c>
    </row>
    <row r="33" spans="1:46" hidden="1" x14ac:dyDescent="0.25">
      <c r="A33">
        <v>32</v>
      </c>
      <c r="B33">
        <v>2025</v>
      </c>
      <c r="C33">
        <v>3</v>
      </c>
      <c r="D33" t="s">
        <v>238</v>
      </c>
      <c r="E33">
        <v>31</v>
      </c>
      <c r="F33">
        <v>2</v>
      </c>
      <c r="G33" t="s">
        <v>537</v>
      </c>
      <c r="H33" s="154" t="s">
        <v>424</v>
      </c>
      <c r="I33" s="154" t="s">
        <v>424</v>
      </c>
      <c r="J33" s="154">
        <v>219318</v>
      </c>
      <c r="K33" s="154">
        <v>219583</v>
      </c>
      <c r="L33" s="154">
        <v>219832</v>
      </c>
      <c r="M33" s="154">
        <v>220225</v>
      </c>
      <c r="N33" s="154">
        <v>220450</v>
      </c>
      <c r="O33" s="154">
        <v>220678</v>
      </c>
      <c r="P33" s="154" t="s">
        <v>424</v>
      </c>
      <c r="Q33" s="154">
        <v>221090</v>
      </c>
      <c r="R33" s="154">
        <v>221355</v>
      </c>
      <c r="S33" s="154">
        <v>221572</v>
      </c>
      <c r="T33" s="154">
        <v>221882</v>
      </c>
      <c r="U33" s="154">
        <v>222106</v>
      </c>
      <c r="V33" s="154">
        <v>222312</v>
      </c>
      <c r="W33" s="154" t="s">
        <v>424</v>
      </c>
      <c r="X33" s="154">
        <v>222608</v>
      </c>
      <c r="Y33" s="154">
        <v>222832</v>
      </c>
      <c r="Z33" s="154">
        <v>223187</v>
      </c>
      <c r="AA33" s="154" t="s">
        <v>424</v>
      </c>
      <c r="AB33" s="154" t="s">
        <v>424</v>
      </c>
      <c r="AC33" s="154" t="s">
        <v>424</v>
      </c>
      <c r="AD33" s="154" t="s">
        <v>424</v>
      </c>
      <c r="AE33" s="154">
        <v>224988</v>
      </c>
      <c r="AF33" s="154">
        <v>225232</v>
      </c>
      <c r="AG33" s="154">
        <v>225449</v>
      </c>
      <c r="AH33" s="154">
        <v>225674</v>
      </c>
      <c r="AI33" s="154">
        <v>225931</v>
      </c>
      <c r="AJ33" s="154">
        <v>226148</v>
      </c>
      <c r="AK33" s="154" t="s">
        <v>424</v>
      </c>
      <c r="AL33" s="154" t="s">
        <v>424</v>
      </c>
      <c r="AP33" cm="1">
        <f t="array" ref="AP33">IF(AQ33="","",SUM(IFERROR(H33:AL33-H32:AL32,0))*AQ33/100)</f>
        <v>951.48</v>
      </c>
      <c r="AQ33">
        <f>_xlfn.XLOOKUP(D33,log_prices!M:M,log_prices!L:L,,0)</f>
        <v>18</v>
      </c>
      <c r="AS33">
        <v>29</v>
      </c>
      <c r="AT33" cm="1">
        <f t="array" ref="AT33">IF(AQ33="","",SUM(IFERROR(H33:AL33-H32:AL32,0)))</f>
        <v>5286</v>
      </c>
    </row>
    <row r="34" spans="1:46" hidden="1" x14ac:dyDescent="0.25">
      <c r="A34">
        <v>33</v>
      </c>
      <c r="B34">
        <v>2025</v>
      </c>
      <c r="C34">
        <v>3</v>
      </c>
      <c r="D34" t="s">
        <v>240</v>
      </c>
      <c r="E34">
        <v>31</v>
      </c>
      <c r="F34">
        <v>2</v>
      </c>
      <c r="G34" t="s">
        <v>534</v>
      </c>
      <c r="H34" s="154">
        <v>0.29166666666666669</v>
      </c>
      <c r="I34" s="154">
        <v>0.29166666666666669</v>
      </c>
      <c r="J34" s="154">
        <v>0.29166666666666669</v>
      </c>
      <c r="K34" s="154">
        <v>0.29166666666666669</v>
      </c>
      <c r="L34" s="154">
        <v>0.29166666666666669</v>
      </c>
      <c r="M34" s="154">
        <v>0.29166666666666669</v>
      </c>
      <c r="N34" s="154">
        <v>0.29166666666666669</v>
      </c>
      <c r="O34" s="154">
        <v>0.29166666666666669</v>
      </c>
      <c r="P34" s="154">
        <v>0.29166666666666669</v>
      </c>
      <c r="Q34" s="154">
        <v>0.29166666666666669</v>
      </c>
      <c r="R34" s="154">
        <v>0.29166666666666669</v>
      </c>
      <c r="S34" s="154">
        <v>0.29166666666666669</v>
      </c>
      <c r="T34" s="154">
        <v>0.29166666666666669</v>
      </c>
      <c r="U34" s="154">
        <v>0.29166666666666669</v>
      </c>
      <c r="V34" s="154">
        <v>0.29166666666666669</v>
      </c>
      <c r="W34" s="154">
        <v>0.29166666666666669</v>
      </c>
      <c r="X34" s="154">
        <v>0.29166666666666669</v>
      </c>
      <c r="Y34" s="154">
        <v>0.29166666666666669</v>
      </c>
      <c r="Z34" s="154">
        <v>0.29166666666666669</v>
      </c>
      <c r="AA34" s="154">
        <v>0.29166666666666669</v>
      </c>
      <c r="AB34" s="154">
        <v>0.29166666666666669</v>
      </c>
      <c r="AC34" s="154">
        <v>0.29166666666666669</v>
      </c>
      <c r="AD34" s="154">
        <v>0.29166666666666669</v>
      </c>
      <c r="AE34" s="154">
        <v>0.29166666666666669</v>
      </c>
      <c r="AF34" s="154">
        <v>0.29166666666666669</v>
      </c>
      <c r="AG34" s="154">
        <v>0.29166666666666669</v>
      </c>
      <c r="AH34" s="154">
        <v>0.29166666666666669</v>
      </c>
      <c r="AI34" s="154">
        <v>0.29166666666666669</v>
      </c>
      <c r="AJ34" s="154">
        <v>0.29166666666666669</v>
      </c>
      <c r="AK34" s="154">
        <v>0.29166666666666669</v>
      </c>
      <c r="AL34" s="154" t="s">
        <v>424</v>
      </c>
      <c r="AS34">
        <v>30</v>
      </c>
    </row>
    <row r="35" spans="1:46" hidden="1" x14ac:dyDescent="0.25">
      <c r="A35">
        <v>34</v>
      </c>
      <c r="B35">
        <v>2025</v>
      </c>
      <c r="C35">
        <v>3</v>
      </c>
      <c r="D35" t="s">
        <v>240</v>
      </c>
      <c r="E35">
        <v>31</v>
      </c>
      <c r="F35">
        <v>2</v>
      </c>
      <c r="G35" t="s">
        <v>535</v>
      </c>
      <c r="H35" s="154">
        <v>0.75</v>
      </c>
      <c r="I35" s="154">
        <v>0.75</v>
      </c>
      <c r="J35" s="154">
        <v>0.75</v>
      </c>
      <c r="K35" s="154">
        <v>0.75</v>
      </c>
      <c r="L35" s="154">
        <v>0.75</v>
      </c>
      <c r="M35" s="154">
        <v>0.75</v>
      </c>
      <c r="N35" s="154">
        <v>0.75</v>
      </c>
      <c r="O35" s="154">
        <v>0.75</v>
      </c>
      <c r="P35" s="154">
        <v>0.75</v>
      </c>
      <c r="Q35" s="154">
        <v>0.75</v>
      </c>
      <c r="R35" s="154">
        <v>0.75</v>
      </c>
      <c r="S35" s="154">
        <v>0.75</v>
      </c>
      <c r="T35" s="154">
        <v>0.75</v>
      </c>
      <c r="U35" s="154">
        <v>0.75</v>
      </c>
      <c r="V35" s="154">
        <v>0.83333333333333326</v>
      </c>
      <c r="W35" s="154">
        <v>0.85416666666666674</v>
      </c>
      <c r="X35" s="154">
        <v>0.85416666666666674</v>
      </c>
      <c r="Y35" s="154">
        <v>0.79166666666666674</v>
      </c>
      <c r="Z35" s="154">
        <v>0.79166666666666674</v>
      </c>
      <c r="AA35" s="154">
        <v>0.83333333333333326</v>
      </c>
      <c r="AB35" s="154">
        <v>0.91666666666666674</v>
      </c>
      <c r="AC35" s="154">
        <v>1.0416666666666667</v>
      </c>
      <c r="AD35" s="154">
        <v>1.0416666666666667</v>
      </c>
      <c r="AE35" s="154">
        <v>0.83333333333333326</v>
      </c>
      <c r="AF35" s="154">
        <v>1</v>
      </c>
      <c r="AG35" s="154">
        <v>0.83333333333333326</v>
      </c>
      <c r="AH35" s="154">
        <v>0.875</v>
      </c>
      <c r="AI35" s="154">
        <v>0.83333333333333326</v>
      </c>
      <c r="AJ35" s="154">
        <v>0.83333333333333326</v>
      </c>
      <c r="AK35" s="154">
        <v>0.875</v>
      </c>
      <c r="AL35" s="154" t="s">
        <v>424</v>
      </c>
      <c r="AM35" cm="1">
        <f t="array" ref="AM35">SUM(IFERROR(IF((H35:AL35-H34:AL34)*24&gt;=11,1,""),""))</f>
        <v>30</v>
      </c>
      <c r="AO35" cm="1">
        <f t="array" ref="AO35">SUM(IFERROR(MOD((H35:AL35-H34:AL34)*24,11),""))</f>
        <v>48.999999999999986</v>
      </c>
      <c r="AS35">
        <v>31</v>
      </c>
    </row>
    <row r="36" spans="1:46" hidden="1" x14ac:dyDescent="0.25">
      <c r="A36">
        <v>35</v>
      </c>
      <c r="B36">
        <v>2025</v>
      </c>
      <c r="C36">
        <v>3</v>
      </c>
      <c r="D36" t="s">
        <v>240</v>
      </c>
      <c r="E36">
        <v>31</v>
      </c>
      <c r="F36">
        <v>2</v>
      </c>
      <c r="G36" t="s">
        <v>536</v>
      </c>
      <c r="H36" s="154">
        <v>515805</v>
      </c>
      <c r="I36" s="154">
        <v>515985</v>
      </c>
      <c r="J36" s="154">
        <v>516085</v>
      </c>
      <c r="K36" s="154">
        <v>516251</v>
      </c>
      <c r="L36" s="154">
        <v>516411</v>
      </c>
      <c r="M36" s="154">
        <v>516611</v>
      </c>
      <c r="N36" s="154">
        <v>516766</v>
      </c>
      <c r="O36" s="154">
        <v>517040</v>
      </c>
      <c r="P36" s="154">
        <v>517235</v>
      </c>
      <c r="Q36" s="154">
        <v>517511</v>
      </c>
      <c r="R36" s="154">
        <v>517660</v>
      </c>
      <c r="S36" s="154">
        <v>517832</v>
      </c>
      <c r="T36" s="154">
        <v>517964</v>
      </c>
      <c r="U36" s="154">
        <v>518215</v>
      </c>
      <c r="V36" s="154">
        <v>518499</v>
      </c>
      <c r="W36" s="154">
        <v>518604</v>
      </c>
      <c r="X36" s="154">
        <v>518814</v>
      </c>
      <c r="Y36" s="154">
        <v>518957</v>
      </c>
      <c r="Z36" s="154">
        <v>519297</v>
      </c>
      <c r="AA36" s="154">
        <v>519520</v>
      </c>
      <c r="AB36" s="154">
        <v>519684</v>
      </c>
      <c r="AC36" s="154">
        <v>519831</v>
      </c>
      <c r="AD36" s="154">
        <v>520010</v>
      </c>
      <c r="AE36" s="154">
        <v>520267</v>
      </c>
      <c r="AF36" s="154">
        <v>520433</v>
      </c>
      <c r="AG36" s="154">
        <v>520631</v>
      </c>
      <c r="AH36" s="154">
        <v>520844</v>
      </c>
      <c r="AI36" s="154">
        <v>521090</v>
      </c>
      <c r="AJ36" s="154">
        <v>521466</v>
      </c>
      <c r="AK36" s="154">
        <v>521815</v>
      </c>
      <c r="AL36" s="154" t="s">
        <v>424</v>
      </c>
      <c r="AS36">
        <v>32</v>
      </c>
    </row>
    <row r="37" spans="1:46" hidden="1" x14ac:dyDescent="0.25">
      <c r="A37">
        <v>36</v>
      </c>
      <c r="B37">
        <v>2025</v>
      </c>
      <c r="C37">
        <v>3</v>
      </c>
      <c r="D37" t="s">
        <v>240</v>
      </c>
      <c r="E37">
        <v>31</v>
      </c>
      <c r="F37">
        <v>2</v>
      </c>
      <c r="G37" t="s">
        <v>537</v>
      </c>
      <c r="H37" s="154">
        <v>515962</v>
      </c>
      <c r="I37" s="154">
        <v>516085</v>
      </c>
      <c r="J37" s="154">
        <v>516251</v>
      </c>
      <c r="K37" s="154">
        <v>516411</v>
      </c>
      <c r="L37" s="154">
        <v>516611</v>
      </c>
      <c r="M37" s="154">
        <v>516766</v>
      </c>
      <c r="N37" s="154">
        <v>517040</v>
      </c>
      <c r="O37" s="154">
        <v>517192</v>
      </c>
      <c r="P37" s="154">
        <v>517511</v>
      </c>
      <c r="Q37" s="154">
        <v>517660</v>
      </c>
      <c r="R37" s="154">
        <v>517832</v>
      </c>
      <c r="S37" s="154">
        <v>517964</v>
      </c>
      <c r="T37" s="154">
        <v>518215</v>
      </c>
      <c r="U37" s="154">
        <v>518499</v>
      </c>
      <c r="V37" s="154">
        <v>518604</v>
      </c>
      <c r="W37" s="154">
        <v>518806</v>
      </c>
      <c r="X37" s="154">
        <v>518955</v>
      </c>
      <c r="Y37" s="154">
        <v>519184</v>
      </c>
      <c r="Z37" s="154">
        <v>519516</v>
      </c>
      <c r="AA37" s="154">
        <v>519684</v>
      </c>
      <c r="AB37" s="154">
        <v>519831</v>
      </c>
      <c r="AC37" s="154">
        <v>520010</v>
      </c>
      <c r="AD37" s="154">
        <v>520267</v>
      </c>
      <c r="AE37" s="154">
        <v>520401</v>
      </c>
      <c r="AF37" s="154">
        <v>520622</v>
      </c>
      <c r="AG37" s="154">
        <v>520837</v>
      </c>
      <c r="AH37" s="154">
        <v>521067</v>
      </c>
      <c r="AI37" s="154">
        <v>521421</v>
      </c>
      <c r="AJ37" s="154">
        <v>521812</v>
      </c>
      <c r="AK37" s="154">
        <v>522058</v>
      </c>
      <c r="AL37" s="154" t="s">
        <v>424</v>
      </c>
      <c r="AP37" cm="1">
        <f t="array" ref="AP37">IF(AQ37="","",SUM(IFERROR(H37:AL37-H36:AL36,0))*AQ37/100)</f>
        <v>1069.3800000000001</v>
      </c>
      <c r="AQ37">
        <f>_xlfn.XLOOKUP(D37,log_prices!M:M,log_prices!L:L,,0)</f>
        <v>18</v>
      </c>
      <c r="AS37">
        <v>33</v>
      </c>
      <c r="AT37" cm="1">
        <f t="array" ref="AT37">IF(AQ37="","",SUM(IFERROR(H37:AL37-H36:AL36,0)))</f>
        <v>5941</v>
      </c>
    </row>
    <row r="38" spans="1:46" hidden="1" x14ac:dyDescent="0.25">
      <c r="A38">
        <v>37</v>
      </c>
      <c r="B38">
        <v>2025</v>
      </c>
      <c r="C38">
        <v>3</v>
      </c>
      <c r="D38" t="s">
        <v>260</v>
      </c>
      <c r="E38">
        <v>31</v>
      </c>
      <c r="F38">
        <v>2</v>
      </c>
      <c r="G38" t="s">
        <v>534</v>
      </c>
      <c r="H38" s="154" t="s">
        <v>424</v>
      </c>
      <c r="I38" s="154" t="s">
        <v>424</v>
      </c>
      <c r="J38" s="154">
        <v>0.29166666666666669</v>
      </c>
      <c r="K38" s="154">
        <v>0.29166666666666669</v>
      </c>
      <c r="L38" s="154">
        <v>0.29166666666666669</v>
      </c>
      <c r="M38" s="154">
        <v>0.29166666666666669</v>
      </c>
      <c r="N38" s="154">
        <v>0.29166666666666669</v>
      </c>
      <c r="O38" s="154">
        <v>0.29166666666666669</v>
      </c>
      <c r="P38" s="154">
        <v>0.29166666666666669</v>
      </c>
      <c r="Q38" s="154">
        <v>0.29166666666666669</v>
      </c>
      <c r="R38" s="154">
        <v>0.29166666666666669</v>
      </c>
      <c r="S38" s="154">
        <v>0.29166666666666669</v>
      </c>
      <c r="T38" s="154">
        <v>0.29166666666666669</v>
      </c>
      <c r="U38" s="154">
        <v>0.29166666666666669</v>
      </c>
      <c r="V38" s="154">
        <v>0.29166666666666669</v>
      </c>
      <c r="W38" s="154" t="s">
        <v>424</v>
      </c>
      <c r="X38" s="154">
        <v>0.29166666666666669</v>
      </c>
      <c r="Y38" s="154">
        <v>0.29166666666666669</v>
      </c>
      <c r="Z38" s="154">
        <v>0.29166666666666669</v>
      </c>
      <c r="AA38" s="154" t="s">
        <v>424</v>
      </c>
      <c r="AB38" s="154" t="s">
        <v>424</v>
      </c>
      <c r="AC38" s="154">
        <v>0.29166666666666669</v>
      </c>
      <c r="AD38" s="154">
        <v>0.29166666666666669</v>
      </c>
      <c r="AE38" s="154">
        <v>0.29166666666666669</v>
      </c>
      <c r="AF38" s="154">
        <v>0.29166666666666669</v>
      </c>
      <c r="AG38" s="154">
        <v>0.29166666666666669</v>
      </c>
      <c r="AH38" s="154">
        <v>0.29166666666666669</v>
      </c>
      <c r="AI38" s="154">
        <v>0.29166666666666669</v>
      </c>
      <c r="AJ38" s="154">
        <v>0.29166666666666669</v>
      </c>
      <c r="AK38" s="154" t="s">
        <v>424</v>
      </c>
      <c r="AL38" s="154">
        <v>0.29166666666666669</v>
      </c>
      <c r="AS38">
        <v>34</v>
      </c>
    </row>
    <row r="39" spans="1:46" hidden="1" x14ac:dyDescent="0.25">
      <c r="A39">
        <v>38</v>
      </c>
      <c r="B39">
        <v>2025</v>
      </c>
      <c r="C39">
        <v>3</v>
      </c>
      <c r="D39" t="s">
        <v>260</v>
      </c>
      <c r="E39">
        <v>31</v>
      </c>
      <c r="F39">
        <v>2</v>
      </c>
      <c r="G39" t="s">
        <v>535</v>
      </c>
      <c r="H39" s="154" t="s">
        <v>424</v>
      </c>
      <c r="I39" s="154" t="s">
        <v>424</v>
      </c>
      <c r="J39" s="154">
        <v>0.75</v>
      </c>
      <c r="K39" s="154">
        <v>0.75</v>
      </c>
      <c r="L39" s="154">
        <v>0.75</v>
      </c>
      <c r="M39" s="154">
        <v>0.75</v>
      </c>
      <c r="N39" s="154">
        <v>0.75</v>
      </c>
      <c r="O39" s="154">
        <v>0.75</v>
      </c>
      <c r="P39" s="154">
        <v>0.75</v>
      </c>
      <c r="Q39" s="154">
        <v>0.75</v>
      </c>
      <c r="R39" s="154">
        <v>0.75</v>
      </c>
      <c r="S39" s="154">
        <v>0.75</v>
      </c>
      <c r="T39" s="154">
        <v>0.75</v>
      </c>
      <c r="U39" s="154">
        <v>0.75</v>
      </c>
      <c r="V39" s="154">
        <v>0.75</v>
      </c>
      <c r="W39" s="154" t="s">
        <v>424</v>
      </c>
      <c r="X39" s="154">
        <v>0.75</v>
      </c>
      <c r="Y39" s="154">
        <v>0.75</v>
      </c>
      <c r="Z39" s="154">
        <v>0.75</v>
      </c>
      <c r="AA39" s="154" t="s">
        <v>424</v>
      </c>
      <c r="AB39" s="154" t="s">
        <v>424</v>
      </c>
      <c r="AC39" s="154">
        <v>0.75</v>
      </c>
      <c r="AD39" s="154">
        <v>0.75</v>
      </c>
      <c r="AE39" s="154">
        <v>0.75</v>
      </c>
      <c r="AF39" s="154">
        <v>0.75</v>
      </c>
      <c r="AG39" s="154">
        <v>0.75</v>
      </c>
      <c r="AH39" s="154">
        <v>0.75</v>
      </c>
      <c r="AI39" s="154">
        <v>0.75</v>
      </c>
      <c r="AJ39" s="154">
        <v>0.75</v>
      </c>
      <c r="AK39" s="154" t="s">
        <v>424</v>
      </c>
      <c r="AL39" s="154">
        <v>0.75</v>
      </c>
      <c r="AM39" cm="1">
        <f t="array" ref="AM39">SUM(IFERROR(IF((H39:AL39-H38:AL38)*24&gt;=11,1,""),""))</f>
        <v>25</v>
      </c>
      <c r="AS39">
        <v>35</v>
      </c>
    </row>
    <row r="40" spans="1:46" hidden="1" x14ac:dyDescent="0.25">
      <c r="A40">
        <v>39</v>
      </c>
      <c r="B40">
        <v>2025</v>
      </c>
      <c r="C40">
        <v>3</v>
      </c>
      <c r="D40" t="s">
        <v>260</v>
      </c>
      <c r="E40">
        <v>31</v>
      </c>
      <c r="F40">
        <v>2</v>
      </c>
      <c r="G40" t="s">
        <v>536</v>
      </c>
      <c r="H40" s="154" t="s">
        <v>424</v>
      </c>
      <c r="I40" s="154" t="s">
        <v>424</v>
      </c>
      <c r="J40" s="154">
        <v>775300</v>
      </c>
      <c r="K40" s="154">
        <v>775503</v>
      </c>
      <c r="L40" s="154">
        <v>775655</v>
      </c>
      <c r="M40" s="154">
        <v>775789</v>
      </c>
      <c r="N40" s="154">
        <v>775942</v>
      </c>
      <c r="O40" s="154">
        <v>776086</v>
      </c>
      <c r="P40" s="154">
        <v>776235</v>
      </c>
      <c r="Q40" s="154">
        <v>776460</v>
      </c>
      <c r="R40" s="154">
        <v>776656</v>
      </c>
      <c r="S40" s="154">
        <v>776898</v>
      </c>
      <c r="T40" s="154">
        <v>777064</v>
      </c>
      <c r="U40" s="154">
        <v>777269</v>
      </c>
      <c r="V40" s="154">
        <v>777397</v>
      </c>
      <c r="W40" s="154" t="s">
        <v>424</v>
      </c>
      <c r="X40" s="154">
        <v>777578</v>
      </c>
      <c r="Y40" s="154">
        <v>777742</v>
      </c>
      <c r="Z40" s="154">
        <v>777879</v>
      </c>
      <c r="AA40" s="154" t="s">
        <v>424</v>
      </c>
      <c r="AB40" s="154" t="s">
        <v>424</v>
      </c>
      <c r="AC40" s="154">
        <v>778197</v>
      </c>
      <c r="AD40" s="154">
        <v>778309</v>
      </c>
      <c r="AE40" s="154">
        <v>778440</v>
      </c>
      <c r="AF40" s="154">
        <v>778585</v>
      </c>
      <c r="AG40" s="154">
        <v>778729</v>
      </c>
      <c r="AH40" s="154">
        <v>778925</v>
      </c>
      <c r="AI40" s="154">
        <v>779068</v>
      </c>
      <c r="AJ40" s="154">
        <v>779265</v>
      </c>
      <c r="AK40" s="154" t="s">
        <v>424</v>
      </c>
      <c r="AL40" s="154">
        <v>779535</v>
      </c>
      <c r="AS40">
        <v>36</v>
      </c>
    </row>
    <row r="41" spans="1:46" hidden="1" x14ac:dyDescent="0.25">
      <c r="A41">
        <v>40</v>
      </c>
      <c r="B41">
        <v>2025</v>
      </c>
      <c r="C41">
        <v>3</v>
      </c>
      <c r="D41" t="s">
        <v>260</v>
      </c>
      <c r="E41">
        <v>31</v>
      </c>
      <c r="F41">
        <v>2</v>
      </c>
      <c r="G41" t="s">
        <v>537</v>
      </c>
      <c r="H41" s="154" t="s">
        <v>424</v>
      </c>
      <c r="I41" s="154" t="s">
        <v>424</v>
      </c>
      <c r="J41" s="154">
        <v>775503</v>
      </c>
      <c r="K41" s="154">
        <v>775655</v>
      </c>
      <c r="L41" s="154">
        <v>775789</v>
      </c>
      <c r="M41" s="154">
        <v>775942</v>
      </c>
      <c r="N41" s="154">
        <v>776086</v>
      </c>
      <c r="O41" s="154">
        <v>776235</v>
      </c>
      <c r="P41" s="154">
        <v>776460</v>
      </c>
      <c r="Q41" s="154">
        <v>776656</v>
      </c>
      <c r="R41" s="154">
        <v>776898</v>
      </c>
      <c r="S41" s="154">
        <v>777064</v>
      </c>
      <c r="T41" s="154">
        <v>777269</v>
      </c>
      <c r="U41" s="154">
        <v>777397</v>
      </c>
      <c r="V41" s="154">
        <v>777578</v>
      </c>
      <c r="W41" s="154" t="s">
        <v>424</v>
      </c>
      <c r="X41" s="154">
        <v>777742</v>
      </c>
      <c r="Y41" s="154">
        <v>777879</v>
      </c>
      <c r="Z41" s="154">
        <v>778147</v>
      </c>
      <c r="AA41" s="154" t="s">
        <v>424</v>
      </c>
      <c r="AB41" s="154" t="s">
        <v>424</v>
      </c>
      <c r="AC41" s="154">
        <v>778309</v>
      </c>
      <c r="AD41" s="154">
        <v>778440</v>
      </c>
      <c r="AE41" s="154">
        <v>778585</v>
      </c>
      <c r="AF41" s="154">
        <v>778729</v>
      </c>
      <c r="AG41" s="154">
        <v>778925</v>
      </c>
      <c r="AH41" s="154">
        <v>779068</v>
      </c>
      <c r="AI41" s="154">
        <v>779265</v>
      </c>
      <c r="AJ41" s="154">
        <v>779535</v>
      </c>
      <c r="AK41" s="154" t="s">
        <v>424</v>
      </c>
      <c r="AL41" s="154">
        <v>779650</v>
      </c>
      <c r="AP41" cm="1">
        <f t="array" ref="AP41">IF(AQ41="","",SUM(IFERROR(H41:AL41-H40:AL40,0))*AQ41/100)</f>
        <v>774</v>
      </c>
      <c r="AQ41">
        <f>_xlfn.XLOOKUP(D41,log_prices!M:M,log_prices!L:L,,0)</f>
        <v>18</v>
      </c>
      <c r="AS41">
        <v>37</v>
      </c>
      <c r="AT41" cm="1">
        <f t="array" ref="AT41">IF(AQ41="","",SUM(IFERROR(H41:AL41-H40:AL40,0)))</f>
        <v>4300</v>
      </c>
    </row>
    <row r="42" spans="1:46" hidden="1" x14ac:dyDescent="0.25">
      <c r="A42">
        <v>41</v>
      </c>
      <c r="B42">
        <v>2025</v>
      </c>
      <c r="C42">
        <v>3</v>
      </c>
      <c r="D42" t="s">
        <v>430</v>
      </c>
      <c r="E42">
        <v>31</v>
      </c>
      <c r="F42">
        <v>2</v>
      </c>
      <c r="G42" t="s">
        <v>534</v>
      </c>
      <c r="H42" s="154" t="s">
        <v>424</v>
      </c>
      <c r="I42" s="154" t="s">
        <v>424</v>
      </c>
      <c r="J42" s="154">
        <v>0.29166666666666669</v>
      </c>
      <c r="K42" s="154">
        <v>0.29166666666666669</v>
      </c>
      <c r="L42" s="154">
        <v>0.29166666666666669</v>
      </c>
      <c r="M42" s="154">
        <v>0.29166666666666669</v>
      </c>
      <c r="N42" s="154">
        <v>0.29166666666666669</v>
      </c>
      <c r="O42" s="154">
        <v>0.29166666666666669</v>
      </c>
      <c r="P42" s="154">
        <v>0.29166666666666669</v>
      </c>
      <c r="Q42" s="154">
        <v>0.29166666666666669</v>
      </c>
      <c r="R42" s="154">
        <v>0.29166666666666669</v>
      </c>
      <c r="S42" s="154">
        <v>0.29166666666666669</v>
      </c>
      <c r="T42" s="154">
        <v>0.29166666666666669</v>
      </c>
      <c r="U42" s="154">
        <v>0.29166666666666669</v>
      </c>
      <c r="V42" s="154">
        <v>0.29166666666666669</v>
      </c>
      <c r="W42" s="154">
        <v>0.29166666666666669</v>
      </c>
      <c r="X42" s="154">
        <v>0.29166666666666669</v>
      </c>
      <c r="Y42" s="154">
        <v>0.29166666666666669</v>
      </c>
      <c r="Z42" s="154" t="s">
        <v>424</v>
      </c>
      <c r="AA42" s="154" t="s">
        <v>424</v>
      </c>
      <c r="AB42" s="154" t="s">
        <v>424</v>
      </c>
      <c r="AC42" s="154">
        <v>0.29166666666666669</v>
      </c>
      <c r="AD42" s="154">
        <v>0.29166666666666669</v>
      </c>
      <c r="AE42" s="154">
        <v>0.29166666666666669</v>
      </c>
      <c r="AF42" s="154">
        <v>0.29166666666666669</v>
      </c>
      <c r="AG42" s="154">
        <v>0.29166666666666669</v>
      </c>
      <c r="AH42" s="154">
        <v>0.29166666666666669</v>
      </c>
      <c r="AI42" s="154">
        <v>0.29166666666666669</v>
      </c>
      <c r="AJ42" s="154">
        <v>0.29166666666666669</v>
      </c>
      <c r="AK42" s="154" t="s">
        <v>424</v>
      </c>
      <c r="AL42" s="154" t="s">
        <v>424</v>
      </c>
      <c r="AS42">
        <v>38</v>
      </c>
    </row>
    <row r="43" spans="1:46" hidden="1" x14ac:dyDescent="0.25">
      <c r="A43">
        <v>42</v>
      </c>
      <c r="B43">
        <v>2025</v>
      </c>
      <c r="C43">
        <v>3</v>
      </c>
      <c r="D43" t="s">
        <v>430</v>
      </c>
      <c r="E43">
        <v>31</v>
      </c>
      <c r="F43">
        <v>2</v>
      </c>
      <c r="G43" t="s">
        <v>535</v>
      </c>
      <c r="H43" s="154" t="s">
        <v>424</v>
      </c>
      <c r="I43" s="154" t="s">
        <v>424</v>
      </c>
      <c r="J43" s="154">
        <v>0.75</v>
      </c>
      <c r="K43" s="154">
        <v>0.75</v>
      </c>
      <c r="L43" s="154">
        <v>0.75</v>
      </c>
      <c r="M43" s="154">
        <v>0.75</v>
      </c>
      <c r="N43" s="154">
        <v>0.75</v>
      </c>
      <c r="O43" s="154">
        <v>0.75</v>
      </c>
      <c r="P43" s="154">
        <v>0.75</v>
      </c>
      <c r="Q43" s="154">
        <v>0.75</v>
      </c>
      <c r="R43" s="154">
        <v>0.75</v>
      </c>
      <c r="S43" s="154">
        <v>0.75</v>
      </c>
      <c r="T43" s="154">
        <v>0.75</v>
      </c>
      <c r="U43" s="154">
        <v>0.75</v>
      </c>
      <c r="V43" s="154">
        <v>0.75</v>
      </c>
      <c r="W43" s="154">
        <v>0.75</v>
      </c>
      <c r="X43" s="154">
        <v>0.75</v>
      </c>
      <c r="Y43" s="154">
        <v>0.75</v>
      </c>
      <c r="Z43" s="154" t="s">
        <v>424</v>
      </c>
      <c r="AA43" s="154" t="s">
        <v>424</v>
      </c>
      <c r="AB43" s="154" t="s">
        <v>424</v>
      </c>
      <c r="AC43" s="154">
        <v>0.75</v>
      </c>
      <c r="AD43" s="154">
        <v>0.75</v>
      </c>
      <c r="AE43" s="154">
        <v>0.75</v>
      </c>
      <c r="AF43" s="154">
        <v>0.75</v>
      </c>
      <c r="AG43" s="154">
        <v>0.75</v>
      </c>
      <c r="AH43" s="154">
        <v>0.75</v>
      </c>
      <c r="AI43" s="154">
        <v>0.75</v>
      </c>
      <c r="AJ43" s="154">
        <v>0.75</v>
      </c>
      <c r="AK43" s="154" t="s">
        <v>424</v>
      </c>
      <c r="AL43" s="154" t="s">
        <v>424</v>
      </c>
      <c r="AM43" cm="1">
        <f t="array" ref="AM43">SUM(IFERROR(IF((H43:AL43-H42:AL42)*24&gt;=11,1,""),""))</f>
        <v>24</v>
      </c>
      <c r="AO43" cm="1">
        <f t="array" ref="AO43">SUM(IFERROR(MOD((H43:AL43-H42:AL42)*24,11),""))</f>
        <v>0</v>
      </c>
      <c r="AS43">
        <v>39</v>
      </c>
    </row>
    <row r="44" spans="1:46" hidden="1" x14ac:dyDescent="0.25">
      <c r="A44">
        <v>43</v>
      </c>
      <c r="B44">
        <v>2025</v>
      </c>
      <c r="C44">
        <v>3</v>
      </c>
      <c r="D44" t="s">
        <v>430</v>
      </c>
      <c r="E44">
        <v>31</v>
      </c>
      <c r="F44">
        <v>2</v>
      </c>
      <c r="G44" t="s">
        <v>536</v>
      </c>
      <c r="H44" s="154" t="s">
        <v>424</v>
      </c>
      <c r="I44" s="154" t="s">
        <v>424</v>
      </c>
      <c r="J44" s="154">
        <v>241191</v>
      </c>
      <c r="K44" s="154">
        <v>241208</v>
      </c>
      <c r="L44" s="154">
        <v>241227</v>
      </c>
      <c r="M44" s="154">
        <v>241265</v>
      </c>
      <c r="N44" s="154">
        <v>241350</v>
      </c>
      <c r="O44" s="154">
        <v>241403</v>
      </c>
      <c r="P44" s="154">
        <v>241480</v>
      </c>
      <c r="Q44" s="154">
        <v>241505</v>
      </c>
      <c r="R44" s="154">
        <v>241890</v>
      </c>
      <c r="S44" s="154">
        <v>241990</v>
      </c>
      <c r="T44" s="154">
        <v>251311</v>
      </c>
      <c r="U44" s="154">
        <v>251586</v>
      </c>
      <c r="V44" s="154">
        <v>251800</v>
      </c>
      <c r="W44" s="154">
        <v>251875</v>
      </c>
      <c r="X44" s="154">
        <v>251950</v>
      </c>
      <c r="Y44" s="154">
        <v>252025</v>
      </c>
      <c r="Z44" s="154" t="s">
        <v>424</v>
      </c>
      <c r="AA44" s="154" t="s">
        <v>424</v>
      </c>
      <c r="AB44" s="154" t="s">
        <v>424</v>
      </c>
      <c r="AC44" s="154">
        <v>252325</v>
      </c>
      <c r="AD44" s="154">
        <v>252400</v>
      </c>
      <c r="AE44" s="154">
        <v>252475</v>
      </c>
      <c r="AF44" s="154">
        <v>252550</v>
      </c>
      <c r="AG44" s="154">
        <v>252625</v>
      </c>
      <c r="AH44" s="154">
        <v>252700</v>
      </c>
      <c r="AI44" s="154">
        <v>252775</v>
      </c>
      <c r="AJ44" s="154">
        <v>252850</v>
      </c>
      <c r="AK44" s="154" t="s">
        <v>424</v>
      </c>
      <c r="AL44" s="154" t="s">
        <v>424</v>
      </c>
      <c r="AS44">
        <v>40</v>
      </c>
    </row>
    <row r="45" spans="1:46" hidden="1" x14ac:dyDescent="0.25">
      <c r="A45">
        <v>44</v>
      </c>
      <c r="B45">
        <v>2025</v>
      </c>
      <c r="C45">
        <v>3</v>
      </c>
      <c r="D45" t="s">
        <v>430</v>
      </c>
      <c r="E45">
        <v>31</v>
      </c>
      <c r="F45">
        <v>2</v>
      </c>
      <c r="G45" t="s">
        <v>537</v>
      </c>
      <c r="H45" s="154" t="s">
        <v>424</v>
      </c>
      <c r="I45" s="154" t="s">
        <v>424</v>
      </c>
      <c r="J45" s="154">
        <v>241208</v>
      </c>
      <c r="K45" s="154">
        <v>241227</v>
      </c>
      <c r="L45" s="154">
        <v>241265</v>
      </c>
      <c r="M45" s="154">
        <v>241350</v>
      </c>
      <c r="N45" s="154">
        <v>241403</v>
      </c>
      <c r="O45" s="154">
        <v>241480</v>
      </c>
      <c r="P45" s="154">
        <v>241505</v>
      </c>
      <c r="Q45" s="154">
        <v>241890</v>
      </c>
      <c r="R45" s="154">
        <v>241990</v>
      </c>
      <c r="S45" s="154">
        <v>242090</v>
      </c>
      <c r="T45" s="154">
        <v>251586</v>
      </c>
      <c r="U45" s="154">
        <v>251800</v>
      </c>
      <c r="V45" s="154">
        <v>251875</v>
      </c>
      <c r="W45" s="154">
        <v>251950</v>
      </c>
      <c r="X45" s="154">
        <v>252025</v>
      </c>
      <c r="Y45" s="154">
        <v>252100</v>
      </c>
      <c r="Z45" s="154" t="s">
        <v>424</v>
      </c>
      <c r="AA45" s="154" t="s">
        <v>424</v>
      </c>
      <c r="AB45" s="154" t="s">
        <v>424</v>
      </c>
      <c r="AC45" s="154">
        <v>252400</v>
      </c>
      <c r="AD45" s="154">
        <v>252475</v>
      </c>
      <c r="AE45" s="154">
        <v>252550</v>
      </c>
      <c r="AF45" s="154">
        <v>252625</v>
      </c>
      <c r="AG45" s="154">
        <v>252700</v>
      </c>
      <c r="AH45" s="154">
        <v>252775</v>
      </c>
      <c r="AI45" s="154">
        <v>252850</v>
      </c>
      <c r="AJ45" s="154">
        <v>252925</v>
      </c>
      <c r="AK45" s="154" t="s">
        <v>424</v>
      </c>
      <c r="AL45" s="154" t="s">
        <v>424</v>
      </c>
      <c r="AP45" cm="1">
        <f t="array" ref="AP45">IF(AQ45="","",SUM(IFERROR(H45:AL45-H44:AL44,0))*AQ45/100)</f>
        <v>343.2</v>
      </c>
      <c r="AQ45">
        <f>_xlfn.XLOOKUP(D45,log_prices!M:M,log_prices!L:L,,0)</f>
        <v>15</v>
      </c>
      <c r="AS45">
        <v>41</v>
      </c>
      <c r="AT45" cm="1">
        <f t="array" ref="AT45">IF(AQ45="","",SUM(IFERROR(H45:AL45-H44:AL44,0)))</f>
        <v>2288</v>
      </c>
    </row>
    <row r="46" spans="1:46" hidden="1" x14ac:dyDescent="0.25">
      <c r="A46">
        <v>45</v>
      </c>
      <c r="B46">
        <v>2025</v>
      </c>
      <c r="C46">
        <v>3</v>
      </c>
      <c r="D46" t="s">
        <v>242</v>
      </c>
      <c r="E46">
        <v>31</v>
      </c>
      <c r="F46">
        <v>2</v>
      </c>
      <c r="G46" t="s">
        <v>534</v>
      </c>
      <c r="H46" s="154">
        <v>0.29166666666666669</v>
      </c>
      <c r="I46" s="154">
        <v>0.29166666666666669</v>
      </c>
      <c r="J46" s="154">
        <v>0.29166666666666669</v>
      </c>
      <c r="K46" s="154">
        <v>0.29166666666666669</v>
      </c>
      <c r="L46" s="154">
        <v>0.29166666666666669</v>
      </c>
      <c r="M46" s="154">
        <v>0.29166666666666669</v>
      </c>
      <c r="N46" s="154">
        <v>0.29166666666666669</v>
      </c>
      <c r="O46" s="154">
        <v>0.29166666666666669</v>
      </c>
      <c r="P46" s="154">
        <v>0.29166666666666669</v>
      </c>
      <c r="Q46" s="154">
        <v>0.29166666666666669</v>
      </c>
      <c r="R46" s="154">
        <v>0.29166666666666669</v>
      </c>
      <c r="S46" s="154" t="s">
        <v>424</v>
      </c>
      <c r="T46" s="154" t="s">
        <v>424</v>
      </c>
      <c r="U46" s="154">
        <v>0.29166666666666669</v>
      </c>
      <c r="V46" s="154">
        <v>0.29166666666666669</v>
      </c>
      <c r="W46" s="154">
        <v>0.29166666666666669</v>
      </c>
      <c r="X46" s="154">
        <v>0.29166666666666669</v>
      </c>
      <c r="Y46" s="154" t="s">
        <v>424</v>
      </c>
      <c r="Z46" s="154">
        <v>0.29166666666666669</v>
      </c>
      <c r="AA46" s="154" t="s">
        <v>424</v>
      </c>
      <c r="AB46" s="154" t="s">
        <v>424</v>
      </c>
      <c r="AC46" s="154">
        <v>0.29166666666666669</v>
      </c>
      <c r="AD46" s="154">
        <v>0.29166666666666669</v>
      </c>
      <c r="AE46" s="154">
        <v>0.29166666666666669</v>
      </c>
      <c r="AF46" s="154">
        <v>0.29166666666666669</v>
      </c>
      <c r="AG46" s="154">
        <v>0.29166666666666669</v>
      </c>
      <c r="AH46" s="154">
        <v>0.29166666666666669</v>
      </c>
      <c r="AI46" s="154">
        <v>0.29166666666666669</v>
      </c>
      <c r="AJ46" s="154">
        <v>0.29166666666666669</v>
      </c>
      <c r="AK46" s="154" t="s">
        <v>424</v>
      </c>
      <c r="AL46" s="154">
        <v>0.29166666666666669</v>
      </c>
      <c r="AS46">
        <v>42</v>
      </c>
    </row>
    <row r="47" spans="1:46" hidden="1" x14ac:dyDescent="0.25">
      <c r="A47">
        <v>46</v>
      </c>
      <c r="B47">
        <v>2025</v>
      </c>
      <c r="C47">
        <v>3</v>
      </c>
      <c r="D47" t="s">
        <v>242</v>
      </c>
      <c r="E47">
        <v>31</v>
      </c>
      <c r="F47">
        <v>2</v>
      </c>
      <c r="G47" t="s">
        <v>535</v>
      </c>
      <c r="H47" s="154">
        <v>0.75</v>
      </c>
      <c r="I47" s="154">
        <v>0.75</v>
      </c>
      <c r="J47" s="154">
        <v>0.75</v>
      </c>
      <c r="K47" s="154">
        <v>0.75</v>
      </c>
      <c r="L47" s="154">
        <v>0.75</v>
      </c>
      <c r="M47" s="154">
        <v>0.75</v>
      </c>
      <c r="N47" s="154">
        <v>0.75</v>
      </c>
      <c r="O47" s="154">
        <v>0.75</v>
      </c>
      <c r="P47" s="154">
        <v>0.75</v>
      </c>
      <c r="Q47" s="154">
        <v>0.75</v>
      </c>
      <c r="R47" s="154">
        <v>0.75</v>
      </c>
      <c r="S47" s="154" t="s">
        <v>424</v>
      </c>
      <c r="T47" s="154" t="s">
        <v>424</v>
      </c>
      <c r="U47" s="154">
        <v>0.75</v>
      </c>
      <c r="V47" s="154">
        <v>0.75</v>
      </c>
      <c r="W47" s="154">
        <v>0.75</v>
      </c>
      <c r="X47" s="154">
        <v>0.75</v>
      </c>
      <c r="Y47" s="154" t="s">
        <v>424</v>
      </c>
      <c r="Z47" s="154">
        <v>0.75</v>
      </c>
      <c r="AA47" s="154" t="s">
        <v>424</v>
      </c>
      <c r="AB47" s="154" t="s">
        <v>424</v>
      </c>
      <c r="AC47" s="154">
        <v>0.75</v>
      </c>
      <c r="AD47" s="154">
        <v>0.75</v>
      </c>
      <c r="AE47" s="154">
        <v>0.75</v>
      </c>
      <c r="AF47" s="154">
        <v>0.75</v>
      </c>
      <c r="AG47" s="154">
        <v>0.75</v>
      </c>
      <c r="AH47" s="154">
        <v>0.75</v>
      </c>
      <c r="AI47" s="154">
        <v>0.75</v>
      </c>
      <c r="AJ47" s="154">
        <v>0.75</v>
      </c>
      <c r="AK47" s="154" t="s">
        <v>424</v>
      </c>
      <c r="AL47" s="154">
        <v>0.75</v>
      </c>
      <c r="AM47" cm="1">
        <f t="array" ref="AM47">SUM(IFERROR(IF((H47:AL47-H46:AL46)*24&gt;=11,1,""),""))</f>
        <v>25</v>
      </c>
      <c r="AO47" cm="1">
        <f t="array" ref="AO47">SUM(IFERROR(MOD((H47:AL47-H46:AL46)*24,11),""))</f>
        <v>0</v>
      </c>
      <c r="AS47">
        <v>43</v>
      </c>
    </row>
    <row r="48" spans="1:46" hidden="1" x14ac:dyDescent="0.25">
      <c r="A48">
        <v>47</v>
      </c>
      <c r="B48">
        <v>2025</v>
      </c>
      <c r="C48">
        <v>3</v>
      </c>
      <c r="D48" t="s">
        <v>242</v>
      </c>
      <c r="E48">
        <v>31</v>
      </c>
      <c r="F48">
        <v>2</v>
      </c>
      <c r="G48" t="s">
        <v>536</v>
      </c>
      <c r="H48" s="154">
        <v>10203</v>
      </c>
      <c r="I48" s="154">
        <v>10203</v>
      </c>
      <c r="J48" s="154">
        <v>10203</v>
      </c>
      <c r="K48" s="154">
        <v>10203</v>
      </c>
      <c r="L48" s="154">
        <v>10203</v>
      </c>
      <c r="M48" s="154">
        <v>10203</v>
      </c>
      <c r="N48" s="154">
        <v>10203</v>
      </c>
      <c r="O48" s="154">
        <v>10203</v>
      </c>
      <c r="P48" s="154">
        <v>10203</v>
      </c>
      <c r="Q48" s="154">
        <v>10203</v>
      </c>
      <c r="R48" s="154">
        <v>10203</v>
      </c>
      <c r="S48" s="154" t="s">
        <v>424</v>
      </c>
      <c r="T48" s="154" t="s">
        <v>424</v>
      </c>
      <c r="U48" s="154">
        <v>10449</v>
      </c>
      <c r="V48" s="154">
        <v>10484</v>
      </c>
      <c r="W48" s="154">
        <v>10571</v>
      </c>
      <c r="X48" s="154">
        <v>10745</v>
      </c>
      <c r="Y48" s="154" t="s">
        <v>424</v>
      </c>
      <c r="Z48" s="154">
        <v>10898</v>
      </c>
      <c r="AA48" s="154" t="s">
        <v>424</v>
      </c>
      <c r="AB48" s="154" t="s">
        <v>424</v>
      </c>
      <c r="AC48" s="154">
        <v>11250</v>
      </c>
      <c r="AD48" s="154">
        <v>11300</v>
      </c>
      <c r="AE48" s="154">
        <v>11328</v>
      </c>
      <c r="AF48" s="154">
        <v>11357</v>
      </c>
      <c r="AG48" s="154">
        <v>11490</v>
      </c>
      <c r="AH48" s="154">
        <v>11550</v>
      </c>
      <c r="AI48" s="154">
        <v>11604</v>
      </c>
      <c r="AJ48" s="154">
        <v>11665</v>
      </c>
      <c r="AK48" s="154" t="s">
        <v>424</v>
      </c>
      <c r="AL48" s="154">
        <v>11948</v>
      </c>
      <c r="AS48">
        <v>44</v>
      </c>
    </row>
    <row r="49" spans="1:46" hidden="1" x14ac:dyDescent="0.25">
      <c r="A49">
        <v>48</v>
      </c>
      <c r="B49">
        <v>2025</v>
      </c>
      <c r="C49">
        <v>3</v>
      </c>
      <c r="D49" t="s">
        <v>242</v>
      </c>
      <c r="E49">
        <v>31</v>
      </c>
      <c r="F49">
        <v>2</v>
      </c>
      <c r="G49" t="s">
        <v>537</v>
      </c>
      <c r="H49" s="154">
        <v>10203</v>
      </c>
      <c r="I49" s="154">
        <v>10203</v>
      </c>
      <c r="J49" s="154">
        <v>10203</v>
      </c>
      <c r="K49" s="154">
        <v>10203</v>
      </c>
      <c r="L49" s="154">
        <v>10203</v>
      </c>
      <c r="M49" s="154">
        <v>10203</v>
      </c>
      <c r="N49" s="154">
        <v>10203</v>
      </c>
      <c r="O49" s="154">
        <v>10203</v>
      </c>
      <c r="P49" s="154">
        <v>10203</v>
      </c>
      <c r="Q49" s="154">
        <v>10203</v>
      </c>
      <c r="R49" s="154">
        <v>10203</v>
      </c>
      <c r="S49" s="154" t="s">
        <v>424</v>
      </c>
      <c r="T49" s="154" t="s">
        <v>424</v>
      </c>
      <c r="U49" s="154">
        <v>10484</v>
      </c>
      <c r="V49" s="154">
        <v>10571</v>
      </c>
      <c r="W49" s="154">
        <v>10745</v>
      </c>
      <c r="X49" s="154">
        <v>10898</v>
      </c>
      <c r="Y49" s="154" t="s">
        <v>424</v>
      </c>
      <c r="Z49" s="154">
        <v>10950</v>
      </c>
      <c r="AA49" s="154" t="s">
        <v>424</v>
      </c>
      <c r="AB49" s="154" t="s">
        <v>424</v>
      </c>
      <c r="AC49" s="154">
        <v>11300</v>
      </c>
      <c r="AD49" s="154">
        <v>11328</v>
      </c>
      <c r="AE49" s="154">
        <v>11357</v>
      </c>
      <c r="AF49" s="154">
        <v>11490</v>
      </c>
      <c r="AG49" s="154">
        <v>11550</v>
      </c>
      <c r="AH49" s="154">
        <v>11604</v>
      </c>
      <c r="AI49" s="154">
        <v>11665</v>
      </c>
      <c r="AJ49" s="154">
        <v>11687</v>
      </c>
      <c r="AK49" s="154" t="s">
        <v>424</v>
      </c>
      <c r="AL49" s="154">
        <v>11959</v>
      </c>
      <c r="AP49" cm="1">
        <f t="array" ref="AP49">IF(AQ49="","",SUM(IFERROR(H49:AL49-H48:AL48,0))*AQ49/100)</f>
        <v>142.35</v>
      </c>
      <c r="AQ49">
        <f>_xlfn.XLOOKUP(D49,log_prices!M:M,log_prices!L:L,,0)</f>
        <v>15</v>
      </c>
      <c r="AS49">
        <v>45</v>
      </c>
      <c r="AT49" cm="1">
        <f t="array" ref="AT49">IF(AQ49="","",SUM(IFERROR(H49:AL49-H48:AL48,0)))</f>
        <v>949</v>
      </c>
    </row>
    <row r="50" spans="1:46" hidden="1" x14ac:dyDescent="0.25">
      <c r="A50">
        <v>49</v>
      </c>
      <c r="B50">
        <v>2025</v>
      </c>
      <c r="C50">
        <v>3</v>
      </c>
      <c r="D50" t="s">
        <v>243</v>
      </c>
      <c r="E50">
        <v>31</v>
      </c>
      <c r="F50">
        <v>2</v>
      </c>
      <c r="G50" t="s">
        <v>534</v>
      </c>
      <c r="H50" s="154">
        <v>0.29166666666666669</v>
      </c>
      <c r="I50" s="154" t="s">
        <v>424</v>
      </c>
      <c r="J50" s="154">
        <v>0.29166666666666669</v>
      </c>
      <c r="K50" s="154">
        <v>0.29166666666666669</v>
      </c>
      <c r="L50" s="154">
        <v>0.29166666666666669</v>
      </c>
      <c r="M50" s="154">
        <v>0.29166666666666669</v>
      </c>
      <c r="N50" s="154">
        <v>0.29166666666666669</v>
      </c>
      <c r="O50" s="154">
        <v>0.29166666666666669</v>
      </c>
      <c r="P50" s="154" t="s">
        <v>424</v>
      </c>
      <c r="Q50" s="154">
        <v>0.29166666666666669</v>
      </c>
      <c r="R50" s="154">
        <v>0.29166666666666669</v>
      </c>
      <c r="S50" s="154">
        <v>0.29166666666666669</v>
      </c>
      <c r="T50" s="154">
        <v>0.29166666666666669</v>
      </c>
      <c r="U50" s="154">
        <v>0.29166666666666669</v>
      </c>
      <c r="V50" s="154">
        <v>0.29166666666666669</v>
      </c>
      <c r="W50" s="154">
        <v>0.29166666666666669</v>
      </c>
      <c r="X50" s="154">
        <v>0.29166666666666669</v>
      </c>
      <c r="Y50" s="154">
        <v>0.29166666666666669</v>
      </c>
      <c r="Z50" s="154" t="s">
        <v>424</v>
      </c>
      <c r="AA50" s="154" t="s">
        <v>424</v>
      </c>
      <c r="AB50" s="154" t="s">
        <v>424</v>
      </c>
      <c r="AC50" s="154">
        <v>0.29166666666666669</v>
      </c>
      <c r="AD50" s="154">
        <v>0.29166666666666669</v>
      </c>
      <c r="AE50" s="154">
        <v>0.29166666666666669</v>
      </c>
      <c r="AF50" s="154">
        <v>0.29166666666666669</v>
      </c>
      <c r="AG50" s="154">
        <v>0.29166666666666669</v>
      </c>
      <c r="AH50" s="154">
        <v>0.29166666666666669</v>
      </c>
      <c r="AI50" s="154">
        <v>0.29166666666666669</v>
      </c>
      <c r="AJ50" s="154">
        <v>0.29166666666666669</v>
      </c>
      <c r="AK50" s="154" t="s">
        <v>424</v>
      </c>
      <c r="AL50" s="154" t="s">
        <v>424</v>
      </c>
      <c r="AS50">
        <v>46</v>
      </c>
    </row>
    <row r="51" spans="1:46" hidden="1" x14ac:dyDescent="0.25">
      <c r="A51">
        <v>50</v>
      </c>
      <c r="B51">
        <v>2025</v>
      </c>
      <c r="C51">
        <v>3</v>
      </c>
      <c r="D51" t="s">
        <v>243</v>
      </c>
      <c r="E51">
        <v>31</v>
      </c>
      <c r="F51">
        <v>2</v>
      </c>
      <c r="G51" t="s">
        <v>535</v>
      </c>
      <c r="H51" s="154">
        <v>0.75</v>
      </c>
      <c r="I51" s="154" t="s">
        <v>424</v>
      </c>
      <c r="J51" s="154">
        <v>0.75</v>
      </c>
      <c r="K51" s="154">
        <v>0.75</v>
      </c>
      <c r="L51" s="154">
        <v>0.75</v>
      </c>
      <c r="M51" s="154">
        <v>0.75</v>
      </c>
      <c r="N51" s="154">
        <v>0.75</v>
      </c>
      <c r="O51" s="154">
        <v>0.75</v>
      </c>
      <c r="P51" s="154" t="s">
        <v>424</v>
      </c>
      <c r="Q51" s="154">
        <v>0.75</v>
      </c>
      <c r="R51" s="154">
        <v>0.75</v>
      </c>
      <c r="S51" s="154">
        <v>0.75</v>
      </c>
      <c r="T51" s="154">
        <v>0.75</v>
      </c>
      <c r="U51" s="154">
        <v>0.75</v>
      </c>
      <c r="V51" s="154">
        <v>0.75</v>
      </c>
      <c r="W51" s="154">
        <v>0.75</v>
      </c>
      <c r="X51" s="154">
        <v>0.75</v>
      </c>
      <c r="Y51" s="154">
        <v>0.75</v>
      </c>
      <c r="Z51" s="154" t="s">
        <v>424</v>
      </c>
      <c r="AA51" s="154" t="s">
        <v>424</v>
      </c>
      <c r="AB51" s="154" t="s">
        <v>424</v>
      </c>
      <c r="AC51" s="154">
        <v>0.75</v>
      </c>
      <c r="AD51" s="154">
        <v>0.75</v>
      </c>
      <c r="AE51" s="154">
        <v>0.75</v>
      </c>
      <c r="AF51" s="154">
        <v>0.75</v>
      </c>
      <c r="AG51" s="154">
        <v>0.75</v>
      </c>
      <c r="AH51" s="154">
        <v>0.75</v>
      </c>
      <c r="AI51" s="154">
        <v>0.75</v>
      </c>
      <c r="AJ51" s="154">
        <v>0.75</v>
      </c>
      <c r="AK51" s="154" t="s">
        <v>424</v>
      </c>
      <c r="AL51" s="154" t="s">
        <v>424</v>
      </c>
      <c r="AM51" cm="1">
        <f t="array" ref="AM51">SUM(IFERROR(IF((H51:AL51-H50:AL50)*24&gt;=11,1,""),""))</f>
        <v>24</v>
      </c>
      <c r="AO51" cm="1">
        <f t="array" ref="AO51">SUM(IFERROR(MOD((H51:AL51-H50:AL50)*24,11),""))</f>
        <v>0</v>
      </c>
      <c r="AS51">
        <v>47</v>
      </c>
    </row>
    <row r="52" spans="1:46" hidden="1" x14ac:dyDescent="0.25">
      <c r="A52">
        <v>51</v>
      </c>
      <c r="B52">
        <v>2025</v>
      </c>
      <c r="C52">
        <v>3</v>
      </c>
      <c r="D52" t="s">
        <v>243</v>
      </c>
      <c r="E52">
        <v>31</v>
      </c>
      <c r="F52">
        <v>2</v>
      </c>
      <c r="G52" t="s">
        <v>536</v>
      </c>
      <c r="H52" s="154">
        <v>350454</v>
      </c>
      <c r="I52" s="154" t="s">
        <v>424</v>
      </c>
      <c r="J52" s="154">
        <v>350469</v>
      </c>
      <c r="K52" s="154">
        <v>350484</v>
      </c>
      <c r="L52" s="154">
        <v>350499</v>
      </c>
      <c r="M52" s="154">
        <v>350506</v>
      </c>
      <c r="N52" s="154">
        <v>350521</v>
      </c>
      <c r="O52" s="154">
        <v>350529</v>
      </c>
      <c r="P52" s="154" t="s">
        <v>424</v>
      </c>
      <c r="Q52" s="154">
        <v>350551</v>
      </c>
      <c r="R52" s="154">
        <v>350551</v>
      </c>
      <c r="S52" s="154">
        <v>350551</v>
      </c>
      <c r="T52" s="154">
        <v>350551</v>
      </c>
      <c r="U52" s="154">
        <v>350551</v>
      </c>
      <c r="V52" s="154">
        <v>350551</v>
      </c>
      <c r="W52" s="154">
        <v>350551</v>
      </c>
      <c r="X52" s="154">
        <v>350551</v>
      </c>
      <c r="Y52" s="154">
        <v>350551</v>
      </c>
      <c r="Z52" s="154" t="s">
        <v>424</v>
      </c>
      <c r="AA52" s="154" t="s">
        <v>424</v>
      </c>
      <c r="AB52" s="154" t="s">
        <v>424</v>
      </c>
      <c r="AC52" s="154">
        <v>350669</v>
      </c>
      <c r="AD52" s="154">
        <v>350679</v>
      </c>
      <c r="AE52" s="154">
        <v>350709</v>
      </c>
      <c r="AF52" s="154">
        <v>350717</v>
      </c>
      <c r="AG52" s="154">
        <v>350738</v>
      </c>
      <c r="AH52" s="154">
        <v>350775</v>
      </c>
      <c r="AI52" s="154">
        <v>350781</v>
      </c>
      <c r="AJ52" s="154">
        <v>350818</v>
      </c>
      <c r="AK52" s="154" t="s">
        <v>424</v>
      </c>
      <c r="AL52" s="154" t="s">
        <v>424</v>
      </c>
      <c r="AS52">
        <v>48</v>
      </c>
    </row>
    <row r="53" spans="1:46" hidden="1" x14ac:dyDescent="0.25">
      <c r="A53">
        <v>52</v>
      </c>
      <c r="B53">
        <v>2025</v>
      </c>
      <c r="C53">
        <v>3</v>
      </c>
      <c r="D53" t="s">
        <v>243</v>
      </c>
      <c r="E53">
        <v>31</v>
      </c>
      <c r="F53">
        <v>2</v>
      </c>
      <c r="G53" t="s">
        <v>537</v>
      </c>
      <c r="H53" s="154">
        <v>350469</v>
      </c>
      <c r="I53" s="154" t="s">
        <v>424</v>
      </c>
      <c r="J53" s="154">
        <v>350484</v>
      </c>
      <c r="K53" s="154">
        <v>350499</v>
      </c>
      <c r="L53" s="154">
        <v>350506</v>
      </c>
      <c r="M53" s="154">
        <v>350521</v>
      </c>
      <c r="N53" s="154">
        <v>350529</v>
      </c>
      <c r="O53" s="154">
        <v>350551</v>
      </c>
      <c r="P53" s="154" t="s">
        <v>424</v>
      </c>
      <c r="Q53" s="154">
        <v>350562</v>
      </c>
      <c r="R53" s="154">
        <v>350570</v>
      </c>
      <c r="S53" s="154">
        <v>350585</v>
      </c>
      <c r="T53" s="154">
        <v>350611</v>
      </c>
      <c r="U53" s="154">
        <v>350616</v>
      </c>
      <c r="V53" s="154">
        <v>350621</v>
      </c>
      <c r="W53" s="154">
        <v>350637</v>
      </c>
      <c r="X53" s="154">
        <v>350645</v>
      </c>
      <c r="Y53" s="154">
        <v>350669</v>
      </c>
      <c r="Z53" s="154" t="s">
        <v>424</v>
      </c>
      <c r="AA53" s="154" t="s">
        <v>424</v>
      </c>
      <c r="AB53" s="154" t="s">
        <v>424</v>
      </c>
      <c r="AC53" s="154">
        <v>350679</v>
      </c>
      <c r="AD53" s="154">
        <v>350709</v>
      </c>
      <c r="AE53" s="154">
        <v>350717</v>
      </c>
      <c r="AF53" s="154">
        <v>350738</v>
      </c>
      <c r="AG53" s="154">
        <v>350775</v>
      </c>
      <c r="AH53" s="154">
        <v>350781</v>
      </c>
      <c r="AI53" s="154">
        <v>350818</v>
      </c>
      <c r="AJ53" s="154">
        <v>350842</v>
      </c>
      <c r="AK53" s="154" t="s">
        <v>424</v>
      </c>
      <c r="AL53" s="154" t="s">
        <v>424</v>
      </c>
      <c r="AM53" t="str" cm="1">
        <f t="array" ref="AM53">IF(AQ53="","",SUM(IFERROR(H53:AL53-H52:AL52,0))*AQ53/100)</f>
        <v/>
      </c>
      <c r="AQ53" t="str">
        <f>_xlfn.XLOOKUP(D53,log_prices!M:M,log_prices!L:L,,0)</f>
        <v/>
      </c>
      <c r="AS53">
        <v>49</v>
      </c>
    </row>
    <row r="54" spans="1:46" hidden="1" x14ac:dyDescent="0.25">
      <c r="A54">
        <v>53</v>
      </c>
      <c r="B54">
        <v>2025</v>
      </c>
      <c r="C54">
        <v>3</v>
      </c>
      <c r="D54" t="s">
        <v>261</v>
      </c>
      <c r="E54">
        <v>31</v>
      </c>
      <c r="F54">
        <v>2</v>
      </c>
      <c r="G54" t="s">
        <v>534</v>
      </c>
      <c r="H54" s="154">
        <v>0.29166666666666669</v>
      </c>
      <c r="I54" s="154">
        <v>0.29166666666666669</v>
      </c>
      <c r="J54" s="154">
        <v>0.29166666666666669</v>
      </c>
      <c r="K54" s="154">
        <v>0.29166666666666669</v>
      </c>
      <c r="L54" s="154">
        <v>0.29166666666666669</v>
      </c>
      <c r="M54" s="154">
        <v>0.29166666666666669</v>
      </c>
      <c r="N54" s="154">
        <v>0.29166666666666669</v>
      </c>
      <c r="O54" s="154">
        <v>0.29166666666666669</v>
      </c>
      <c r="P54" s="154">
        <v>0.29166666666666669</v>
      </c>
      <c r="Q54" s="154">
        <v>0.29166666666666669</v>
      </c>
      <c r="R54" s="154">
        <v>0.29166666666666669</v>
      </c>
      <c r="S54" s="154">
        <v>0.29166666666666669</v>
      </c>
      <c r="T54" s="154">
        <v>0.29166666666666669</v>
      </c>
      <c r="U54" s="154">
        <v>0.29166666666666669</v>
      </c>
      <c r="V54" s="154">
        <v>0.29166666666666669</v>
      </c>
      <c r="W54" s="154">
        <v>0.29166666666666669</v>
      </c>
      <c r="X54" s="154">
        <v>0.29166666666666669</v>
      </c>
      <c r="Y54" s="154">
        <v>0.29166666666666669</v>
      </c>
      <c r="Z54" s="154">
        <v>0.29166666666666669</v>
      </c>
      <c r="AA54" s="154">
        <v>0.29166666666666669</v>
      </c>
      <c r="AB54" s="154">
        <v>0.29166666666666669</v>
      </c>
      <c r="AC54" s="154">
        <v>0.29166666666666669</v>
      </c>
      <c r="AD54" s="154">
        <v>0.29166666666666669</v>
      </c>
      <c r="AE54" s="154">
        <v>0.29166666666666669</v>
      </c>
      <c r="AF54" s="154">
        <v>0.29166666666666669</v>
      </c>
      <c r="AG54" s="154">
        <v>0.29166666666666669</v>
      </c>
      <c r="AH54" s="154">
        <v>0.29166666666666669</v>
      </c>
      <c r="AI54" s="154">
        <v>0.29166666666666669</v>
      </c>
      <c r="AJ54" s="154">
        <v>0.29166666666666669</v>
      </c>
      <c r="AK54" s="154">
        <v>0.29166666666666669</v>
      </c>
      <c r="AL54" s="154">
        <v>0.29166666666666669</v>
      </c>
      <c r="AS54">
        <v>50</v>
      </c>
    </row>
    <row r="55" spans="1:46" hidden="1" x14ac:dyDescent="0.25">
      <c r="A55">
        <v>54</v>
      </c>
      <c r="B55">
        <v>2025</v>
      </c>
      <c r="C55">
        <v>3</v>
      </c>
      <c r="D55" t="s">
        <v>261</v>
      </c>
      <c r="E55">
        <v>31</v>
      </c>
      <c r="F55">
        <v>2</v>
      </c>
      <c r="G55" t="s">
        <v>535</v>
      </c>
      <c r="H55" s="154">
        <v>0.75</v>
      </c>
      <c r="I55" s="154">
        <v>0.75</v>
      </c>
      <c r="J55" s="154">
        <v>0.75</v>
      </c>
      <c r="K55" s="154">
        <v>0.75</v>
      </c>
      <c r="L55" s="154">
        <v>0.75</v>
      </c>
      <c r="M55" s="154">
        <v>0.75</v>
      </c>
      <c r="N55" s="154">
        <v>0.75</v>
      </c>
      <c r="O55" s="154">
        <v>0.75</v>
      </c>
      <c r="P55" s="154">
        <v>0.75</v>
      </c>
      <c r="Q55" s="154">
        <v>0.75</v>
      </c>
      <c r="R55" s="154">
        <v>0.75</v>
      </c>
      <c r="S55" s="154">
        <v>0.75</v>
      </c>
      <c r="T55" s="154">
        <v>0.75</v>
      </c>
      <c r="U55" s="154">
        <v>0.75</v>
      </c>
      <c r="V55" s="154">
        <v>0.75</v>
      </c>
      <c r="W55" s="154">
        <v>0.75</v>
      </c>
      <c r="X55" s="154">
        <v>0.75</v>
      </c>
      <c r="Y55" s="154">
        <v>0.75</v>
      </c>
      <c r="Z55" s="154">
        <v>0.75</v>
      </c>
      <c r="AA55" s="154">
        <v>0.75</v>
      </c>
      <c r="AB55" s="154">
        <v>0.75</v>
      </c>
      <c r="AC55" s="154">
        <v>0.75</v>
      </c>
      <c r="AD55" s="154">
        <v>0.75</v>
      </c>
      <c r="AE55" s="154">
        <v>0.75</v>
      </c>
      <c r="AF55" s="154">
        <v>0.75</v>
      </c>
      <c r="AG55" s="154">
        <v>0.75</v>
      </c>
      <c r="AH55" s="154">
        <v>0.75</v>
      </c>
      <c r="AI55" s="154">
        <v>0.75</v>
      </c>
      <c r="AJ55" s="154">
        <v>0.75</v>
      </c>
      <c r="AK55" s="154">
        <v>0.75</v>
      </c>
      <c r="AL55" s="154">
        <v>0.75</v>
      </c>
      <c r="AM55" cm="1">
        <f t="array" ref="AM55">SUM(IFERROR(IF((H55:AL55-H54:AL54)*24&gt;=11,1,""),""))</f>
        <v>31</v>
      </c>
      <c r="AO55" cm="1">
        <f t="array" ref="AO55">SUM(IFERROR(MOD((H55:AL55-H54:AL54)*24,11),""))</f>
        <v>0</v>
      </c>
      <c r="AS55">
        <v>51</v>
      </c>
    </row>
    <row r="56" spans="1:46" hidden="1" x14ac:dyDescent="0.25">
      <c r="A56">
        <v>55</v>
      </c>
      <c r="B56">
        <v>2025</v>
      </c>
      <c r="C56">
        <v>3</v>
      </c>
      <c r="D56" t="s">
        <v>244</v>
      </c>
      <c r="E56">
        <v>31</v>
      </c>
      <c r="F56">
        <v>2</v>
      </c>
      <c r="G56" t="s">
        <v>534</v>
      </c>
      <c r="H56" s="154">
        <v>0.29166666666666669</v>
      </c>
      <c r="I56" s="154">
        <v>0.29166666666666669</v>
      </c>
      <c r="J56" s="154">
        <v>0.29166666666666669</v>
      </c>
      <c r="K56" s="154">
        <v>0.29166666666666669</v>
      </c>
      <c r="L56" s="154">
        <v>0.29166666666666669</v>
      </c>
      <c r="M56" s="154">
        <v>0.29166666666666669</v>
      </c>
      <c r="N56" s="154">
        <v>0.29166666666666669</v>
      </c>
      <c r="O56" s="154">
        <v>0.29166666666666669</v>
      </c>
      <c r="P56" s="154">
        <v>0.29166666666666669</v>
      </c>
      <c r="Q56" s="154">
        <v>0.29166666666666669</v>
      </c>
      <c r="R56" s="154">
        <v>0.29166666666666669</v>
      </c>
      <c r="S56" s="154">
        <v>0.29166666666666669</v>
      </c>
      <c r="T56" s="154">
        <v>0.29166666666666669</v>
      </c>
      <c r="U56" s="154">
        <v>0.29166666666666669</v>
      </c>
      <c r="V56" s="154">
        <v>0.29166666666666669</v>
      </c>
      <c r="W56" s="154">
        <v>0.29166666666666669</v>
      </c>
      <c r="X56" s="154">
        <v>0.29166666666666669</v>
      </c>
      <c r="Y56" s="154">
        <v>0.29166666666666669</v>
      </c>
      <c r="Z56" s="154">
        <v>0.29166666666666669</v>
      </c>
      <c r="AA56" s="154">
        <v>0.29166666666666669</v>
      </c>
      <c r="AB56" s="154">
        <v>0.29166666666666669</v>
      </c>
      <c r="AC56" s="154">
        <v>0.29166666666666669</v>
      </c>
      <c r="AD56" s="154">
        <v>0.29166666666666669</v>
      </c>
      <c r="AE56" s="154">
        <v>0.29166666666666669</v>
      </c>
      <c r="AF56" s="154">
        <v>0.29166666666666669</v>
      </c>
      <c r="AG56" s="154">
        <v>0.29166666666666669</v>
      </c>
      <c r="AH56" s="154">
        <v>0.29166666666666669</v>
      </c>
      <c r="AI56" s="154">
        <v>0.29166666666666669</v>
      </c>
      <c r="AJ56" s="154">
        <v>0.29166666666666669</v>
      </c>
      <c r="AK56" s="154" t="s">
        <v>424</v>
      </c>
      <c r="AL56" s="154">
        <v>0.29166666666666669</v>
      </c>
      <c r="AS56">
        <v>52</v>
      </c>
    </row>
    <row r="57" spans="1:46" hidden="1" x14ac:dyDescent="0.25">
      <c r="A57">
        <v>56</v>
      </c>
      <c r="B57">
        <v>2025</v>
      </c>
      <c r="C57">
        <v>3</v>
      </c>
      <c r="D57" t="s">
        <v>244</v>
      </c>
      <c r="E57">
        <v>31</v>
      </c>
      <c r="F57">
        <v>2</v>
      </c>
      <c r="G57" t="s">
        <v>535</v>
      </c>
      <c r="H57" s="154">
        <v>0.75</v>
      </c>
      <c r="I57" s="154">
        <v>0.75</v>
      </c>
      <c r="J57" s="154">
        <v>0.91666666666666674</v>
      </c>
      <c r="K57" s="154">
        <v>1</v>
      </c>
      <c r="L57" s="154">
        <v>0.75</v>
      </c>
      <c r="M57" s="154">
        <v>0.75</v>
      </c>
      <c r="N57" s="154">
        <v>0.875</v>
      </c>
      <c r="O57" s="154">
        <v>1.1666666666666667</v>
      </c>
      <c r="P57" s="154">
        <v>0.75</v>
      </c>
      <c r="Q57" s="154">
        <v>0.91666666666666674</v>
      </c>
      <c r="R57" s="154">
        <v>0.75</v>
      </c>
      <c r="S57" s="154">
        <v>1.0833333333333333</v>
      </c>
      <c r="T57" s="154">
        <v>0.875</v>
      </c>
      <c r="U57" s="154">
        <v>1</v>
      </c>
      <c r="V57" s="154">
        <v>0.91666666666666674</v>
      </c>
      <c r="W57" s="154">
        <v>0.75</v>
      </c>
      <c r="X57" s="154">
        <v>0.75</v>
      </c>
      <c r="Y57" s="154">
        <v>1.1666666666666667</v>
      </c>
      <c r="Z57" s="154">
        <v>1.0833333333333333</v>
      </c>
      <c r="AA57" s="154">
        <v>1.1666666666666667</v>
      </c>
      <c r="AB57" s="154">
        <v>1.0833333333333333</v>
      </c>
      <c r="AC57" s="154">
        <v>0.91666666666666674</v>
      </c>
      <c r="AD57" s="154">
        <v>0.75</v>
      </c>
      <c r="AE57" s="154">
        <v>0.83333333333333326</v>
      </c>
      <c r="AF57" s="154">
        <v>0.91666666666666674</v>
      </c>
      <c r="AG57" s="154">
        <v>1</v>
      </c>
      <c r="AH57" s="154">
        <v>0.75</v>
      </c>
      <c r="AI57" s="154">
        <v>0.91666666666666674</v>
      </c>
      <c r="AJ57" s="154">
        <v>0.75</v>
      </c>
      <c r="AK57" s="154" t="s">
        <v>424</v>
      </c>
      <c r="AL57" s="154">
        <v>0.75</v>
      </c>
      <c r="AM57" cm="1">
        <f t="array" ref="AM57">SUM(IFERROR(IF((H57:AL57-H56:AL56)*24&gt;=11,1,""),""))</f>
        <v>30</v>
      </c>
      <c r="AO57" cm="1">
        <f t="array" ref="AO57">SUM(IFERROR(MOD((H57:AL57-H56:AL56)*24,11),""))</f>
        <v>104</v>
      </c>
      <c r="AS57">
        <v>53</v>
      </c>
    </row>
    <row r="58" spans="1:46" hidden="1" x14ac:dyDescent="0.25">
      <c r="A58">
        <v>57</v>
      </c>
      <c r="B58">
        <v>2025</v>
      </c>
      <c r="C58">
        <v>3</v>
      </c>
      <c r="D58" t="s">
        <v>244</v>
      </c>
      <c r="E58">
        <v>31</v>
      </c>
      <c r="F58">
        <v>2</v>
      </c>
      <c r="G58" t="s">
        <v>536</v>
      </c>
      <c r="H58" s="154">
        <v>347643</v>
      </c>
      <c r="I58" s="154">
        <v>347751</v>
      </c>
      <c r="J58" s="154">
        <v>347949</v>
      </c>
      <c r="K58" s="154">
        <v>348412</v>
      </c>
      <c r="L58" s="154">
        <v>348711</v>
      </c>
      <c r="M58" s="154">
        <v>348914</v>
      </c>
      <c r="N58" s="154">
        <v>349023</v>
      </c>
      <c r="O58" s="154">
        <v>349549</v>
      </c>
      <c r="P58" s="154">
        <v>349846</v>
      </c>
      <c r="Q58" s="154">
        <v>350047</v>
      </c>
      <c r="R58" s="154">
        <v>350650</v>
      </c>
      <c r="S58" s="154">
        <v>351005</v>
      </c>
      <c r="T58" s="154">
        <v>351513</v>
      </c>
      <c r="U58" s="154">
        <v>351958</v>
      </c>
      <c r="V58" s="154">
        <v>352406</v>
      </c>
      <c r="W58" s="154">
        <v>352699</v>
      </c>
      <c r="X58" s="154">
        <v>352862</v>
      </c>
      <c r="Y58" s="154">
        <v>353097</v>
      </c>
      <c r="Z58" s="154">
        <v>353860</v>
      </c>
      <c r="AA58" s="154">
        <v>354213</v>
      </c>
      <c r="AB58" s="154">
        <v>354552</v>
      </c>
      <c r="AC58" s="154">
        <v>354687</v>
      </c>
      <c r="AD58" s="154">
        <v>355019</v>
      </c>
      <c r="AE58" s="154">
        <v>355244</v>
      </c>
      <c r="AF58" s="154">
        <v>355563</v>
      </c>
      <c r="AG58" s="154">
        <v>355911</v>
      </c>
      <c r="AH58" s="154">
        <v>356185</v>
      </c>
      <c r="AI58" s="154">
        <v>356466</v>
      </c>
      <c r="AJ58" s="154">
        <v>356709</v>
      </c>
      <c r="AK58" s="154" t="s">
        <v>424</v>
      </c>
      <c r="AL58" s="154">
        <v>356931</v>
      </c>
      <c r="AS58">
        <v>54</v>
      </c>
    </row>
    <row r="59" spans="1:46" hidden="1" x14ac:dyDescent="0.25">
      <c r="A59">
        <v>58</v>
      </c>
      <c r="B59">
        <v>2025</v>
      </c>
      <c r="C59">
        <v>3</v>
      </c>
      <c r="D59" t="s">
        <v>244</v>
      </c>
      <c r="E59">
        <v>31</v>
      </c>
      <c r="F59">
        <v>2</v>
      </c>
      <c r="G59" t="s">
        <v>537</v>
      </c>
      <c r="H59" s="154">
        <v>347696</v>
      </c>
      <c r="I59" s="154">
        <v>347916</v>
      </c>
      <c r="J59" s="154">
        <v>348333</v>
      </c>
      <c r="K59" s="154">
        <v>348664</v>
      </c>
      <c r="L59" s="154">
        <v>348863</v>
      </c>
      <c r="M59" s="154">
        <v>348973</v>
      </c>
      <c r="N59" s="154">
        <v>349300</v>
      </c>
      <c r="O59" s="154">
        <v>349799</v>
      </c>
      <c r="P59" s="154">
        <v>349997</v>
      </c>
      <c r="Q59" s="154">
        <v>350600</v>
      </c>
      <c r="R59" s="154">
        <v>350974</v>
      </c>
      <c r="S59" s="154">
        <v>351463</v>
      </c>
      <c r="T59" s="154">
        <v>351668</v>
      </c>
      <c r="U59" s="154">
        <v>352173</v>
      </c>
      <c r="V59" s="154">
        <v>352651</v>
      </c>
      <c r="W59" s="154">
        <v>352813</v>
      </c>
      <c r="X59" s="154">
        <v>353042</v>
      </c>
      <c r="Y59" s="154">
        <v>353671</v>
      </c>
      <c r="Z59" s="154">
        <v>353989</v>
      </c>
      <c r="AA59" s="154">
        <v>354506</v>
      </c>
      <c r="AB59" s="154">
        <v>354666</v>
      </c>
      <c r="AC59" s="154">
        <v>354958</v>
      </c>
      <c r="AD59" s="154">
        <v>355192</v>
      </c>
      <c r="AE59" s="154">
        <v>355504</v>
      </c>
      <c r="AF59" s="154">
        <v>355802</v>
      </c>
      <c r="AG59" s="154">
        <v>356132</v>
      </c>
      <c r="AH59" s="154">
        <v>356405</v>
      </c>
      <c r="AI59" s="154">
        <v>356671</v>
      </c>
      <c r="AJ59" s="154">
        <v>356868</v>
      </c>
      <c r="AK59" s="154" t="s">
        <v>424</v>
      </c>
      <c r="AL59" s="154">
        <v>357170</v>
      </c>
      <c r="AP59" cm="1">
        <f t="array" ref="AP59">IF(AQ59="","",SUM(IFERROR(H59:AL59-H58:AL58,0))*AQ59/100)</f>
        <v>1275.1199999999999</v>
      </c>
      <c r="AQ59">
        <v>18</v>
      </c>
      <c r="AS59">
        <v>55</v>
      </c>
      <c r="AT59" cm="1">
        <f t="array" ref="AT59">IF(AQ59="","",SUM(IFERROR(H59:AL59-H58:AL58,0)))</f>
        <v>7084</v>
      </c>
    </row>
    <row r="60" spans="1:46" hidden="1" x14ac:dyDescent="0.25">
      <c r="A60">
        <v>59</v>
      </c>
      <c r="B60">
        <v>2025</v>
      </c>
      <c r="C60">
        <v>3</v>
      </c>
      <c r="D60" t="s">
        <v>265</v>
      </c>
      <c r="E60">
        <v>31</v>
      </c>
      <c r="F60">
        <v>2</v>
      </c>
      <c r="G60" t="s">
        <v>534</v>
      </c>
      <c r="H60" s="154">
        <v>0.29166666666666669</v>
      </c>
      <c r="I60" s="154" t="s">
        <v>424</v>
      </c>
      <c r="J60" s="154">
        <v>0.29166666666666669</v>
      </c>
      <c r="K60" s="154">
        <v>0.29166666666666669</v>
      </c>
      <c r="L60" s="154">
        <v>0.29166666666666669</v>
      </c>
      <c r="M60" s="154">
        <v>0.29166666666666669</v>
      </c>
      <c r="N60" s="154">
        <v>0.29166666666666669</v>
      </c>
      <c r="O60" s="154">
        <v>0.29166666666666669</v>
      </c>
      <c r="P60" s="154">
        <v>0.29166666666666669</v>
      </c>
      <c r="Q60" s="154">
        <v>0.29166666666666669</v>
      </c>
      <c r="R60" s="154">
        <v>0.29166666666666669</v>
      </c>
      <c r="S60" s="154">
        <v>0.29166666666666669</v>
      </c>
      <c r="T60" s="154">
        <v>0.29166666666666669</v>
      </c>
      <c r="U60" s="154">
        <v>0.29166666666666669</v>
      </c>
      <c r="V60" s="154">
        <v>0.29166666666666669</v>
      </c>
      <c r="W60" s="154">
        <v>0.29166666666666669</v>
      </c>
      <c r="X60" s="154">
        <v>0.29166666666666669</v>
      </c>
      <c r="Y60" s="154">
        <v>0.29166666666666669</v>
      </c>
      <c r="Z60" s="154" t="s">
        <v>424</v>
      </c>
      <c r="AA60" s="154" t="s">
        <v>424</v>
      </c>
      <c r="AB60" s="154" t="s">
        <v>424</v>
      </c>
      <c r="AC60" s="154">
        <v>0.29166666666666669</v>
      </c>
      <c r="AD60" s="154">
        <v>0.29166666666666669</v>
      </c>
      <c r="AE60" s="154">
        <v>0.29166666666666669</v>
      </c>
      <c r="AF60" s="154">
        <v>0.29166666666666669</v>
      </c>
      <c r="AG60" s="154">
        <v>0.29166666666666669</v>
      </c>
      <c r="AH60" s="154">
        <v>0.29166666666666669</v>
      </c>
      <c r="AI60" s="154">
        <v>0.29166666666666669</v>
      </c>
      <c r="AJ60" s="154">
        <v>0.29166666666666669</v>
      </c>
      <c r="AK60" s="154" t="s">
        <v>424</v>
      </c>
      <c r="AL60" s="154" t="s">
        <v>424</v>
      </c>
      <c r="AS60">
        <v>56</v>
      </c>
    </row>
    <row r="61" spans="1:46" hidden="1" x14ac:dyDescent="0.25">
      <c r="A61">
        <v>60</v>
      </c>
      <c r="B61">
        <v>2025</v>
      </c>
      <c r="C61">
        <v>3</v>
      </c>
      <c r="D61" t="s">
        <v>265</v>
      </c>
      <c r="E61">
        <v>31</v>
      </c>
      <c r="F61">
        <v>2</v>
      </c>
      <c r="G61" t="s">
        <v>535</v>
      </c>
      <c r="H61" s="154">
        <v>0.75</v>
      </c>
      <c r="I61" s="154" t="s">
        <v>424</v>
      </c>
      <c r="J61" s="154">
        <v>0.875</v>
      </c>
      <c r="K61" s="154">
        <v>0.875</v>
      </c>
      <c r="L61" s="154">
        <v>0.75</v>
      </c>
      <c r="M61" s="154">
        <v>0.83333333333333326</v>
      </c>
      <c r="N61" s="154">
        <v>0.75</v>
      </c>
      <c r="O61" s="154">
        <v>0.83333333333333326</v>
      </c>
      <c r="P61" s="154">
        <v>0.75</v>
      </c>
      <c r="Q61" s="154">
        <v>0.83333333333333326</v>
      </c>
      <c r="R61" s="154">
        <v>0.79166666666666674</v>
      </c>
      <c r="S61" s="154">
        <v>0.75</v>
      </c>
      <c r="T61" s="154">
        <v>0.83333333333333326</v>
      </c>
      <c r="U61" s="154">
        <v>0.79166666666666674</v>
      </c>
      <c r="V61" s="154">
        <v>0.83333333333333326</v>
      </c>
      <c r="W61" s="154">
        <v>0.75</v>
      </c>
      <c r="X61" s="154">
        <v>0.91666666666666674</v>
      </c>
      <c r="Y61" s="154">
        <v>0.83333333333333326</v>
      </c>
      <c r="Z61" s="154" t="s">
        <v>424</v>
      </c>
      <c r="AA61" s="154" t="s">
        <v>424</v>
      </c>
      <c r="AB61" s="154" t="s">
        <v>424</v>
      </c>
      <c r="AC61" s="154">
        <v>0.83333333333333326</v>
      </c>
      <c r="AD61" s="154">
        <v>0.75</v>
      </c>
      <c r="AE61" s="154">
        <v>0.75</v>
      </c>
      <c r="AF61" s="154">
        <v>0.83333333333333326</v>
      </c>
      <c r="AG61" s="154">
        <v>1.0833333333333333</v>
      </c>
      <c r="AH61" s="154">
        <v>0.75</v>
      </c>
      <c r="AI61" s="154">
        <v>0.75</v>
      </c>
      <c r="AJ61" s="154">
        <v>0.75</v>
      </c>
      <c r="AK61" s="154" t="s">
        <v>424</v>
      </c>
      <c r="AL61" s="154" t="s">
        <v>424</v>
      </c>
      <c r="AM61" cm="1">
        <f t="array" ref="AM61">SUM(IFERROR(IF((H61:AL61-H60:AL60)*24&gt;=11,1,""),""))</f>
        <v>25</v>
      </c>
      <c r="AO61" cm="1">
        <f t="array" ref="AO61">SUM(IFERROR(MOD((H61:AL61-H60:AL60)*24,11),""))</f>
        <v>35.999999999999964</v>
      </c>
      <c r="AS61">
        <v>57</v>
      </c>
    </row>
    <row r="62" spans="1:46" hidden="1" x14ac:dyDescent="0.25">
      <c r="A62">
        <v>61</v>
      </c>
      <c r="B62">
        <v>2025</v>
      </c>
      <c r="C62">
        <v>3</v>
      </c>
      <c r="D62" t="s">
        <v>265</v>
      </c>
      <c r="E62">
        <v>31</v>
      </c>
      <c r="F62">
        <v>2</v>
      </c>
      <c r="G62" t="s">
        <v>536</v>
      </c>
      <c r="H62" s="154">
        <v>803060</v>
      </c>
      <c r="I62" s="154" t="s">
        <v>424</v>
      </c>
      <c r="J62" s="154">
        <v>803233</v>
      </c>
      <c r="K62" s="154">
        <v>803288</v>
      </c>
      <c r="L62" s="154">
        <v>803367</v>
      </c>
      <c r="M62" s="154">
        <v>803396</v>
      </c>
      <c r="N62" s="154">
        <v>803512</v>
      </c>
      <c r="O62" s="154">
        <v>803609</v>
      </c>
      <c r="P62" s="154">
        <v>803742</v>
      </c>
      <c r="Q62" s="154">
        <v>803804</v>
      </c>
      <c r="R62" s="154">
        <v>803911</v>
      </c>
      <c r="S62" s="154">
        <v>804019</v>
      </c>
      <c r="T62" s="154">
        <v>804092</v>
      </c>
      <c r="U62" s="154">
        <v>804186</v>
      </c>
      <c r="V62" s="154">
        <v>804252</v>
      </c>
      <c r="W62" s="154">
        <v>804368</v>
      </c>
      <c r="X62" s="154">
        <v>804436</v>
      </c>
      <c r="Y62" s="154">
        <v>804511</v>
      </c>
      <c r="Z62" s="154" t="s">
        <v>424</v>
      </c>
      <c r="AA62" s="154" t="s">
        <v>424</v>
      </c>
      <c r="AB62" s="154" t="s">
        <v>424</v>
      </c>
      <c r="AC62" s="154">
        <v>804685</v>
      </c>
      <c r="AD62" s="154">
        <v>804794</v>
      </c>
      <c r="AE62" s="154">
        <v>804856</v>
      </c>
      <c r="AF62" s="154">
        <v>804953</v>
      </c>
      <c r="AG62" s="154">
        <v>805039</v>
      </c>
      <c r="AH62" s="154">
        <v>805124</v>
      </c>
      <c r="AI62" s="154">
        <v>805209</v>
      </c>
      <c r="AJ62" s="154">
        <v>805361</v>
      </c>
      <c r="AK62" s="154" t="s">
        <v>424</v>
      </c>
      <c r="AL62" s="154" t="s">
        <v>424</v>
      </c>
      <c r="AS62">
        <v>58</v>
      </c>
    </row>
    <row r="63" spans="1:46" hidden="1" x14ac:dyDescent="0.25">
      <c r="A63">
        <v>62</v>
      </c>
      <c r="B63">
        <v>2025</v>
      </c>
      <c r="C63">
        <v>3</v>
      </c>
      <c r="D63" t="s">
        <v>265</v>
      </c>
      <c r="E63">
        <v>31</v>
      </c>
      <c r="F63">
        <v>2</v>
      </c>
      <c r="G63" t="s">
        <v>537</v>
      </c>
      <c r="H63" s="154">
        <v>803201</v>
      </c>
      <c r="I63" s="154" t="s">
        <v>424</v>
      </c>
      <c r="J63" s="154">
        <v>803288</v>
      </c>
      <c r="K63" s="154">
        <v>803367</v>
      </c>
      <c r="L63" s="154">
        <v>803396</v>
      </c>
      <c r="M63" s="154">
        <v>803512</v>
      </c>
      <c r="N63" s="154">
        <v>803609</v>
      </c>
      <c r="O63" s="154">
        <v>803742</v>
      </c>
      <c r="P63" s="154">
        <v>803804</v>
      </c>
      <c r="Q63" s="154">
        <v>803911</v>
      </c>
      <c r="R63" s="154">
        <v>804019</v>
      </c>
      <c r="S63" s="154">
        <v>804092</v>
      </c>
      <c r="T63" s="154">
        <v>804186</v>
      </c>
      <c r="U63" s="154">
        <v>804252</v>
      </c>
      <c r="V63" s="154">
        <v>804368</v>
      </c>
      <c r="W63" s="154">
        <v>804436</v>
      </c>
      <c r="X63" s="154">
        <v>804511</v>
      </c>
      <c r="Y63" s="154">
        <v>804605</v>
      </c>
      <c r="Z63" s="154" t="s">
        <v>424</v>
      </c>
      <c r="AA63" s="154" t="s">
        <v>424</v>
      </c>
      <c r="AB63" s="154" t="s">
        <v>424</v>
      </c>
      <c r="AC63" s="154">
        <v>804794</v>
      </c>
      <c r="AD63" s="154">
        <v>804856</v>
      </c>
      <c r="AE63" s="154">
        <v>804953</v>
      </c>
      <c r="AF63" s="154">
        <v>805039</v>
      </c>
      <c r="AG63" s="154">
        <v>805124</v>
      </c>
      <c r="AH63" s="154">
        <v>805209</v>
      </c>
      <c r="AI63" s="154">
        <v>805361</v>
      </c>
      <c r="AJ63" s="154">
        <v>805572</v>
      </c>
      <c r="AK63" s="154" t="s">
        <v>424</v>
      </c>
      <c r="AL63" s="154" t="s">
        <v>424</v>
      </c>
      <c r="AP63" cm="1">
        <f t="array" ref="AP63">IF(AQ63="","",SUM(IFERROR(H63:AL63-H62:AL62,0))*AQ63/100)</f>
        <v>360</v>
      </c>
      <c r="AQ63">
        <v>15</v>
      </c>
      <c r="AS63">
        <v>59</v>
      </c>
      <c r="AT63" cm="1">
        <f t="array" ref="AT63">IF(AQ63="","",SUM(IFERROR(H63:AL63-H62:AL62,0)))</f>
        <v>2400</v>
      </c>
    </row>
    <row r="64" spans="1:46" hidden="1" x14ac:dyDescent="0.25">
      <c r="A64">
        <v>63</v>
      </c>
      <c r="B64">
        <v>2025</v>
      </c>
      <c r="C64">
        <v>3</v>
      </c>
      <c r="D64" t="s">
        <v>245</v>
      </c>
      <c r="E64">
        <v>31</v>
      </c>
      <c r="F64">
        <v>2</v>
      </c>
      <c r="G64" t="s">
        <v>534</v>
      </c>
      <c r="H64" s="154">
        <v>0.29166666666666669</v>
      </c>
      <c r="I64" s="154" t="s">
        <v>424</v>
      </c>
      <c r="J64" s="154">
        <v>0.29166666666666669</v>
      </c>
      <c r="K64" s="154">
        <v>0.29166666666666669</v>
      </c>
      <c r="L64" s="154">
        <v>0.29166666666666669</v>
      </c>
      <c r="M64" s="154">
        <v>0.29166666666666669</v>
      </c>
      <c r="N64" s="154">
        <v>0.29166666666666669</v>
      </c>
      <c r="O64" s="154">
        <v>0.29166666666666669</v>
      </c>
      <c r="P64" s="154">
        <v>0.29166666666666669</v>
      </c>
      <c r="Q64" s="154">
        <v>0.29166666666666669</v>
      </c>
      <c r="R64" s="154">
        <v>0.29166666666666669</v>
      </c>
      <c r="S64" s="154">
        <v>0.29166666666666669</v>
      </c>
      <c r="T64" s="154">
        <v>0.29166666666666669</v>
      </c>
      <c r="U64" s="154">
        <v>0.29166666666666669</v>
      </c>
      <c r="V64" s="154">
        <v>0.29166666666666669</v>
      </c>
      <c r="W64" s="154">
        <v>0.29166666666666669</v>
      </c>
      <c r="X64" s="154">
        <v>0.29166666666666669</v>
      </c>
      <c r="Y64" s="154">
        <v>0.29166666666666669</v>
      </c>
      <c r="Z64" s="154">
        <v>0.29166666666666669</v>
      </c>
      <c r="AA64" s="154" t="s">
        <v>424</v>
      </c>
      <c r="AB64" s="154">
        <v>0.29166666666666669</v>
      </c>
      <c r="AC64" s="154">
        <v>0.29166666666666669</v>
      </c>
      <c r="AD64" s="154">
        <v>0.29166666666666669</v>
      </c>
      <c r="AE64" s="154">
        <v>0.29166666666666669</v>
      </c>
      <c r="AF64" s="154">
        <v>0.29166666666666669</v>
      </c>
      <c r="AG64" s="154">
        <v>0.29166666666666669</v>
      </c>
      <c r="AH64" s="154">
        <v>0.29166666666666669</v>
      </c>
      <c r="AI64" s="154">
        <v>0.29166666666666669</v>
      </c>
      <c r="AJ64" s="154">
        <v>0.29166666666666669</v>
      </c>
      <c r="AK64" s="154" t="s">
        <v>424</v>
      </c>
      <c r="AL64" s="154">
        <v>0.29166666666666669</v>
      </c>
      <c r="AS64">
        <v>60</v>
      </c>
    </row>
    <row r="65" spans="1:46" hidden="1" x14ac:dyDescent="0.25">
      <c r="A65">
        <v>64</v>
      </c>
      <c r="B65">
        <v>2025</v>
      </c>
      <c r="C65">
        <v>3</v>
      </c>
      <c r="D65" t="s">
        <v>245</v>
      </c>
      <c r="E65">
        <v>31</v>
      </c>
      <c r="F65">
        <v>2</v>
      </c>
      <c r="G65" t="s">
        <v>535</v>
      </c>
      <c r="H65" s="154">
        <v>0.875</v>
      </c>
      <c r="I65" s="154" t="s">
        <v>424</v>
      </c>
      <c r="J65" s="154">
        <v>0.875</v>
      </c>
      <c r="K65" s="154">
        <v>0.875</v>
      </c>
      <c r="L65" s="154">
        <v>0.875</v>
      </c>
      <c r="M65" s="154">
        <v>0.875</v>
      </c>
      <c r="N65" s="154">
        <v>0.875</v>
      </c>
      <c r="O65" s="154">
        <v>0.875</v>
      </c>
      <c r="P65" s="154">
        <v>0.875</v>
      </c>
      <c r="Q65" s="154">
        <v>0.875</v>
      </c>
      <c r="R65" s="154">
        <v>0.875</v>
      </c>
      <c r="S65" s="154">
        <v>0.875</v>
      </c>
      <c r="T65" s="154">
        <v>0.875</v>
      </c>
      <c r="U65" s="154">
        <v>0.875</v>
      </c>
      <c r="V65" s="154">
        <v>0.875</v>
      </c>
      <c r="W65" s="154">
        <v>0.875</v>
      </c>
      <c r="X65" s="154">
        <v>0.875</v>
      </c>
      <c r="Y65" s="154">
        <v>0.875</v>
      </c>
      <c r="Z65" s="154">
        <v>0.875</v>
      </c>
      <c r="AA65" s="154" t="s">
        <v>424</v>
      </c>
      <c r="AB65" s="154">
        <v>0.875</v>
      </c>
      <c r="AC65" s="154">
        <v>0.875</v>
      </c>
      <c r="AD65" s="154">
        <v>0.875</v>
      </c>
      <c r="AE65" s="154">
        <v>0.875</v>
      </c>
      <c r="AF65" s="154">
        <v>0.875</v>
      </c>
      <c r="AG65" s="154">
        <v>0.875</v>
      </c>
      <c r="AH65" s="154">
        <v>0.875</v>
      </c>
      <c r="AI65" s="154">
        <v>0.875</v>
      </c>
      <c r="AJ65" s="154">
        <v>0.875</v>
      </c>
      <c r="AK65" s="154" t="s">
        <v>424</v>
      </c>
      <c r="AL65" s="154">
        <v>0.75</v>
      </c>
      <c r="AM65" cm="1">
        <f t="array" ref="AM65">SUM(IFERROR(IF((H65:AL65-H64:AL64)*24&gt;=11,1,""),""))</f>
        <v>28</v>
      </c>
      <c r="AO65" cm="1">
        <f t="array" ref="AO65">SUM(IFERROR(MOD((H65:AL65-H64:AL64)*24,11),""))</f>
        <v>80.999999999999986</v>
      </c>
      <c r="AS65">
        <v>61</v>
      </c>
    </row>
    <row r="66" spans="1:46" hidden="1" x14ac:dyDescent="0.25">
      <c r="A66">
        <v>65</v>
      </c>
      <c r="B66">
        <v>2025</v>
      </c>
      <c r="C66">
        <v>3</v>
      </c>
      <c r="D66" t="s">
        <v>245</v>
      </c>
      <c r="E66">
        <v>31</v>
      </c>
      <c r="F66">
        <v>2</v>
      </c>
      <c r="G66" t="s">
        <v>536</v>
      </c>
      <c r="H66" s="154">
        <v>89287</v>
      </c>
      <c r="I66" s="154" t="s">
        <v>424</v>
      </c>
      <c r="J66" s="154">
        <v>89531</v>
      </c>
      <c r="K66" s="154">
        <v>89765</v>
      </c>
      <c r="L66" s="154">
        <v>90040</v>
      </c>
      <c r="M66" s="154">
        <v>90246</v>
      </c>
      <c r="N66" s="154">
        <v>90457</v>
      </c>
      <c r="O66" s="154">
        <v>90750</v>
      </c>
      <c r="P66" s="154">
        <v>91010</v>
      </c>
      <c r="Q66" s="154">
        <v>91279</v>
      </c>
      <c r="R66" s="154">
        <v>91548</v>
      </c>
      <c r="S66" s="154">
        <v>91817</v>
      </c>
      <c r="T66" s="154">
        <v>92104</v>
      </c>
      <c r="U66" s="154">
        <v>92383</v>
      </c>
      <c r="V66" s="154">
        <v>92678</v>
      </c>
      <c r="W66" s="154">
        <v>92971</v>
      </c>
      <c r="X66" s="154">
        <v>93250</v>
      </c>
      <c r="Y66" s="154">
        <v>93532</v>
      </c>
      <c r="Z66" s="154">
        <v>93826</v>
      </c>
      <c r="AA66" s="154" t="s">
        <v>424</v>
      </c>
      <c r="AB66" s="154">
        <v>94003</v>
      </c>
      <c r="AC66" s="154">
        <v>94234</v>
      </c>
      <c r="AD66" s="154">
        <v>94523</v>
      </c>
      <c r="AE66" s="154">
        <v>94810</v>
      </c>
      <c r="AF66" s="154">
        <v>95086</v>
      </c>
      <c r="AG66" s="154">
        <v>95376</v>
      </c>
      <c r="AH66" s="154">
        <v>95666</v>
      </c>
      <c r="AI66" s="154">
        <v>95943</v>
      </c>
      <c r="AJ66" s="154">
        <v>96209</v>
      </c>
      <c r="AK66" s="154" t="s">
        <v>424</v>
      </c>
      <c r="AL66" s="154">
        <v>96597</v>
      </c>
      <c r="AS66">
        <v>62</v>
      </c>
    </row>
    <row r="67" spans="1:46" hidden="1" x14ac:dyDescent="0.25">
      <c r="A67">
        <v>66</v>
      </c>
      <c r="B67">
        <v>2025</v>
      </c>
      <c r="C67">
        <v>3</v>
      </c>
      <c r="D67" t="s">
        <v>245</v>
      </c>
      <c r="E67">
        <v>31</v>
      </c>
      <c r="F67">
        <v>2</v>
      </c>
      <c r="G67" t="s">
        <v>537</v>
      </c>
      <c r="H67" s="154">
        <v>89531</v>
      </c>
      <c r="I67" s="154" t="s">
        <v>424</v>
      </c>
      <c r="J67" s="154">
        <v>89765</v>
      </c>
      <c r="K67" s="154">
        <v>90040</v>
      </c>
      <c r="L67" s="154">
        <v>90246</v>
      </c>
      <c r="M67" s="154">
        <v>90457</v>
      </c>
      <c r="N67" s="154">
        <v>90750</v>
      </c>
      <c r="O67" s="154">
        <v>91010</v>
      </c>
      <c r="P67" s="154">
        <v>91279</v>
      </c>
      <c r="Q67" s="154">
        <v>91548</v>
      </c>
      <c r="R67" s="154">
        <v>91817</v>
      </c>
      <c r="S67" s="154">
        <v>92104</v>
      </c>
      <c r="T67" s="154">
        <v>92383</v>
      </c>
      <c r="U67" s="154">
        <v>92678</v>
      </c>
      <c r="V67" s="154">
        <v>92971</v>
      </c>
      <c r="W67" s="154">
        <v>93250</v>
      </c>
      <c r="X67" s="154">
        <v>93532</v>
      </c>
      <c r="Y67" s="154">
        <v>93826</v>
      </c>
      <c r="Z67" s="154">
        <v>94003</v>
      </c>
      <c r="AA67" s="154" t="s">
        <v>424</v>
      </c>
      <c r="AB67" s="154">
        <v>94234</v>
      </c>
      <c r="AC67" s="154">
        <v>94523</v>
      </c>
      <c r="AD67" s="154">
        <v>94810</v>
      </c>
      <c r="AE67" s="154">
        <v>95086</v>
      </c>
      <c r="AF67" s="154">
        <v>95376</v>
      </c>
      <c r="AG67" s="154">
        <v>95666</v>
      </c>
      <c r="AH67" s="154">
        <v>95943</v>
      </c>
      <c r="AI67" s="154">
        <v>96209</v>
      </c>
      <c r="AJ67" s="154">
        <v>96488</v>
      </c>
      <c r="AK67" s="154" t="s">
        <v>424</v>
      </c>
      <c r="AL67" s="154">
        <v>96768</v>
      </c>
      <c r="AP67" cm="1">
        <f t="array" ref="AP67">IF(AQ67="","",SUM(IFERROR(H67:AL67-H66:AL66,0))*AQ67/100)</f>
        <v>1105.8</v>
      </c>
      <c r="AQ67">
        <f>_xlfn.XLOOKUP(D67,log_prices!M:M,log_prices!L:L,,0)</f>
        <v>15</v>
      </c>
      <c r="AS67">
        <v>63</v>
      </c>
      <c r="AT67" cm="1">
        <f t="array" ref="AT67">IF(AQ67="","",SUM(IFERROR(H67:AL67-H66:AL66,0)))</f>
        <v>7372</v>
      </c>
    </row>
    <row r="68" spans="1:46" hidden="1" x14ac:dyDescent="0.25">
      <c r="A68">
        <v>67</v>
      </c>
      <c r="B68">
        <v>2025</v>
      </c>
      <c r="C68">
        <v>3</v>
      </c>
      <c r="D68" t="s">
        <v>246</v>
      </c>
      <c r="E68">
        <v>31</v>
      </c>
      <c r="F68">
        <v>2</v>
      </c>
      <c r="G68" t="s">
        <v>534</v>
      </c>
      <c r="H68" s="154">
        <v>0.29166666666666669</v>
      </c>
      <c r="I68" s="154" t="s">
        <v>424</v>
      </c>
      <c r="J68" s="154">
        <v>0.29166666666666669</v>
      </c>
      <c r="K68" s="154">
        <v>0.29166666666666669</v>
      </c>
      <c r="L68" s="154">
        <v>0.29166666666666669</v>
      </c>
      <c r="M68" s="154">
        <v>0.29166666666666669</v>
      </c>
      <c r="N68" s="154">
        <v>0.29166666666666669</v>
      </c>
      <c r="O68" s="154">
        <v>0.29166666666666669</v>
      </c>
      <c r="P68" s="154">
        <v>0.29166666666666669</v>
      </c>
      <c r="Q68" s="154">
        <v>0.29166666666666669</v>
      </c>
      <c r="R68" s="154">
        <v>0.29166666666666669</v>
      </c>
      <c r="S68" s="154">
        <v>0.29166666666666669</v>
      </c>
      <c r="T68" s="154">
        <v>0.29166666666666669</v>
      </c>
      <c r="U68" s="154">
        <v>0.29166666666666669</v>
      </c>
      <c r="V68" s="154">
        <v>0.29166666666666669</v>
      </c>
      <c r="W68" s="154">
        <v>0.29166666666666669</v>
      </c>
      <c r="X68" s="154">
        <v>0.29166666666666669</v>
      </c>
      <c r="Y68" s="154">
        <v>0.29166666666666669</v>
      </c>
      <c r="Z68" s="154" t="s">
        <v>424</v>
      </c>
      <c r="AA68" s="154" t="s">
        <v>424</v>
      </c>
      <c r="AB68" s="154" t="s">
        <v>424</v>
      </c>
      <c r="AC68" s="154">
        <v>0.29166666666666669</v>
      </c>
      <c r="AD68" s="154">
        <v>0.29166666666666669</v>
      </c>
      <c r="AE68" s="154">
        <v>0.29166666666666669</v>
      </c>
      <c r="AF68" s="154">
        <v>0.29166666666666669</v>
      </c>
      <c r="AG68" s="154">
        <v>0.29166666666666669</v>
      </c>
      <c r="AH68" s="154">
        <v>0.29166666666666669</v>
      </c>
      <c r="AI68" s="154">
        <v>0.29166666666666669</v>
      </c>
      <c r="AJ68" s="154">
        <v>0.29166666666666669</v>
      </c>
      <c r="AK68" s="154">
        <v>0.29166666666666669</v>
      </c>
      <c r="AL68" s="154">
        <v>0.29166666666666669</v>
      </c>
      <c r="AS68">
        <v>64</v>
      </c>
    </row>
    <row r="69" spans="1:46" hidden="1" x14ac:dyDescent="0.25">
      <c r="A69">
        <v>68</v>
      </c>
      <c r="B69">
        <v>2025</v>
      </c>
      <c r="C69">
        <v>3</v>
      </c>
      <c r="D69" t="s">
        <v>246</v>
      </c>
      <c r="E69">
        <v>31</v>
      </c>
      <c r="F69">
        <v>2</v>
      </c>
      <c r="G69" t="s">
        <v>535</v>
      </c>
      <c r="H69" s="154">
        <v>0.83333333333333326</v>
      </c>
      <c r="I69" s="154" t="s">
        <v>424</v>
      </c>
      <c r="J69" s="154">
        <v>0.83333333333333326</v>
      </c>
      <c r="K69" s="154">
        <v>0.91666666666666674</v>
      </c>
      <c r="L69" s="154">
        <v>0.75</v>
      </c>
      <c r="M69" s="154">
        <v>0.91666666666666674</v>
      </c>
      <c r="N69" s="154">
        <v>1.0833333333333333</v>
      </c>
      <c r="O69" s="154">
        <v>0.83333333333333326</v>
      </c>
      <c r="P69" s="154">
        <v>1</v>
      </c>
      <c r="Q69" s="154">
        <v>0.75</v>
      </c>
      <c r="R69" s="154">
        <v>0.79166666666666674</v>
      </c>
      <c r="S69" s="154">
        <v>1</v>
      </c>
      <c r="T69" s="154">
        <v>0.75</v>
      </c>
      <c r="U69" s="154">
        <v>0.75</v>
      </c>
      <c r="V69" s="154">
        <v>0.75</v>
      </c>
      <c r="W69" s="154">
        <v>0.75</v>
      </c>
      <c r="X69" s="154">
        <v>0.75</v>
      </c>
      <c r="Y69" s="154">
        <v>0.75</v>
      </c>
      <c r="Z69" s="154" t="s">
        <v>424</v>
      </c>
      <c r="AA69" s="154" t="s">
        <v>424</v>
      </c>
      <c r="AB69" s="154" t="s">
        <v>424</v>
      </c>
      <c r="AC69" s="154">
        <v>0.75</v>
      </c>
      <c r="AD69" s="154">
        <v>0.75</v>
      </c>
      <c r="AE69" s="154">
        <v>0.75</v>
      </c>
      <c r="AF69" s="154">
        <v>0.75</v>
      </c>
      <c r="AG69" s="154">
        <v>0.75</v>
      </c>
      <c r="AH69" s="154">
        <v>0.75</v>
      </c>
      <c r="AI69" s="154">
        <v>0.75</v>
      </c>
      <c r="AJ69" s="154">
        <v>0.75</v>
      </c>
      <c r="AK69" s="154">
        <v>0.75</v>
      </c>
      <c r="AL69" s="154">
        <v>0.75</v>
      </c>
      <c r="AM69" cm="1">
        <f t="array" ref="AM69">SUM(IFERROR(IF((H69:AL69-H68:AL68)*24&gt;=11,1,""),""))</f>
        <v>27</v>
      </c>
      <c r="AO69" cm="1">
        <f t="array" ref="AO69">SUM(IFERROR(MOD((H69:AL69-H68:AL68)*24,11),""))</f>
        <v>34.999999999999986</v>
      </c>
      <c r="AS69">
        <v>65</v>
      </c>
    </row>
    <row r="70" spans="1:46" hidden="1" x14ac:dyDescent="0.25">
      <c r="A70">
        <v>69</v>
      </c>
      <c r="B70">
        <v>2025</v>
      </c>
      <c r="C70">
        <v>3</v>
      </c>
      <c r="D70" t="s">
        <v>246</v>
      </c>
      <c r="E70">
        <v>31</v>
      </c>
      <c r="F70">
        <v>2</v>
      </c>
      <c r="G70" t="s">
        <v>536</v>
      </c>
      <c r="H70" s="154">
        <v>705098</v>
      </c>
      <c r="I70" s="154" t="s">
        <v>424</v>
      </c>
      <c r="J70" s="154">
        <v>705380</v>
      </c>
      <c r="K70" s="154">
        <v>705380</v>
      </c>
      <c r="L70" s="154">
        <v>705538</v>
      </c>
      <c r="M70" s="154">
        <v>705640</v>
      </c>
      <c r="N70" s="154">
        <v>705750</v>
      </c>
      <c r="O70" s="154">
        <v>705870</v>
      </c>
      <c r="P70" s="154">
        <v>705973</v>
      </c>
      <c r="Q70" s="154">
        <v>706110</v>
      </c>
      <c r="R70" s="154">
        <v>706220</v>
      </c>
      <c r="S70" s="154">
        <v>706319</v>
      </c>
      <c r="T70" s="154">
        <v>706420</v>
      </c>
      <c r="U70" s="154">
        <v>706536</v>
      </c>
      <c r="V70" s="154">
        <v>706680</v>
      </c>
      <c r="W70" s="154">
        <v>706810</v>
      </c>
      <c r="X70" s="154">
        <v>706923</v>
      </c>
      <c r="Y70" s="154">
        <v>707050</v>
      </c>
      <c r="Z70" s="154" t="s">
        <v>424</v>
      </c>
      <c r="AA70" s="154" t="s">
        <v>424</v>
      </c>
      <c r="AB70" s="154" t="s">
        <v>424</v>
      </c>
      <c r="AC70" s="154">
        <v>707620</v>
      </c>
      <c r="AD70" s="154">
        <v>707738</v>
      </c>
      <c r="AE70" s="154">
        <v>707870</v>
      </c>
      <c r="AF70" s="154">
        <v>708010</v>
      </c>
      <c r="AG70" s="154">
        <v>708132</v>
      </c>
      <c r="AH70" s="154">
        <v>708263</v>
      </c>
      <c r="AI70" s="154">
        <v>708389</v>
      </c>
      <c r="AJ70" s="154">
        <v>708520</v>
      </c>
      <c r="AK70" s="154">
        <v>708635</v>
      </c>
      <c r="AL70" s="154">
        <v>708790</v>
      </c>
      <c r="AS70">
        <v>66</v>
      </c>
    </row>
    <row r="71" spans="1:46" hidden="1" x14ac:dyDescent="0.25">
      <c r="A71">
        <v>70</v>
      </c>
      <c r="B71">
        <v>2025</v>
      </c>
      <c r="C71">
        <v>3</v>
      </c>
      <c r="D71" t="s">
        <v>246</v>
      </c>
      <c r="E71">
        <v>31</v>
      </c>
      <c r="F71">
        <v>2</v>
      </c>
      <c r="G71" t="s">
        <v>537</v>
      </c>
      <c r="H71" s="154">
        <v>705227</v>
      </c>
      <c r="I71" s="154" t="s">
        <v>424</v>
      </c>
      <c r="J71" s="154">
        <v>705380</v>
      </c>
      <c r="K71" s="154">
        <v>705538</v>
      </c>
      <c r="L71" s="154">
        <v>705640</v>
      </c>
      <c r="M71" s="154">
        <v>705750</v>
      </c>
      <c r="N71" s="154">
        <v>705870</v>
      </c>
      <c r="O71" s="154">
        <v>705973</v>
      </c>
      <c r="P71" s="154">
        <v>706110</v>
      </c>
      <c r="Q71" s="154">
        <v>706220</v>
      </c>
      <c r="R71" s="154">
        <v>706319</v>
      </c>
      <c r="S71" s="154">
        <v>706420</v>
      </c>
      <c r="T71" s="154">
        <v>706536</v>
      </c>
      <c r="U71" s="154">
        <v>706680</v>
      </c>
      <c r="V71" s="154">
        <v>706810</v>
      </c>
      <c r="W71" s="154">
        <v>706923</v>
      </c>
      <c r="X71" s="154">
        <v>707050</v>
      </c>
      <c r="Y71" s="154">
        <v>707286</v>
      </c>
      <c r="Z71" s="154" t="s">
        <v>424</v>
      </c>
      <c r="AA71" s="154" t="s">
        <v>424</v>
      </c>
      <c r="AB71" s="154" t="s">
        <v>424</v>
      </c>
      <c r="AC71" s="154">
        <v>707738</v>
      </c>
      <c r="AD71" s="154">
        <v>707870</v>
      </c>
      <c r="AE71" s="154">
        <v>708010</v>
      </c>
      <c r="AF71" s="154">
        <v>708132</v>
      </c>
      <c r="AG71" s="154">
        <v>708263</v>
      </c>
      <c r="AH71" s="154">
        <v>708389</v>
      </c>
      <c r="AI71" s="154">
        <v>708520</v>
      </c>
      <c r="AJ71" s="154">
        <v>708635</v>
      </c>
      <c r="AK71" s="154">
        <v>708790</v>
      </c>
      <c r="AL71" s="154">
        <v>708889</v>
      </c>
      <c r="AP71" cm="1">
        <f t="array" ref="AP71">IF(AQ71="","",SUM(IFERROR(H71:AL71-H70:AL70,0))*AQ71/100)</f>
        <v>495.6</v>
      </c>
      <c r="AQ71">
        <f>_xlfn.XLOOKUP(D71,log_prices!M:M,log_prices!L:L,,0)</f>
        <v>15</v>
      </c>
      <c r="AS71">
        <v>67</v>
      </c>
      <c r="AT71" cm="1">
        <f t="array" ref="AT71">IF(AQ71="","",SUM(IFERROR(H71:AL71-H70:AL70,0)))</f>
        <v>3304</v>
      </c>
    </row>
    <row r="72" spans="1:46" hidden="1" x14ac:dyDescent="0.25">
      <c r="A72">
        <v>71</v>
      </c>
      <c r="B72">
        <v>2025</v>
      </c>
      <c r="C72">
        <v>3</v>
      </c>
      <c r="D72" t="s">
        <v>247</v>
      </c>
      <c r="E72">
        <v>31</v>
      </c>
      <c r="F72">
        <v>2</v>
      </c>
      <c r="G72" t="s">
        <v>534</v>
      </c>
      <c r="H72" s="154">
        <v>0.29166666666666669</v>
      </c>
      <c r="I72" s="154">
        <v>0.29166666666666669</v>
      </c>
      <c r="J72" s="154">
        <v>0.29166666666666669</v>
      </c>
      <c r="K72" s="154">
        <v>0.29166666666666669</v>
      </c>
      <c r="L72" s="154">
        <v>0.29166666666666669</v>
      </c>
      <c r="M72" s="154">
        <v>0.29166666666666669</v>
      </c>
      <c r="N72" s="154">
        <v>0.29166666666666669</v>
      </c>
      <c r="O72" s="154">
        <v>0.29166666666666669</v>
      </c>
      <c r="P72" s="154">
        <v>0.29166666666666669</v>
      </c>
      <c r="Q72" s="154">
        <v>0.29166666666666669</v>
      </c>
      <c r="R72" s="154">
        <v>0.29166666666666669</v>
      </c>
      <c r="S72" s="154">
        <v>0.29166666666666669</v>
      </c>
      <c r="T72" s="154">
        <v>0.29166666666666669</v>
      </c>
      <c r="U72" s="154">
        <v>0.29166666666666669</v>
      </c>
      <c r="V72" s="154">
        <v>0.29166666666666669</v>
      </c>
      <c r="W72" s="154">
        <v>0.29166666666666669</v>
      </c>
      <c r="X72" s="154">
        <v>0.29166666666666669</v>
      </c>
      <c r="Y72" s="154">
        <v>0.29166666666666669</v>
      </c>
      <c r="Z72" s="154" t="s">
        <v>424</v>
      </c>
      <c r="AA72" s="154">
        <v>0.29166666666666669</v>
      </c>
      <c r="AB72" s="154">
        <v>0.29166666666666669</v>
      </c>
      <c r="AC72" s="154">
        <v>0.29166666666666669</v>
      </c>
      <c r="AD72" s="154">
        <v>0.29166666666666669</v>
      </c>
      <c r="AE72" s="154">
        <v>0.29166666666666669</v>
      </c>
      <c r="AF72" s="154">
        <v>0.29166666666666669</v>
      </c>
      <c r="AG72" s="154">
        <v>0.29166666666666669</v>
      </c>
      <c r="AH72" s="154">
        <v>0.29166666666666669</v>
      </c>
      <c r="AI72" s="154">
        <v>0.29166666666666669</v>
      </c>
      <c r="AJ72" s="154">
        <v>0.29166666666666669</v>
      </c>
      <c r="AK72" s="154">
        <v>0.29166666666666669</v>
      </c>
      <c r="AL72" s="154" t="s">
        <v>424</v>
      </c>
      <c r="AS72">
        <v>68</v>
      </c>
    </row>
    <row r="73" spans="1:46" hidden="1" x14ac:dyDescent="0.25">
      <c r="A73">
        <v>72</v>
      </c>
      <c r="B73">
        <v>2025</v>
      </c>
      <c r="C73">
        <v>3</v>
      </c>
      <c r="D73" t="s">
        <v>247</v>
      </c>
      <c r="E73">
        <v>31</v>
      </c>
      <c r="F73">
        <v>2</v>
      </c>
      <c r="G73" t="s">
        <v>535</v>
      </c>
      <c r="H73" s="154">
        <v>0.75</v>
      </c>
      <c r="I73" s="154">
        <v>0.75</v>
      </c>
      <c r="J73" s="154">
        <v>0.75</v>
      </c>
      <c r="K73" s="154">
        <v>0.75</v>
      </c>
      <c r="L73" s="154">
        <v>0.75</v>
      </c>
      <c r="M73" s="154">
        <v>0.75</v>
      </c>
      <c r="N73" s="154">
        <v>0.75</v>
      </c>
      <c r="O73" s="154">
        <v>1</v>
      </c>
      <c r="P73" s="154">
        <v>0.75</v>
      </c>
      <c r="Q73" s="154">
        <v>0.75</v>
      </c>
      <c r="R73" s="154">
        <v>0.875</v>
      </c>
      <c r="S73" s="154">
        <v>0.75</v>
      </c>
      <c r="T73" s="154">
        <v>0.75</v>
      </c>
      <c r="U73" s="154">
        <v>0.75</v>
      </c>
      <c r="V73" s="154">
        <v>0.75</v>
      </c>
      <c r="W73" s="154">
        <v>0.875</v>
      </c>
      <c r="X73" s="154">
        <v>0.75</v>
      </c>
      <c r="Y73" s="154">
        <v>0.75</v>
      </c>
      <c r="Z73" s="154" t="s">
        <v>424</v>
      </c>
      <c r="AA73" s="154">
        <v>0.75</v>
      </c>
      <c r="AB73" s="154">
        <v>0.75</v>
      </c>
      <c r="AC73" s="154">
        <v>0.875</v>
      </c>
      <c r="AD73" s="154">
        <v>0.75</v>
      </c>
      <c r="AE73" s="154">
        <v>0.875</v>
      </c>
      <c r="AF73" s="154">
        <v>0.75</v>
      </c>
      <c r="AG73" s="154">
        <v>1</v>
      </c>
      <c r="AH73" s="154">
        <v>0.875</v>
      </c>
      <c r="AI73" s="154">
        <v>0.75</v>
      </c>
      <c r="AJ73" s="154">
        <v>0.75</v>
      </c>
      <c r="AK73" s="154">
        <v>0.75</v>
      </c>
      <c r="AL73" s="154" t="s">
        <v>424</v>
      </c>
      <c r="AM73" cm="1">
        <f t="array" ref="AM73">SUM(IFERROR(IF((H73:AL73-H72:AL72)*24&gt;=11,1,""),""))</f>
        <v>29</v>
      </c>
      <c r="AO73" cm="1">
        <f t="array" ref="AO73">SUM(IFERROR(MOD((H73:AL73-H72:AL72)*24,11),""))</f>
        <v>26.999999999999993</v>
      </c>
      <c r="AS73">
        <v>69</v>
      </c>
    </row>
    <row r="74" spans="1:46" hidden="1" x14ac:dyDescent="0.25">
      <c r="A74">
        <v>73</v>
      </c>
      <c r="B74">
        <v>2025</v>
      </c>
      <c r="C74">
        <v>3</v>
      </c>
      <c r="D74" t="s">
        <v>247</v>
      </c>
      <c r="E74">
        <v>31</v>
      </c>
      <c r="F74">
        <v>2</v>
      </c>
      <c r="G74" t="s">
        <v>536</v>
      </c>
      <c r="H74" s="154">
        <v>57765</v>
      </c>
      <c r="I74" s="154">
        <v>57846</v>
      </c>
      <c r="J74" s="154">
        <v>57976</v>
      </c>
      <c r="K74" s="154">
        <v>58164</v>
      </c>
      <c r="L74" s="154">
        <v>58373</v>
      </c>
      <c r="M74" s="154">
        <v>58481</v>
      </c>
      <c r="N74" s="154">
        <v>58641</v>
      </c>
      <c r="O74" s="154">
        <v>58817</v>
      </c>
      <c r="P74" s="154">
        <v>58966</v>
      </c>
      <c r="Q74" s="154">
        <v>59110</v>
      </c>
      <c r="R74" s="154">
        <v>59274</v>
      </c>
      <c r="S74" s="154">
        <v>59442</v>
      </c>
      <c r="T74" s="154">
        <v>59612</v>
      </c>
      <c r="U74" s="154">
        <v>59723</v>
      </c>
      <c r="V74" s="154">
        <v>59993</v>
      </c>
      <c r="W74" s="154">
        <v>60145</v>
      </c>
      <c r="X74" s="154">
        <v>60235</v>
      </c>
      <c r="Y74" s="154">
        <v>60409</v>
      </c>
      <c r="Z74" s="154" t="s">
        <v>424</v>
      </c>
      <c r="AA74" s="154">
        <v>60929</v>
      </c>
      <c r="AB74" s="154">
        <v>61062</v>
      </c>
      <c r="AC74" s="154">
        <v>61185</v>
      </c>
      <c r="AD74" s="154">
        <v>61258</v>
      </c>
      <c r="AE74" s="154">
        <v>61351</v>
      </c>
      <c r="AF74" s="154">
        <v>61497</v>
      </c>
      <c r="AG74" s="154">
        <v>61588</v>
      </c>
      <c r="AH74" s="154">
        <v>61669</v>
      </c>
      <c r="AI74" s="154">
        <v>61826</v>
      </c>
      <c r="AJ74" s="154">
        <v>62069</v>
      </c>
      <c r="AK74" s="154">
        <v>62206</v>
      </c>
      <c r="AL74" s="154" t="s">
        <v>424</v>
      </c>
      <c r="AS74">
        <v>70</v>
      </c>
    </row>
    <row r="75" spans="1:46" hidden="1" x14ac:dyDescent="0.25">
      <c r="A75">
        <v>74</v>
      </c>
      <c r="B75">
        <v>2025</v>
      </c>
      <c r="C75">
        <v>3</v>
      </c>
      <c r="D75" t="s">
        <v>247</v>
      </c>
      <c r="E75">
        <v>31</v>
      </c>
      <c r="F75">
        <v>2</v>
      </c>
      <c r="G75" t="s">
        <v>537</v>
      </c>
      <c r="H75" s="154">
        <v>57832</v>
      </c>
      <c r="I75" s="154">
        <v>57975</v>
      </c>
      <c r="J75" s="154">
        <v>58141</v>
      </c>
      <c r="K75" s="154">
        <v>58345</v>
      </c>
      <c r="L75" s="154">
        <v>58479</v>
      </c>
      <c r="M75" s="154">
        <v>58639</v>
      </c>
      <c r="N75" s="154">
        <v>58814</v>
      </c>
      <c r="O75" s="154">
        <v>58964</v>
      </c>
      <c r="P75" s="154">
        <v>59069</v>
      </c>
      <c r="Q75" s="154">
        <v>59271</v>
      </c>
      <c r="R75" s="154">
        <v>59438</v>
      </c>
      <c r="S75" s="154">
        <v>59604</v>
      </c>
      <c r="T75" s="154">
        <v>59675</v>
      </c>
      <c r="U75" s="154">
        <v>59991</v>
      </c>
      <c r="V75" s="154">
        <v>60102</v>
      </c>
      <c r="W75" s="154">
        <v>60234</v>
      </c>
      <c r="X75" s="154">
        <v>60344</v>
      </c>
      <c r="Y75" s="154">
        <v>60552</v>
      </c>
      <c r="Z75" s="154" t="s">
        <v>424</v>
      </c>
      <c r="AA75" s="154">
        <v>61060</v>
      </c>
      <c r="AB75" s="154">
        <v>61184</v>
      </c>
      <c r="AC75" s="154">
        <v>61258</v>
      </c>
      <c r="AD75" s="154">
        <v>61350</v>
      </c>
      <c r="AE75" s="154">
        <v>61496</v>
      </c>
      <c r="AF75" s="154">
        <v>61586</v>
      </c>
      <c r="AG75" s="154">
        <v>61667</v>
      </c>
      <c r="AH75" s="154">
        <v>61824</v>
      </c>
      <c r="AI75" s="154">
        <v>62067</v>
      </c>
      <c r="AJ75" s="154">
        <v>62205</v>
      </c>
      <c r="AK75" s="154">
        <v>62380</v>
      </c>
      <c r="AL75" s="154" t="s">
        <v>424</v>
      </c>
      <c r="AP75" cm="1">
        <f t="array" ref="AP75">IF(AQ75="","",SUM(IFERROR(H75:AL75-H74:AL74,0))*AQ75/100)</f>
        <v>590.1</v>
      </c>
      <c r="AQ75">
        <f>_xlfn.XLOOKUP(D75,log_prices!M:M,log_prices!L:L,,0)</f>
        <v>15</v>
      </c>
      <c r="AS75">
        <v>71</v>
      </c>
      <c r="AT75" cm="1">
        <f t="array" ref="AT75">IF(AQ75="","",SUM(IFERROR(H75:AL75-H74:AL74,0)))</f>
        <v>3934</v>
      </c>
    </row>
    <row r="76" spans="1:46" hidden="1" x14ac:dyDescent="0.25">
      <c r="A76">
        <v>75</v>
      </c>
      <c r="B76">
        <v>2025</v>
      </c>
      <c r="C76">
        <v>3</v>
      </c>
      <c r="D76" t="s">
        <v>248</v>
      </c>
      <c r="E76">
        <v>31</v>
      </c>
      <c r="F76">
        <v>2</v>
      </c>
      <c r="G76" t="s">
        <v>534</v>
      </c>
      <c r="H76" s="154">
        <v>0.29166666666666669</v>
      </c>
      <c r="I76" s="154">
        <v>0.29166666666666669</v>
      </c>
      <c r="J76" s="154">
        <v>0.29166666666666669</v>
      </c>
      <c r="K76" s="154">
        <v>0.29166666666666669</v>
      </c>
      <c r="L76" s="154">
        <v>0.29166666666666669</v>
      </c>
      <c r="M76" s="154">
        <v>0.29166666666666669</v>
      </c>
      <c r="N76" s="154">
        <v>0.29166666666666669</v>
      </c>
      <c r="O76" s="154">
        <v>0.29166666666666669</v>
      </c>
      <c r="P76" s="154">
        <v>0.29166666666666669</v>
      </c>
      <c r="Q76" s="154">
        <v>0.29166666666666669</v>
      </c>
      <c r="R76" s="154">
        <v>0.29166666666666669</v>
      </c>
      <c r="S76" s="154">
        <v>0.29166666666666669</v>
      </c>
      <c r="T76" s="154">
        <v>0.29166666666666669</v>
      </c>
      <c r="U76" s="154">
        <v>0.29166666666666669</v>
      </c>
      <c r="V76" s="154">
        <v>0.29166666666666669</v>
      </c>
      <c r="W76" s="154">
        <v>0.29166666666666669</v>
      </c>
      <c r="X76" s="154">
        <v>0.29166666666666669</v>
      </c>
      <c r="Y76" s="154">
        <v>0.29166666666666669</v>
      </c>
      <c r="Z76" s="154" t="s">
        <v>424</v>
      </c>
      <c r="AA76" s="154" t="s">
        <v>424</v>
      </c>
      <c r="AB76" s="154" t="s">
        <v>424</v>
      </c>
      <c r="AC76" s="154">
        <v>0.29166666666666669</v>
      </c>
      <c r="AD76" s="154">
        <v>0.29166666666666669</v>
      </c>
      <c r="AE76" s="154">
        <v>0.29166666666666669</v>
      </c>
      <c r="AF76" s="154">
        <v>0.29166666666666669</v>
      </c>
      <c r="AG76" s="154">
        <v>0.29166666666666669</v>
      </c>
      <c r="AH76" s="154">
        <v>0.29166666666666669</v>
      </c>
      <c r="AI76" s="154">
        <v>0.29166666666666669</v>
      </c>
      <c r="AJ76" s="154">
        <v>0.29166666666666669</v>
      </c>
      <c r="AK76" s="154" t="s">
        <v>424</v>
      </c>
      <c r="AL76" s="154" t="s">
        <v>424</v>
      </c>
      <c r="AS76">
        <v>72</v>
      </c>
    </row>
    <row r="77" spans="1:46" hidden="1" x14ac:dyDescent="0.25">
      <c r="A77">
        <v>76</v>
      </c>
      <c r="B77">
        <v>2025</v>
      </c>
      <c r="C77">
        <v>3</v>
      </c>
      <c r="D77" t="s">
        <v>248</v>
      </c>
      <c r="E77">
        <v>31</v>
      </c>
      <c r="F77">
        <v>2</v>
      </c>
      <c r="G77" t="s">
        <v>535</v>
      </c>
      <c r="H77" s="154">
        <v>0.83333333333333326</v>
      </c>
      <c r="I77" s="154">
        <v>0.83333333333333326</v>
      </c>
      <c r="J77" s="154">
        <v>0.75</v>
      </c>
      <c r="K77" s="154">
        <v>0.83333333333333326</v>
      </c>
      <c r="L77" s="154">
        <v>0.75</v>
      </c>
      <c r="M77" s="154">
        <v>0.83333333333333326</v>
      </c>
      <c r="N77" s="154">
        <v>0.75</v>
      </c>
      <c r="O77" s="154">
        <v>0.83333333333333326</v>
      </c>
      <c r="P77" s="154">
        <v>0.83333333333333326</v>
      </c>
      <c r="Q77" s="154">
        <v>0.75</v>
      </c>
      <c r="R77" s="154">
        <v>0.83333333333333326</v>
      </c>
      <c r="S77" s="154">
        <v>0.75</v>
      </c>
      <c r="T77" s="154">
        <v>0.75</v>
      </c>
      <c r="U77" s="154">
        <v>0.83333333333333326</v>
      </c>
      <c r="V77" s="154">
        <v>0.75</v>
      </c>
      <c r="W77" s="154">
        <v>0.83333333333333326</v>
      </c>
      <c r="X77" s="154">
        <v>0.83333333333333326</v>
      </c>
      <c r="Y77" s="154">
        <v>0.75</v>
      </c>
      <c r="Z77" s="154" t="s">
        <v>424</v>
      </c>
      <c r="AA77" s="154" t="s">
        <v>424</v>
      </c>
      <c r="AB77" s="154" t="s">
        <v>424</v>
      </c>
      <c r="AC77" s="154">
        <v>0.75</v>
      </c>
      <c r="AD77" s="154">
        <v>0.83333333333333326</v>
      </c>
      <c r="AE77" s="154">
        <v>0.75</v>
      </c>
      <c r="AF77" s="154">
        <v>0.83333333333333326</v>
      </c>
      <c r="AG77" s="154">
        <v>0.75</v>
      </c>
      <c r="AH77" s="154">
        <v>0.83333333333333326</v>
      </c>
      <c r="AI77" s="154">
        <v>0.83333333333333326</v>
      </c>
      <c r="AJ77" s="154">
        <v>0.75</v>
      </c>
      <c r="AK77" s="154" t="s">
        <v>424</v>
      </c>
      <c r="AL77" s="154" t="s">
        <v>424</v>
      </c>
      <c r="AM77" cm="1">
        <f t="array" ref="AM77">SUM(IFERROR(IF((H77:AL77-H76:AL76)*24&gt;=11,1,""),""))</f>
        <v>26</v>
      </c>
      <c r="AO77" cm="1">
        <f t="array" ref="AO77">SUM(IFERROR(MOD((H77:AL77-H76:AL76)*24,11),""))</f>
        <v>27.99999999999995</v>
      </c>
      <c r="AS77">
        <v>73</v>
      </c>
    </row>
    <row r="78" spans="1:46" hidden="1" x14ac:dyDescent="0.25">
      <c r="A78">
        <v>77</v>
      </c>
      <c r="B78">
        <v>2025</v>
      </c>
      <c r="C78">
        <v>3</v>
      </c>
      <c r="D78" t="s">
        <v>248</v>
      </c>
      <c r="E78">
        <v>31</v>
      </c>
      <c r="F78">
        <v>2</v>
      </c>
      <c r="G78" t="s">
        <v>536</v>
      </c>
      <c r="H78" s="154">
        <v>343570</v>
      </c>
      <c r="I78" s="154">
        <v>343894</v>
      </c>
      <c r="J78" s="154">
        <v>344051</v>
      </c>
      <c r="K78" s="154">
        <v>344204</v>
      </c>
      <c r="L78" s="154">
        <v>344338</v>
      </c>
      <c r="M78" s="154">
        <v>344423</v>
      </c>
      <c r="N78" s="154">
        <v>344524</v>
      </c>
      <c r="O78" s="154">
        <v>344645</v>
      </c>
      <c r="P78" s="154">
        <v>344682</v>
      </c>
      <c r="Q78" s="154">
        <v>344745</v>
      </c>
      <c r="R78" s="154">
        <v>344781</v>
      </c>
      <c r="S78" s="154">
        <v>344832</v>
      </c>
      <c r="T78" s="154">
        <v>344861</v>
      </c>
      <c r="U78" s="154">
        <v>344899</v>
      </c>
      <c r="V78" s="154">
        <v>344935</v>
      </c>
      <c r="W78" s="154">
        <v>344965</v>
      </c>
      <c r="X78" s="154">
        <v>345001</v>
      </c>
      <c r="Y78" s="154">
        <v>345056</v>
      </c>
      <c r="Z78" s="154" t="s">
        <v>424</v>
      </c>
      <c r="AA78" s="154" t="s">
        <v>424</v>
      </c>
      <c r="AB78" s="154" t="s">
        <v>424</v>
      </c>
      <c r="AC78" s="154">
        <v>345591</v>
      </c>
      <c r="AD78" s="154">
        <v>345719</v>
      </c>
      <c r="AE78" s="154">
        <v>345862</v>
      </c>
      <c r="AF78" s="154">
        <v>346005</v>
      </c>
      <c r="AG78" s="154">
        <v>346132</v>
      </c>
      <c r="AH78" s="154">
        <v>346292</v>
      </c>
      <c r="AI78" s="154">
        <v>346420</v>
      </c>
      <c r="AJ78" s="154">
        <v>346554</v>
      </c>
      <c r="AK78" s="154" t="s">
        <v>424</v>
      </c>
      <c r="AL78" s="154" t="s">
        <v>424</v>
      </c>
      <c r="AS78">
        <v>74</v>
      </c>
    </row>
    <row r="79" spans="1:46" hidden="1" x14ac:dyDescent="0.25">
      <c r="A79">
        <v>78</v>
      </c>
      <c r="B79">
        <v>2025</v>
      </c>
      <c r="C79">
        <v>3</v>
      </c>
      <c r="D79" t="s">
        <v>248</v>
      </c>
      <c r="E79">
        <v>31</v>
      </c>
      <c r="F79">
        <v>2</v>
      </c>
      <c r="G79" t="s">
        <v>537</v>
      </c>
      <c r="H79" s="154">
        <v>343754</v>
      </c>
      <c r="I79" s="154">
        <v>344048</v>
      </c>
      <c r="J79" s="154">
        <v>344202</v>
      </c>
      <c r="K79" s="154">
        <v>344338</v>
      </c>
      <c r="L79" s="154">
        <v>344422</v>
      </c>
      <c r="M79" s="154">
        <v>344524</v>
      </c>
      <c r="N79" s="154">
        <v>344620</v>
      </c>
      <c r="O79" s="154">
        <v>344682</v>
      </c>
      <c r="P79" s="154">
        <v>344745</v>
      </c>
      <c r="Q79" s="154">
        <v>344779</v>
      </c>
      <c r="R79" s="154">
        <v>344832</v>
      </c>
      <c r="S79" s="154">
        <v>344861</v>
      </c>
      <c r="T79" s="154">
        <v>344899</v>
      </c>
      <c r="U79" s="154">
        <v>344935</v>
      </c>
      <c r="V79" s="154">
        <v>344965</v>
      </c>
      <c r="W79" s="154">
        <v>345001</v>
      </c>
      <c r="X79" s="154">
        <v>345056</v>
      </c>
      <c r="Y79" s="154">
        <v>345241</v>
      </c>
      <c r="Z79" s="154" t="s">
        <v>424</v>
      </c>
      <c r="AA79" s="154" t="s">
        <v>424</v>
      </c>
      <c r="AB79" s="154" t="s">
        <v>424</v>
      </c>
      <c r="AC79" s="154">
        <v>345718</v>
      </c>
      <c r="AD79" s="154">
        <v>345848</v>
      </c>
      <c r="AE79" s="154">
        <v>346005</v>
      </c>
      <c r="AF79" s="154">
        <v>346132</v>
      </c>
      <c r="AG79" s="154">
        <v>346280</v>
      </c>
      <c r="AH79" s="154">
        <v>346420</v>
      </c>
      <c r="AI79" s="154">
        <v>346554</v>
      </c>
      <c r="AJ79" s="154">
        <v>346678</v>
      </c>
      <c r="AK79" s="154" t="s">
        <v>424</v>
      </c>
      <c r="AL79" s="154" t="s">
        <v>424</v>
      </c>
      <c r="AP79" cm="1">
        <f t="array" ref="AP79">IF(AQ79="","",SUM(IFERROR(H79:AL79-H78:AL78,0))*AQ79/100)</f>
        <v>383.7</v>
      </c>
      <c r="AQ79">
        <f>_xlfn.XLOOKUP(D79,log_prices!M:M,log_prices!L:L,,0)</f>
        <v>15</v>
      </c>
      <c r="AS79">
        <v>75</v>
      </c>
      <c r="AT79" cm="1">
        <f t="array" ref="AT79">IF(AQ79="","",SUM(IFERROR(H79:AL79-H78:AL78,0)))</f>
        <v>2558</v>
      </c>
    </row>
    <row r="80" spans="1:46" hidden="1" x14ac:dyDescent="0.25">
      <c r="A80">
        <v>79</v>
      </c>
      <c r="B80">
        <v>2025</v>
      </c>
      <c r="C80">
        <v>3</v>
      </c>
      <c r="D80" t="s">
        <v>249</v>
      </c>
      <c r="E80">
        <v>31</v>
      </c>
      <c r="F80">
        <v>2</v>
      </c>
      <c r="G80" t="s">
        <v>534</v>
      </c>
      <c r="H80" s="154">
        <v>0.29166666666666669</v>
      </c>
      <c r="I80" s="154" t="s">
        <v>424</v>
      </c>
      <c r="J80" s="154">
        <v>0.29166666666666669</v>
      </c>
      <c r="K80" s="154">
        <v>0.29166666666666669</v>
      </c>
      <c r="L80" s="154">
        <v>0.29166666666666669</v>
      </c>
      <c r="M80" s="154">
        <v>0.29166666666666669</v>
      </c>
      <c r="N80" s="154">
        <v>0.29166666666666669</v>
      </c>
      <c r="O80" s="154">
        <v>0.29166666666666669</v>
      </c>
      <c r="P80" s="154">
        <v>0.29166666666666669</v>
      </c>
      <c r="Q80" s="154">
        <v>0.29166666666666669</v>
      </c>
      <c r="R80" s="154">
        <v>0.29166666666666669</v>
      </c>
      <c r="S80" s="154">
        <v>0.29166666666666669</v>
      </c>
      <c r="T80" s="154">
        <v>0.29166666666666669</v>
      </c>
      <c r="U80" s="154">
        <v>0.29166666666666669</v>
      </c>
      <c r="V80" s="154">
        <v>0.29166666666666669</v>
      </c>
      <c r="W80" s="154">
        <v>0.29166666666666669</v>
      </c>
      <c r="X80" s="154">
        <v>0.29166666666666669</v>
      </c>
      <c r="Y80" s="154">
        <v>0.29166666666666669</v>
      </c>
      <c r="Z80" s="154" t="s">
        <v>424</v>
      </c>
      <c r="AA80" s="154" t="s">
        <v>424</v>
      </c>
      <c r="AB80" s="154" t="s">
        <v>424</v>
      </c>
      <c r="AC80" s="154">
        <v>0.29166666666666669</v>
      </c>
      <c r="AD80" s="154">
        <v>0.29166666666666669</v>
      </c>
      <c r="AE80" s="154">
        <v>0.29166666666666669</v>
      </c>
      <c r="AF80" s="154">
        <v>0.29166666666666669</v>
      </c>
      <c r="AG80" s="154">
        <v>0.29166666666666669</v>
      </c>
      <c r="AH80" s="154">
        <v>0.29166666666666669</v>
      </c>
      <c r="AI80" s="154">
        <v>0.29166666666666669</v>
      </c>
      <c r="AJ80" s="154">
        <v>0.29166666666666669</v>
      </c>
      <c r="AK80" s="154" t="s">
        <v>424</v>
      </c>
      <c r="AL80" s="154" t="s">
        <v>424</v>
      </c>
      <c r="AS80">
        <v>76</v>
      </c>
    </row>
    <row r="81" spans="1:46" hidden="1" x14ac:dyDescent="0.25">
      <c r="A81">
        <v>80</v>
      </c>
      <c r="B81">
        <v>2025</v>
      </c>
      <c r="C81">
        <v>3</v>
      </c>
      <c r="D81" t="s">
        <v>249</v>
      </c>
      <c r="E81">
        <v>31</v>
      </c>
      <c r="F81">
        <v>2</v>
      </c>
      <c r="G81" t="s">
        <v>535</v>
      </c>
      <c r="H81" s="154">
        <v>0.75</v>
      </c>
      <c r="I81" s="154" t="s">
        <v>424</v>
      </c>
      <c r="J81" s="154">
        <v>0.75</v>
      </c>
      <c r="K81" s="154">
        <v>0.75</v>
      </c>
      <c r="L81" s="154">
        <v>0.75</v>
      </c>
      <c r="M81" s="154">
        <v>0.75</v>
      </c>
      <c r="N81" s="154">
        <v>0.75</v>
      </c>
      <c r="O81" s="154">
        <v>0.75</v>
      </c>
      <c r="P81" s="154">
        <v>0.75</v>
      </c>
      <c r="Q81" s="154">
        <v>0.75</v>
      </c>
      <c r="R81" s="154">
        <v>0.75</v>
      </c>
      <c r="S81" s="154">
        <v>0.75</v>
      </c>
      <c r="T81" s="154">
        <v>0.75</v>
      </c>
      <c r="U81" s="154">
        <v>0.75</v>
      </c>
      <c r="V81" s="154">
        <v>0.75</v>
      </c>
      <c r="W81" s="154">
        <v>0.75</v>
      </c>
      <c r="X81" s="154">
        <v>0.75</v>
      </c>
      <c r="Y81" s="154">
        <v>0.75</v>
      </c>
      <c r="Z81" s="154" t="s">
        <v>424</v>
      </c>
      <c r="AA81" s="154" t="s">
        <v>424</v>
      </c>
      <c r="AB81" s="154" t="s">
        <v>424</v>
      </c>
      <c r="AC81" s="154">
        <v>0.75</v>
      </c>
      <c r="AD81" s="154">
        <v>0.75</v>
      </c>
      <c r="AE81" s="154">
        <v>0.75</v>
      </c>
      <c r="AF81" s="154">
        <v>0.75</v>
      </c>
      <c r="AG81" s="154">
        <v>0.75</v>
      </c>
      <c r="AH81" s="154">
        <v>0.75</v>
      </c>
      <c r="AI81" s="154">
        <v>0.75</v>
      </c>
      <c r="AJ81" s="154">
        <v>0.75</v>
      </c>
      <c r="AK81" s="154" t="s">
        <v>424</v>
      </c>
      <c r="AL81" s="154" t="s">
        <v>424</v>
      </c>
      <c r="AM81" cm="1">
        <f t="array" ref="AM81">SUM(IFERROR(IF((H81:AL81-H80:AL80)*24&gt;=11,1,""),""))</f>
        <v>25</v>
      </c>
      <c r="AO81" cm="1">
        <f t="array" ref="AO81">SUM(IFERROR(MOD((H81:AL81-H80:AL80)*24,11),""))</f>
        <v>0</v>
      </c>
      <c r="AS81">
        <v>77</v>
      </c>
    </row>
    <row r="82" spans="1:46" hidden="1" x14ac:dyDescent="0.25">
      <c r="A82">
        <v>81</v>
      </c>
      <c r="B82">
        <v>2025</v>
      </c>
      <c r="C82">
        <v>3</v>
      </c>
      <c r="D82" t="s">
        <v>249</v>
      </c>
      <c r="E82">
        <v>31</v>
      </c>
      <c r="F82">
        <v>2</v>
      </c>
      <c r="G82" t="s">
        <v>536</v>
      </c>
      <c r="H82" s="154">
        <v>880125</v>
      </c>
      <c r="I82" s="154" t="s">
        <v>424</v>
      </c>
      <c r="J82" s="154">
        <v>880287</v>
      </c>
      <c r="K82" s="154">
        <v>880394</v>
      </c>
      <c r="L82" s="154">
        <v>880480</v>
      </c>
      <c r="M82" s="154">
        <v>880550</v>
      </c>
      <c r="N82" s="154">
        <v>880664</v>
      </c>
      <c r="O82" s="154">
        <v>880771</v>
      </c>
      <c r="P82" s="154">
        <v>880831</v>
      </c>
      <c r="Q82" s="154">
        <v>881002</v>
      </c>
      <c r="R82" s="154">
        <v>881050</v>
      </c>
      <c r="S82" s="154">
        <v>881085</v>
      </c>
      <c r="T82" s="154">
        <v>881149</v>
      </c>
      <c r="U82" s="154">
        <v>881223</v>
      </c>
      <c r="V82" s="154">
        <v>881301</v>
      </c>
      <c r="W82" s="154">
        <v>881376</v>
      </c>
      <c r="X82" s="154">
        <v>881481</v>
      </c>
      <c r="Y82" s="154">
        <v>881530</v>
      </c>
      <c r="Z82" s="154" t="s">
        <v>424</v>
      </c>
      <c r="AA82" s="154" t="s">
        <v>424</v>
      </c>
      <c r="AB82" s="154" t="s">
        <v>424</v>
      </c>
      <c r="AC82" s="154">
        <v>881608</v>
      </c>
      <c r="AD82" s="154">
        <v>881688</v>
      </c>
      <c r="AE82" s="154">
        <v>881766</v>
      </c>
      <c r="AF82" s="154">
        <v>881811</v>
      </c>
      <c r="AG82" s="154">
        <v>881860</v>
      </c>
      <c r="AH82" s="154">
        <v>881916</v>
      </c>
      <c r="AI82" s="154">
        <v>881982</v>
      </c>
      <c r="AJ82" s="154">
        <v>882055</v>
      </c>
      <c r="AK82" s="154" t="s">
        <v>424</v>
      </c>
      <c r="AL82" s="154" t="s">
        <v>424</v>
      </c>
      <c r="AS82">
        <v>78</v>
      </c>
    </row>
    <row r="83" spans="1:46" hidden="1" x14ac:dyDescent="0.25">
      <c r="A83">
        <v>82</v>
      </c>
      <c r="B83">
        <v>2025</v>
      </c>
      <c r="C83">
        <v>3</v>
      </c>
      <c r="D83" t="s">
        <v>249</v>
      </c>
      <c r="E83">
        <v>31</v>
      </c>
      <c r="F83">
        <v>2</v>
      </c>
      <c r="G83" t="s">
        <v>537</v>
      </c>
      <c r="H83" s="154">
        <v>880245</v>
      </c>
      <c r="I83" s="154" t="s">
        <v>424</v>
      </c>
      <c r="J83" s="154">
        <v>880394</v>
      </c>
      <c r="K83" s="154">
        <v>880480</v>
      </c>
      <c r="L83" s="154">
        <v>880550</v>
      </c>
      <c r="M83" s="154">
        <v>880664</v>
      </c>
      <c r="N83" s="154">
        <v>880771</v>
      </c>
      <c r="O83" s="154">
        <v>880831</v>
      </c>
      <c r="P83" s="154">
        <v>880929</v>
      </c>
      <c r="Q83" s="154">
        <v>881050</v>
      </c>
      <c r="R83" s="154">
        <v>881085</v>
      </c>
      <c r="S83" s="154">
        <v>881149</v>
      </c>
      <c r="T83" s="154">
        <v>881223</v>
      </c>
      <c r="U83" s="154">
        <v>881301</v>
      </c>
      <c r="V83" s="154">
        <v>881376</v>
      </c>
      <c r="W83" s="154">
        <v>881481</v>
      </c>
      <c r="X83" s="154">
        <v>881530</v>
      </c>
      <c r="Y83" s="154">
        <v>881574</v>
      </c>
      <c r="Z83" s="154" t="s">
        <v>424</v>
      </c>
      <c r="AA83" s="154" t="s">
        <v>424</v>
      </c>
      <c r="AB83" s="154" t="s">
        <v>424</v>
      </c>
      <c r="AC83" s="154">
        <v>881688</v>
      </c>
      <c r="AD83" s="154">
        <v>881766</v>
      </c>
      <c r="AE83" s="154">
        <v>881811</v>
      </c>
      <c r="AF83" s="154">
        <v>881860</v>
      </c>
      <c r="AG83" s="154">
        <v>881916</v>
      </c>
      <c r="AH83" s="154">
        <v>881982</v>
      </c>
      <c r="AI83" s="154">
        <v>882055</v>
      </c>
      <c r="AJ83" s="154">
        <v>882130</v>
      </c>
      <c r="AK83" s="154" t="s">
        <v>424</v>
      </c>
      <c r="AL83" s="154" t="s">
        <v>424</v>
      </c>
      <c r="AP83" cm="1">
        <f t="array" ref="AP83">IF(AQ83="","",SUM(IFERROR(H83:AL83-H82:AL82,0))*AQ83/100)</f>
        <v>278.39999999999998</v>
      </c>
      <c r="AQ83">
        <f>_xlfn.XLOOKUP(D83,log_prices!M:M,log_prices!L:L,,0)</f>
        <v>15</v>
      </c>
      <c r="AS83">
        <v>79</v>
      </c>
      <c r="AT83" cm="1">
        <f t="array" ref="AT83">IF(AQ83="","",SUM(IFERROR(H83:AL83-H82:AL82,0)))</f>
        <v>1856</v>
      </c>
    </row>
    <row r="84" spans="1:46" hidden="1" x14ac:dyDescent="0.25">
      <c r="A84">
        <v>83</v>
      </c>
      <c r="B84">
        <v>2025</v>
      </c>
      <c r="C84">
        <v>3</v>
      </c>
      <c r="D84" t="s">
        <v>266</v>
      </c>
      <c r="E84">
        <v>31</v>
      </c>
      <c r="F84">
        <v>2</v>
      </c>
      <c r="G84" t="s">
        <v>534</v>
      </c>
      <c r="H84" s="154">
        <v>0.29166666666666669</v>
      </c>
      <c r="I84" s="154">
        <v>0.29166666666666669</v>
      </c>
      <c r="J84" s="154">
        <v>0.29166666666666669</v>
      </c>
      <c r="K84" s="154">
        <v>0.29166666666666669</v>
      </c>
      <c r="L84" s="154">
        <v>0.29166666666666669</v>
      </c>
      <c r="M84" s="154">
        <v>0.29166666666666669</v>
      </c>
      <c r="N84" s="154">
        <v>0.29166666666666669</v>
      </c>
      <c r="O84" s="154">
        <v>0.29166666666666669</v>
      </c>
      <c r="P84" s="154">
        <v>0.29166666666666669</v>
      </c>
      <c r="Q84" s="154">
        <v>0.29166666666666669</v>
      </c>
      <c r="R84" s="154">
        <v>0.29166666666666669</v>
      </c>
      <c r="S84" s="154">
        <v>0.29166666666666669</v>
      </c>
      <c r="T84" s="154">
        <v>0.29166666666666669</v>
      </c>
      <c r="U84" s="154">
        <v>0.29166666666666669</v>
      </c>
      <c r="V84" s="154">
        <v>0.29166666666666669</v>
      </c>
      <c r="W84" s="154">
        <v>0.29166666666666669</v>
      </c>
      <c r="X84" s="154">
        <v>0.29166666666666669</v>
      </c>
      <c r="Y84" s="154">
        <v>0.29166666666666669</v>
      </c>
      <c r="Z84" s="154" t="s">
        <v>424</v>
      </c>
      <c r="AA84" s="154">
        <v>0.29166666666666669</v>
      </c>
      <c r="AB84" s="154" t="s">
        <v>424</v>
      </c>
      <c r="AC84" s="154">
        <v>0.29166666666666669</v>
      </c>
      <c r="AD84" s="154">
        <v>0.29166666666666669</v>
      </c>
      <c r="AE84" s="154">
        <v>0.29166666666666669</v>
      </c>
      <c r="AF84" s="154">
        <v>0.29166666666666669</v>
      </c>
      <c r="AG84" s="154">
        <v>0.29166666666666669</v>
      </c>
      <c r="AH84" s="154">
        <v>0.29166666666666669</v>
      </c>
      <c r="AI84" s="154">
        <v>0.29166666666666669</v>
      </c>
      <c r="AJ84" s="154">
        <v>0.29166666666666669</v>
      </c>
      <c r="AK84" s="154">
        <v>0.29166666666666669</v>
      </c>
      <c r="AL84" s="154" t="s">
        <v>424</v>
      </c>
      <c r="AS84">
        <v>80</v>
      </c>
    </row>
    <row r="85" spans="1:46" hidden="1" x14ac:dyDescent="0.25">
      <c r="A85">
        <v>84</v>
      </c>
      <c r="B85">
        <v>2025</v>
      </c>
      <c r="C85">
        <v>3</v>
      </c>
      <c r="D85" t="s">
        <v>266</v>
      </c>
      <c r="E85">
        <v>31</v>
      </c>
      <c r="F85">
        <v>2</v>
      </c>
      <c r="G85" t="s">
        <v>535</v>
      </c>
      <c r="H85" s="154">
        <v>0.875</v>
      </c>
      <c r="I85" s="154">
        <v>0.875</v>
      </c>
      <c r="J85" s="154">
        <v>0.875</v>
      </c>
      <c r="K85" s="154">
        <v>0.875</v>
      </c>
      <c r="L85" s="154">
        <v>0.875</v>
      </c>
      <c r="M85" s="154">
        <v>0.875</v>
      </c>
      <c r="N85" s="154">
        <v>0.875</v>
      </c>
      <c r="O85" s="154">
        <v>0.875</v>
      </c>
      <c r="P85" s="154">
        <v>0.875</v>
      </c>
      <c r="Q85" s="154">
        <v>0.875</v>
      </c>
      <c r="R85" s="154">
        <v>0.875</v>
      </c>
      <c r="S85" s="154">
        <v>0.875</v>
      </c>
      <c r="T85" s="154">
        <v>0.875</v>
      </c>
      <c r="U85" s="154">
        <v>0.875</v>
      </c>
      <c r="V85" s="154">
        <v>0.875</v>
      </c>
      <c r="W85" s="154">
        <v>0.875</v>
      </c>
      <c r="X85" s="154">
        <v>0.875</v>
      </c>
      <c r="Y85" s="154">
        <v>0.875</v>
      </c>
      <c r="Z85" s="154" t="s">
        <v>424</v>
      </c>
      <c r="AA85" s="154">
        <v>0.875</v>
      </c>
      <c r="AB85" s="154" t="s">
        <v>424</v>
      </c>
      <c r="AC85" s="154">
        <v>0.875</v>
      </c>
      <c r="AD85" s="154">
        <v>0.875</v>
      </c>
      <c r="AE85" s="154">
        <v>0.875</v>
      </c>
      <c r="AF85" s="154">
        <v>0.875</v>
      </c>
      <c r="AG85" s="154">
        <v>0.875</v>
      </c>
      <c r="AH85" s="154">
        <v>0.875</v>
      </c>
      <c r="AI85" s="154">
        <v>0.875</v>
      </c>
      <c r="AJ85" s="154">
        <v>0.875</v>
      </c>
      <c r="AK85" s="154">
        <v>0.79166666666666674</v>
      </c>
      <c r="AL85" s="154" t="s">
        <v>424</v>
      </c>
      <c r="AM85" cm="1">
        <f t="array" ref="AM85">SUM(IFERROR(IF((H85:AL85-H84:AL84)*24&gt;=11,1,""),""))</f>
        <v>28</v>
      </c>
      <c r="AO85" cm="1">
        <f t="array" ref="AO85">SUM(IFERROR(MOD((H85:AL85-H84:AL84)*24,11),""))</f>
        <v>81.999999999999986</v>
      </c>
      <c r="AS85">
        <v>81</v>
      </c>
    </row>
    <row r="86" spans="1:46" hidden="1" x14ac:dyDescent="0.25">
      <c r="A86">
        <v>85</v>
      </c>
      <c r="B86">
        <v>2025</v>
      </c>
      <c r="C86">
        <v>3</v>
      </c>
      <c r="D86" t="s">
        <v>266</v>
      </c>
      <c r="E86">
        <v>31</v>
      </c>
      <c r="F86">
        <v>2</v>
      </c>
      <c r="G86" t="s">
        <v>536</v>
      </c>
      <c r="H86" s="154">
        <v>87703</v>
      </c>
      <c r="I86" s="154">
        <v>87951</v>
      </c>
      <c r="J86" s="154">
        <v>88163</v>
      </c>
      <c r="K86" s="154">
        <v>88331</v>
      </c>
      <c r="L86" s="154">
        <v>88613</v>
      </c>
      <c r="M86" s="154">
        <v>88835</v>
      </c>
      <c r="N86" s="154">
        <v>89080</v>
      </c>
      <c r="O86" s="154">
        <v>89321</v>
      </c>
      <c r="P86" s="154">
        <v>89597</v>
      </c>
      <c r="Q86" s="154">
        <v>89848</v>
      </c>
      <c r="R86" s="154">
        <v>90102</v>
      </c>
      <c r="S86" s="154">
        <v>90343</v>
      </c>
      <c r="T86" s="154">
        <v>90553</v>
      </c>
      <c r="U86" s="154">
        <v>90788</v>
      </c>
      <c r="V86" s="154">
        <v>91035</v>
      </c>
      <c r="W86" s="154">
        <v>91310</v>
      </c>
      <c r="X86" s="154">
        <v>91630</v>
      </c>
      <c r="Y86" s="154">
        <v>91973</v>
      </c>
      <c r="Z86" s="154" t="s">
        <v>424</v>
      </c>
      <c r="AA86" s="154">
        <v>92342</v>
      </c>
      <c r="AB86" s="154" t="s">
        <v>424</v>
      </c>
      <c r="AC86" s="154">
        <v>93012</v>
      </c>
      <c r="AD86" s="154">
        <v>93246</v>
      </c>
      <c r="AE86" s="154">
        <v>93570</v>
      </c>
      <c r="AF86" s="154">
        <v>93804</v>
      </c>
      <c r="AG86" s="154">
        <v>94053</v>
      </c>
      <c r="AH86" s="154">
        <v>94303</v>
      </c>
      <c r="AI86" s="154">
        <v>94541</v>
      </c>
      <c r="AJ86" s="154">
        <v>94809</v>
      </c>
      <c r="AK86" s="154">
        <v>95046</v>
      </c>
      <c r="AL86" s="154" t="s">
        <v>424</v>
      </c>
      <c r="AS86">
        <v>82</v>
      </c>
    </row>
    <row r="87" spans="1:46" hidden="1" x14ac:dyDescent="0.25">
      <c r="A87">
        <v>86</v>
      </c>
      <c r="B87">
        <v>2025</v>
      </c>
      <c r="C87">
        <v>3</v>
      </c>
      <c r="D87" t="s">
        <v>266</v>
      </c>
      <c r="E87">
        <v>31</v>
      </c>
      <c r="F87">
        <v>2</v>
      </c>
      <c r="G87" t="s">
        <v>537</v>
      </c>
      <c r="H87" s="154">
        <v>87951</v>
      </c>
      <c r="I87" s="154">
        <v>88163</v>
      </c>
      <c r="J87" s="154">
        <v>88331</v>
      </c>
      <c r="K87" s="154">
        <v>88613</v>
      </c>
      <c r="L87" s="154">
        <v>88835</v>
      </c>
      <c r="M87" s="154">
        <v>89080</v>
      </c>
      <c r="N87" s="154">
        <v>89321</v>
      </c>
      <c r="O87" s="154">
        <v>89597</v>
      </c>
      <c r="P87" s="154">
        <v>89848</v>
      </c>
      <c r="Q87" s="154">
        <v>90102</v>
      </c>
      <c r="R87" s="154">
        <v>90343</v>
      </c>
      <c r="S87" s="154">
        <v>90553</v>
      </c>
      <c r="T87" s="154">
        <v>90788</v>
      </c>
      <c r="U87" s="154">
        <v>91035</v>
      </c>
      <c r="V87" s="154">
        <v>91310</v>
      </c>
      <c r="W87" s="154">
        <v>91630</v>
      </c>
      <c r="X87" s="154">
        <v>91973</v>
      </c>
      <c r="Y87" s="154">
        <v>92312</v>
      </c>
      <c r="Z87" s="154" t="s">
        <v>424</v>
      </c>
      <c r="AA87" s="154">
        <v>92774</v>
      </c>
      <c r="AB87" s="154" t="s">
        <v>424</v>
      </c>
      <c r="AC87" s="154">
        <v>93246</v>
      </c>
      <c r="AD87" s="154">
        <v>93570</v>
      </c>
      <c r="AE87" s="154">
        <v>93804</v>
      </c>
      <c r="AF87" s="154">
        <v>94053</v>
      </c>
      <c r="AG87" s="154">
        <v>94303</v>
      </c>
      <c r="AH87" s="154">
        <v>94541</v>
      </c>
      <c r="AI87" s="154">
        <v>94809</v>
      </c>
      <c r="AJ87" s="154">
        <v>95046</v>
      </c>
      <c r="AK87" s="154">
        <v>95332</v>
      </c>
      <c r="AL87" s="154" t="s">
        <v>424</v>
      </c>
      <c r="AP87" cm="1">
        <f t="array" ref="AP87">IF(AQ87="","",SUM(IFERROR(H87:AL87-H86:AL86,0))*AQ87/100)</f>
        <v>1104.1499999999999</v>
      </c>
      <c r="AQ87">
        <f>_xlfn.XLOOKUP(D87,log_prices!M:M,log_prices!L:L,,0)</f>
        <v>14.999999999999998</v>
      </c>
      <c r="AS87">
        <v>83</v>
      </c>
      <c r="AT87" cm="1">
        <f t="array" ref="AT87">IF(AQ87="","",SUM(IFERROR(H87:AL87-H86:AL86,0)))</f>
        <v>7361</v>
      </c>
    </row>
    <row r="88" spans="1:46" hidden="1" x14ac:dyDescent="0.25">
      <c r="A88">
        <v>87</v>
      </c>
      <c r="B88">
        <v>2025</v>
      </c>
      <c r="C88">
        <v>3</v>
      </c>
      <c r="D88" t="s">
        <v>267</v>
      </c>
      <c r="E88">
        <v>31</v>
      </c>
      <c r="F88">
        <v>2</v>
      </c>
      <c r="G88" t="s">
        <v>534</v>
      </c>
      <c r="H88" s="154">
        <v>0.29166666666666669</v>
      </c>
      <c r="I88" s="154">
        <v>0.29166666666666669</v>
      </c>
      <c r="J88" s="154">
        <v>0.29166666666666669</v>
      </c>
      <c r="K88" s="154">
        <v>0.29166666666666669</v>
      </c>
      <c r="L88" s="154">
        <v>0.29166666666666669</v>
      </c>
      <c r="M88" s="154">
        <v>0.29166666666666669</v>
      </c>
      <c r="N88" s="154">
        <v>0.29166666666666669</v>
      </c>
      <c r="O88" s="154">
        <v>0.29166666666666669</v>
      </c>
      <c r="P88" s="154">
        <v>0.29166666666666669</v>
      </c>
      <c r="Q88" s="154">
        <v>0.29166666666666669</v>
      </c>
      <c r="R88" s="154">
        <v>0.29166666666666669</v>
      </c>
      <c r="S88" s="154">
        <v>0.29166666666666669</v>
      </c>
      <c r="T88" s="154">
        <v>0.29166666666666669</v>
      </c>
      <c r="U88" s="154">
        <v>0.29166666666666669</v>
      </c>
      <c r="V88" s="154">
        <v>0.29166666666666669</v>
      </c>
      <c r="W88" s="154">
        <v>0.29166666666666669</v>
      </c>
      <c r="X88" s="154">
        <v>0.29166666666666669</v>
      </c>
      <c r="Y88" s="154">
        <v>0.29166666666666669</v>
      </c>
      <c r="Z88" s="154" t="s">
        <v>424</v>
      </c>
      <c r="AA88" s="154">
        <v>0.29166666666666669</v>
      </c>
      <c r="AB88" s="154">
        <v>0.29166666666666669</v>
      </c>
      <c r="AC88" s="154">
        <v>0.29166666666666669</v>
      </c>
      <c r="AD88" s="154">
        <v>0.29166666666666669</v>
      </c>
      <c r="AE88" s="154">
        <v>0.29166666666666669</v>
      </c>
      <c r="AF88" s="154">
        <v>0.29166666666666669</v>
      </c>
      <c r="AG88" s="154">
        <v>0.29166666666666669</v>
      </c>
      <c r="AH88" s="154">
        <v>0.29166666666666669</v>
      </c>
      <c r="AI88" s="154">
        <v>0.29166666666666669</v>
      </c>
      <c r="AJ88" s="154">
        <v>0.29166666666666669</v>
      </c>
      <c r="AK88" s="154" t="s">
        <v>424</v>
      </c>
      <c r="AL88" s="154">
        <v>0.29166666666666669</v>
      </c>
      <c r="AS88">
        <v>84</v>
      </c>
    </row>
    <row r="89" spans="1:46" hidden="1" x14ac:dyDescent="0.25">
      <c r="A89">
        <v>88</v>
      </c>
      <c r="B89">
        <v>2025</v>
      </c>
      <c r="C89">
        <v>3</v>
      </c>
      <c r="D89" t="s">
        <v>267</v>
      </c>
      <c r="E89">
        <v>31</v>
      </c>
      <c r="F89">
        <v>2</v>
      </c>
      <c r="G89" t="s">
        <v>535</v>
      </c>
      <c r="H89" s="154">
        <v>0.83333333333333326</v>
      </c>
      <c r="I89" s="154">
        <v>0.83333333333333326</v>
      </c>
      <c r="J89" s="154">
        <v>0.83333333333333326</v>
      </c>
      <c r="K89" s="154">
        <v>0.83333333333333326</v>
      </c>
      <c r="L89" s="154">
        <v>0.83333333333333326</v>
      </c>
      <c r="M89" s="154">
        <v>0.83333333333333326</v>
      </c>
      <c r="N89" s="154">
        <v>0.83333333333333326</v>
      </c>
      <c r="O89" s="154">
        <v>0.83333333333333326</v>
      </c>
      <c r="P89" s="154">
        <v>0.83333333333333326</v>
      </c>
      <c r="Q89" s="154">
        <v>0.83333333333333326</v>
      </c>
      <c r="R89" s="154">
        <v>0.83333333333333326</v>
      </c>
      <c r="S89" s="154">
        <v>0.83333333333333326</v>
      </c>
      <c r="T89" s="154">
        <v>0.83333333333333326</v>
      </c>
      <c r="U89" s="154">
        <v>0.83333333333333326</v>
      </c>
      <c r="V89" s="154">
        <v>0.83333333333333326</v>
      </c>
      <c r="W89" s="154">
        <v>0.83333333333333326</v>
      </c>
      <c r="X89" s="154">
        <v>0.83333333333333326</v>
      </c>
      <c r="Y89" s="154">
        <v>0.83333333333333326</v>
      </c>
      <c r="Z89" s="154" t="s">
        <v>424</v>
      </c>
      <c r="AA89" s="154">
        <v>0.75</v>
      </c>
      <c r="AB89" s="154">
        <v>0.875</v>
      </c>
      <c r="AC89" s="154">
        <v>0.83333333333333326</v>
      </c>
      <c r="AD89" s="154">
        <v>0.83333333333333326</v>
      </c>
      <c r="AE89" s="154">
        <v>0.83333333333333326</v>
      </c>
      <c r="AF89" s="154">
        <v>0.83333333333333326</v>
      </c>
      <c r="AG89" s="154">
        <v>0.83333333333333326</v>
      </c>
      <c r="AH89" s="154">
        <v>0.83333333333333326</v>
      </c>
      <c r="AI89" s="154">
        <v>0.83333333333333326</v>
      </c>
      <c r="AJ89" s="154">
        <v>0.83333333333333326</v>
      </c>
      <c r="AK89" s="154" t="s">
        <v>424</v>
      </c>
      <c r="AL89" s="154">
        <v>0.75</v>
      </c>
      <c r="AM89" cm="1">
        <f t="array" ref="AM89">SUM(IFERROR(IF((H89:AL89-H88:AL88)*24&gt;=11,1,""),""))</f>
        <v>29</v>
      </c>
      <c r="AO89" cm="1">
        <f t="array" ref="AO89">SUM(IFERROR(MOD((H89:AL89-H88:AL88)*24,11),""))</f>
        <v>54.999999999999943</v>
      </c>
      <c r="AS89">
        <v>85</v>
      </c>
    </row>
    <row r="90" spans="1:46" hidden="1" x14ac:dyDescent="0.25">
      <c r="A90">
        <v>89</v>
      </c>
      <c r="B90">
        <v>2025</v>
      </c>
      <c r="C90">
        <v>3</v>
      </c>
      <c r="D90" t="s">
        <v>267</v>
      </c>
      <c r="E90">
        <v>31</v>
      </c>
      <c r="F90">
        <v>2</v>
      </c>
      <c r="G90" t="s">
        <v>536</v>
      </c>
      <c r="H90" s="154">
        <v>303032</v>
      </c>
      <c r="I90" s="154">
        <v>303135</v>
      </c>
      <c r="J90" s="154">
        <v>303268</v>
      </c>
      <c r="K90" s="154">
        <v>303498</v>
      </c>
      <c r="L90" s="154">
        <v>303623</v>
      </c>
      <c r="M90" s="154">
        <v>303750</v>
      </c>
      <c r="N90" s="154">
        <v>303956</v>
      </c>
      <c r="O90" s="154">
        <v>304091</v>
      </c>
      <c r="P90" s="154">
        <v>304262</v>
      </c>
      <c r="Q90" s="154">
        <v>304459</v>
      </c>
      <c r="R90" s="154">
        <v>304574</v>
      </c>
      <c r="S90" s="154">
        <v>304747</v>
      </c>
      <c r="T90" s="154">
        <v>304861</v>
      </c>
      <c r="U90" s="154">
        <v>305021</v>
      </c>
      <c r="V90" s="154">
        <v>305172</v>
      </c>
      <c r="W90" s="154">
        <v>305359</v>
      </c>
      <c r="X90" s="154">
        <v>305548</v>
      </c>
      <c r="Y90" s="154">
        <v>305660</v>
      </c>
      <c r="Z90" s="154" t="s">
        <v>424</v>
      </c>
      <c r="AA90" s="154">
        <v>305944</v>
      </c>
      <c r="AB90" s="154">
        <v>306200</v>
      </c>
      <c r="AC90" s="154">
        <v>306325</v>
      </c>
      <c r="AD90" s="154">
        <v>306485</v>
      </c>
      <c r="AE90" s="154">
        <v>306595</v>
      </c>
      <c r="AF90" s="154">
        <v>306809</v>
      </c>
      <c r="AG90" s="154">
        <v>306941</v>
      </c>
      <c r="AH90" s="154">
        <v>307115</v>
      </c>
      <c r="AI90" s="154">
        <v>307229</v>
      </c>
      <c r="AJ90" s="154">
        <v>307427</v>
      </c>
      <c r="AK90" s="154" t="s">
        <v>424</v>
      </c>
      <c r="AL90" s="154">
        <v>307776</v>
      </c>
      <c r="AS90">
        <v>86</v>
      </c>
    </row>
    <row r="91" spans="1:46" hidden="1" x14ac:dyDescent="0.25">
      <c r="A91">
        <v>90</v>
      </c>
      <c r="B91">
        <v>2025</v>
      </c>
      <c r="C91">
        <v>3</v>
      </c>
      <c r="D91" t="s">
        <v>267</v>
      </c>
      <c r="E91">
        <v>31</v>
      </c>
      <c r="F91">
        <v>2</v>
      </c>
      <c r="G91" t="s">
        <v>537</v>
      </c>
      <c r="H91" s="154">
        <v>303135</v>
      </c>
      <c r="I91" s="154">
        <v>303268</v>
      </c>
      <c r="J91" s="154">
        <v>303498</v>
      </c>
      <c r="K91" s="154">
        <v>303623</v>
      </c>
      <c r="L91" s="154">
        <v>303750</v>
      </c>
      <c r="M91" s="154">
        <v>303956</v>
      </c>
      <c r="N91" s="154">
        <v>304091</v>
      </c>
      <c r="O91" s="154">
        <v>304262</v>
      </c>
      <c r="P91" s="154">
        <v>304459</v>
      </c>
      <c r="Q91" s="154">
        <v>304574</v>
      </c>
      <c r="R91" s="154">
        <v>304747</v>
      </c>
      <c r="S91" s="154">
        <v>304861</v>
      </c>
      <c r="T91" s="154">
        <v>305021</v>
      </c>
      <c r="U91" s="154">
        <v>305172</v>
      </c>
      <c r="V91" s="154">
        <v>305359</v>
      </c>
      <c r="W91" s="154">
        <v>305548</v>
      </c>
      <c r="X91" s="154">
        <v>305660</v>
      </c>
      <c r="Y91" s="154">
        <v>305785</v>
      </c>
      <c r="Z91" s="154" t="s">
        <v>424</v>
      </c>
      <c r="AA91" s="154">
        <v>306054</v>
      </c>
      <c r="AB91" s="154">
        <v>306325</v>
      </c>
      <c r="AC91" s="154">
        <v>306485</v>
      </c>
      <c r="AD91" s="154">
        <v>306595</v>
      </c>
      <c r="AE91" s="154">
        <v>306809</v>
      </c>
      <c r="AF91" s="154">
        <v>306941</v>
      </c>
      <c r="AG91" s="154">
        <v>307115</v>
      </c>
      <c r="AH91" s="154">
        <v>307229</v>
      </c>
      <c r="AI91" s="154">
        <v>307427</v>
      </c>
      <c r="AJ91" s="154">
        <v>307537</v>
      </c>
      <c r="AK91" s="154" t="s">
        <v>424</v>
      </c>
      <c r="AL91" s="154">
        <v>307886</v>
      </c>
      <c r="AP91" cm="1">
        <f t="array" ref="AP91">IF(AQ91="","",SUM(IFERROR(H91:AL91-H90:AL90,0))*AQ91/100)</f>
        <v>646.5</v>
      </c>
      <c r="AQ91">
        <f>_xlfn.XLOOKUP(D91,log_prices!M:M,log_prices!L:L,,0)</f>
        <v>15</v>
      </c>
      <c r="AS91">
        <v>87</v>
      </c>
      <c r="AT91" cm="1">
        <f t="array" ref="AT91">IF(AQ91="","",SUM(IFERROR(H91:AL91-H90:AL90,0)))</f>
        <v>4310</v>
      </c>
    </row>
    <row r="92" spans="1:46" hidden="1" x14ac:dyDescent="0.25">
      <c r="A92">
        <v>91</v>
      </c>
      <c r="B92">
        <v>2025</v>
      </c>
      <c r="C92">
        <v>3</v>
      </c>
      <c r="D92" t="s">
        <v>250</v>
      </c>
      <c r="E92">
        <v>31</v>
      </c>
      <c r="F92">
        <v>2</v>
      </c>
      <c r="G92" t="s">
        <v>534</v>
      </c>
      <c r="H92" s="154" t="s">
        <v>424</v>
      </c>
      <c r="I92" s="154" t="s">
        <v>424</v>
      </c>
      <c r="J92" s="154" t="s">
        <v>424</v>
      </c>
      <c r="K92" s="154" t="s">
        <v>424</v>
      </c>
      <c r="L92" s="154">
        <v>0.29166666666666669</v>
      </c>
      <c r="M92" s="154">
        <v>0.29166666666666669</v>
      </c>
      <c r="N92" s="154">
        <v>0.29166666666666669</v>
      </c>
      <c r="O92" s="154">
        <v>0.29166666666666669</v>
      </c>
      <c r="P92" s="154">
        <v>0.29166666666666669</v>
      </c>
      <c r="Q92" s="154">
        <v>0.29166666666666669</v>
      </c>
      <c r="R92" s="154">
        <v>0.29166666666666669</v>
      </c>
      <c r="S92" s="154">
        <v>0.29166666666666669</v>
      </c>
      <c r="T92" s="154">
        <v>0.29166666666666669</v>
      </c>
      <c r="U92" s="154">
        <v>0.29166666666666669</v>
      </c>
      <c r="V92" s="154">
        <v>0.29166666666666669</v>
      </c>
      <c r="W92" s="154">
        <v>0.29166666666666669</v>
      </c>
      <c r="X92" s="154">
        <v>0.29166666666666669</v>
      </c>
      <c r="Y92" s="154">
        <v>0.29166666666666669</v>
      </c>
      <c r="Z92" s="154">
        <v>0.29166666666666669</v>
      </c>
      <c r="AA92" s="154" t="s">
        <v>424</v>
      </c>
      <c r="AB92" s="154">
        <v>0.29166666666666669</v>
      </c>
      <c r="AC92" s="154">
        <v>0.29166666666666669</v>
      </c>
      <c r="AD92" s="154">
        <v>0.29166666666666669</v>
      </c>
      <c r="AE92" s="154">
        <v>0.29166666666666669</v>
      </c>
      <c r="AF92" s="154">
        <v>0.29166666666666669</v>
      </c>
      <c r="AG92" s="154">
        <v>0.29166666666666669</v>
      </c>
      <c r="AH92" s="154">
        <v>0.29166666666666669</v>
      </c>
      <c r="AI92" s="154">
        <v>0.29166666666666669</v>
      </c>
      <c r="AJ92" s="154">
        <v>0.29166666666666669</v>
      </c>
      <c r="AK92" s="154" t="s">
        <v>424</v>
      </c>
      <c r="AL92" s="154">
        <v>0.29166666666666669</v>
      </c>
      <c r="AS92">
        <v>88</v>
      </c>
    </row>
    <row r="93" spans="1:46" hidden="1" x14ac:dyDescent="0.25">
      <c r="A93">
        <v>92</v>
      </c>
      <c r="B93">
        <v>2025</v>
      </c>
      <c r="C93">
        <v>3</v>
      </c>
      <c r="D93" t="s">
        <v>250</v>
      </c>
      <c r="E93">
        <v>31</v>
      </c>
      <c r="F93">
        <v>2</v>
      </c>
      <c r="G93" t="s">
        <v>535</v>
      </c>
      <c r="H93" s="154" t="s">
        <v>424</v>
      </c>
      <c r="I93" s="154" t="s">
        <v>424</v>
      </c>
      <c r="J93" s="154" t="s">
        <v>424</v>
      </c>
      <c r="K93" s="154" t="s">
        <v>424</v>
      </c>
      <c r="L93" s="154">
        <v>0.75</v>
      </c>
      <c r="M93" s="154">
        <v>0.75</v>
      </c>
      <c r="N93" s="154">
        <v>0.75</v>
      </c>
      <c r="O93" s="154">
        <v>0.75</v>
      </c>
      <c r="P93" s="154">
        <v>0.75</v>
      </c>
      <c r="Q93" s="154">
        <v>0.75</v>
      </c>
      <c r="R93" s="154">
        <v>0.75</v>
      </c>
      <c r="S93" s="154">
        <v>0.75</v>
      </c>
      <c r="T93" s="154">
        <v>0.75</v>
      </c>
      <c r="U93" s="154">
        <v>0.75</v>
      </c>
      <c r="V93" s="154">
        <v>0.75</v>
      </c>
      <c r="W93" s="154">
        <v>0.75</v>
      </c>
      <c r="X93" s="154">
        <v>0.75</v>
      </c>
      <c r="Y93" s="154">
        <v>0.75</v>
      </c>
      <c r="Z93" s="154">
        <v>0.75</v>
      </c>
      <c r="AA93" s="154" t="s">
        <v>424</v>
      </c>
      <c r="AB93" s="154">
        <v>0.75</v>
      </c>
      <c r="AC93" s="154">
        <v>0.75</v>
      </c>
      <c r="AD93" s="154">
        <v>0.75</v>
      </c>
      <c r="AE93" s="154">
        <v>0.75</v>
      </c>
      <c r="AF93" s="154">
        <v>0.75</v>
      </c>
      <c r="AG93" s="154">
        <v>0.75</v>
      </c>
      <c r="AH93" s="154">
        <v>0.75</v>
      </c>
      <c r="AI93" s="154">
        <v>0.75</v>
      </c>
      <c r="AJ93" s="154">
        <v>0.75</v>
      </c>
      <c r="AK93" s="154" t="s">
        <v>424</v>
      </c>
      <c r="AL93" s="154">
        <v>0.75</v>
      </c>
      <c r="AM93" cm="1">
        <f t="array" ref="AM93">SUM(IFERROR(IF((H93:AL93-H92:AL92)*24&gt;=11,1,""),""))</f>
        <v>25</v>
      </c>
      <c r="AO93" cm="1">
        <f t="array" ref="AO93">SUM(IFERROR(MOD((H93:AL93-H92:AL92)*24,11),""))</f>
        <v>0</v>
      </c>
      <c r="AS93">
        <v>89</v>
      </c>
    </row>
    <row r="94" spans="1:46" hidden="1" x14ac:dyDescent="0.25">
      <c r="A94">
        <v>93</v>
      </c>
      <c r="B94">
        <v>2025</v>
      </c>
      <c r="C94">
        <v>3</v>
      </c>
      <c r="D94" t="s">
        <v>250</v>
      </c>
      <c r="E94">
        <v>31</v>
      </c>
      <c r="F94">
        <v>2</v>
      </c>
      <c r="G94" t="s">
        <v>536</v>
      </c>
      <c r="H94" s="154" t="s">
        <v>424</v>
      </c>
      <c r="I94" s="154" t="s">
        <v>424</v>
      </c>
      <c r="J94" s="154" t="s">
        <v>424</v>
      </c>
      <c r="K94" s="154" t="s">
        <v>424</v>
      </c>
      <c r="L94" s="154">
        <v>816508</v>
      </c>
      <c r="M94" s="154">
        <v>816732</v>
      </c>
      <c r="N94" s="154">
        <v>816959</v>
      </c>
      <c r="O94" s="154">
        <v>817190</v>
      </c>
      <c r="P94" s="154">
        <v>817397</v>
      </c>
      <c r="Q94" s="154">
        <v>817631</v>
      </c>
      <c r="R94" s="154">
        <v>817857</v>
      </c>
      <c r="S94" s="154">
        <v>818095</v>
      </c>
      <c r="T94" s="154">
        <v>818337</v>
      </c>
      <c r="U94" s="154">
        <v>818560</v>
      </c>
      <c r="V94" s="154">
        <v>818744</v>
      </c>
      <c r="W94" s="154">
        <v>818968</v>
      </c>
      <c r="X94" s="154">
        <v>819195</v>
      </c>
      <c r="Y94" s="154">
        <v>819426</v>
      </c>
      <c r="Z94" s="154">
        <v>819647</v>
      </c>
      <c r="AA94" s="154" t="s">
        <v>424</v>
      </c>
      <c r="AB94" s="154">
        <v>819952</v>
      </c>
      <c r="AC94" s="154">
        <v>820125</v>
      </c>
      <c r="AD94" s="154">
        <v>820267</v>
      </c>
      <c r="AE94" s="154">
        <v>820419</v>
      </c>
      <c r="AF94" s="154">
        <v>820645</v>
      </c>
      <c r="AG94" s="154">
        <v>820858</v>
      </c>
      <c r="AH94" s="154">
        <v>821082</v>
      </c>
      <c r="AI94" s="154">
        <v>821301</v>
      </c>
      <c r="AJ94" s="154">
        <v>821524</v>
      </c>
      <c r="AK94" s="154" t="s">
        <v>424</v>
      </c>
      <c r="AL94" s="154">
        <v>821830</v>
      </c>
      <c r="AS94">
        <v>90</v>
      </c>
    </row>
    <row r="95" spans="1:46" hidden="1" x14ac:dyDescent="0.25">
      <c r="A95">
        <v>94</v>
      </c>
      <c r="B95">
        <v>2025</v>
      </c>
      <c r="C95">
        <v>3</v>
      </c>
      <c r="D95" t="s">
        <v>250</v>
      </c>
      <c r="E95">
        <v>31</v>
      </c>
      <c r="F95">
        <v>2</v>
      </c>
      <c r="G95" t="s">
        <v>537</v>
      </c>
      <c r="H95" s="154" t="s">
        <v>424</v>
      </c>
      <c r="I95" s="154" t="s">
        <v>424</v>
      </c>
      <c r="J95" s="154" t="s">
        <v>424</v>
      </c>
      <c r="K95" s="154" t="s">
        <v>424</v>
      </c>
      <c r="L95" s="154">
        <v>816732</v>
      </c>
      <c r="M95" s="154">
        <v>816959</v>
      </c>
      <c r="N95" s="154">
        <v>817190</v>
      </c>
      <c r="O95" s="154">
        <v>817397</v>
      </c>
      <c r="P95" s="154">
        <v>817631</v>
      </c>
      <c r="Q95" s="154">
        <v>817857</v>
      </c>
      <c r="R95" s="154">
        <v>818095</v>
      </c>
      <c r="S95" s="154">
        <v>818337</v>
      </c>
      <c r="T95" s="154">
        <v>818560</v>
      </c>
      <c r="U95" s="154">
        <v>818744</v>
      </c>
      <c r="V95" s="154">
        <v>818968</v>
      </c>
      <c r="W95" s="154">
        <v>819195</v>
      </c>
      <c r="X95" s="154">
        <v>819426</v>
      </c>
      <c r="Y95" s="154">
        <v>819647</v>
      </c>
      <c r="Z95" s="154">
        <v>819828</v>
      </c>
      <c r="AA95" s="154" t="s">
        <v>424</v>
      </c>
      <c r="AB95" s="154">
        <v>820125</v>
      </c>
      <c r="AC95" s="154">
        <v>820267</v>
      </c>
      <c r="AD95" s="154">
        <v>820419</v>
      </c>
      <c r="AE95" s="154">
        <v>820645</v>
      </c>
      <c r="AF95" s="154">
        <v>820858</v>
      </c>
      <c r="AG95" s="154">
        <v>821082</v>
      </c>
      <c r="AH95" s="154">
        <v>821301</v>
      </c>
      <c r="AI95" s="154">
        <v>821524</v>
      </c>
      <c r="AJ95" s="154">
        <v>821728</v>
      </c>
      <c r="AK95" s="154" t="s">
        <v>424</v>
      </c>
      <c r="AL95" s="154">
        <v>821994</v>
      </c>
      <c r="AP95" cm="1">
        <f t="array" ref="AP95">IF(AQ95="","",SUM(IFERROR(H95:AL95-H94:AL94,0))*AQ95/100)</f>
        <v>789</v>
      </c>
      <c r="AQ95">
        <f>_xlfn.XLOOKUP(D95,log_prices!M:M,log_prices!L:L,,0)</f>
        <v>15</v>
      </c>
      <c r="AS95">
        <v>91</v>
      </c>
      <c r="AT95" cm="1">
        <f t="array" ref="AT95">IF(AQ95="","",SUM(IFERROR(H95:AL95-H94:AL94,0)))</f>
        <v>5260</v>
      </c>
    </row>
    <row r="96" spans="1:46" hidden="1" x14ac:dyDescent="0.25">
      <c r="A96">
        <v>95</v>
      </c>
      <c r="B96">
        <v>2025</v>
      </c>
      <c r="C96">
        <v>3</v>
      </c>
      <c r="D96" t="s">
        <v>259</v>
      </c>
      <c r="E96">
        <v>31</v>
      </c>
      <c r="F96">
        <v>2</v>
      </c>
      <c r="G96" t="s">
        <v>534</v>
      </c>
      <c r="H96" s="154" t="s">
        <v>424</v>
      </c>
      <c r="I96" s="154" t="s">
        <v>424</v>
      </c>
      <c r="J96" s="154" t="s">
        <v>424</v>
      </c>
      <c r="K96" s="154" t="s">
        <v>424</v>
      </c>
      <c r="L96" s="154" t="s">
        <v>424</v>
      </c>
      <c r="M96" s="154" t="s">
        <v>424</v>
      </c>
      <c r="N96" s="154" t="s">
        <v>424</v>
      </c>
      <c r="O96" s="154" t="s">
        <v>424</v>
      </c>
      <c r="P96" s="154" t="s">
        <v>424</v>
      </c>
      <c r="Q96" s="154">
        <v>0.29166666666666669</v>
      </c>
      <c r="R96" s="154">
        <v>0.29166666666666669</v>
      </c>
      <c r="S96" s="154">
        <v>0.29166666666666669</v>
      </c>
      <c r="T96" s="154">
        <v>0.29166666666666669</v>
      </c>
      <c r="U96" s="154">
        <v>0.29166666666666669</v>
      </c>
      <c r="V96" s="154">
        <v>0.29166666666666669</v>
      </c>
      <c r="W96" s="154">
        <v>0.29166666666666669</v>
      </c>
      <c r="X96" s="154">
        <v>0.29166666666666669</v>
      </c>
      <c r="Y96" s="154">
        <v>0.29166666666666669</v>
      </c>
      <c r="Z96" s="154" t="s">
        <v>424</v>
      </c>
      <c r="AA96" s="154" t="s">
        <v>424</v>
      </c>
      <c r="AB96" s="154" t="s">
        <v>424</v>
      </c>
      <c r="AC96" s="154">
        <v>0.29166666666666669</v>
      </c>
      <c r="AD96" s="154">
        <v>0.29166666666666669</v>
      </c>
      <c r="AE96" s="154">
        <v>0.29166666666666669</v>
      </c>
      <c r="AF96" s="154">
        <v>0.29166666666666669</v>
      </c>
      <c r="AG96" s="154">
        <v>0.29166666666666669</v>
      </c>
      <c r="AH96" s="154">
        <v>0.29166666666666669</v>
      </c>
      <c r="AI96" s="154">
        <v>0.29166666666666669</v>
      </c>
      <c r="AJ96" s="154">
        <v>0.29166666666666669</v>
      </c>
      <c r="AK96" s="154">
        <v>0.29166666666666669</v>
      </c>
      <c r="AL96" s="154" t="s">
        <v>424</v>
      </c>
      <c r="AS96">
        <v>92</v>
      </c>
    </row>
    <row r="97" spans="1:46" hidden="1" x14ac:dyDescent="0.25">
      <c r="A97">
        <v>96</v>
      </c>
      <c r="B97">
        <v>2025</v>
      </c>
      <c r="C97">
        <v>3</v>
      </c>
      <c r="D97" t="s">
        <v>259</v>
      </c>
      <c r="E97">
        <v>31</v>
      </c>
      <c r="F97">
        <v>2</v>
      </c>
      <c r="G97" t="s">
        <v>535</v>
      </c>
      <c r="H97" s="154" t="s">
        <v>424</v>
      </c>
      <c r="I97" s="154" t="s">
        <v>424</v>
      </c>
      <c r="J97" s="154" t="s">
        <v>424</v>
      </c>
      <c r="K97" s="154" t="s">
        <v>424</v>
      </c>
      <c r="L97" s="154" t="s">
        <v>424</v>
      </c>
      <c r="M97" s="154" t="s">
        <v>424</v>
      </c>
      <c r="N97" s="154" t="s">
        <v>424</v>
      </c>
      <c r="O97" s="154" t="s">
        <v>424</v>
      </c>
      <c r="P97" s="154" t="s">
        <v>424</v>
      </c>
      <c r="Q97" s="154">
        <v>0.75</v>
      </c>
      <c r="R97" s="154">
        <v>0.75</v>
      </c>
      <c r="S97" s="154">
        <v>0.75</v>
      </c>
      <c r="T97" s="154">
        <v>0.75</v>
      </c>
      <c r="U97" s="154">
        <v>0.75</v>
      </c>
      <c r="V97" s="154">
        <v>0.875</v>
      </c>
      <c r="W97" s="154">
        <v>0.83333333333333326</v>
      </c>
      <c r="X97" s="154">
        <v>0.79166666666666674</v>
      </c>
      <c r="Y97" s="154">
        <v>0.83333333333333326</v>
      </c>
      <c r="Z97" s="154" t="s">
        <v>424</v>
      </c>
      <c r="AA97" s="154" t="s">
        <v>424</v>
      </c>
      <c r="AB97" s="154" t="s">
        <v>424</v>
      </c>
      <c r="AC97" s="154">
        <v>0.875</v>
      </c>
      <c r="AD97" s="154">
        <v>0.83333333333333326</v>
      </c>
      <c r="AE97" s="154">
        <v>0.75</v>
      </c>
      <c r="AF97" s="154">
        <v>1.0416666666666667</v>
      </c>
      <c r="AG97" s="154">
        <v>1.0416666666666667</v>
      </c>
      <c r="AH97" s="154">
        <v>1.0416666666666667</v>
      </c>
      <c r="AI97" s="154">
        <v>0.75</v>
      </c>
      <c r="AJ97" s="154">
        <v>0.75</v>
      </c>
      <c r="AK97" s="154">
        <v>0.75</v>
      </c>
      <c r="AL97" s="154" t="s">
        <v>424</v>
      </c>
      <c r="AM97" cm="1">
        <f t="array" ref="AM97">SUM(IFERROR(IF((H97:AL97-H96:AL96)*24&gt;=11,1,""),""))</f>
        <v>18</v>
      </c>
      <c r="AO97" cm="1">
        <f t="array" ref="AO97">SUM(IFERROR(MOD((H97:AL97-H96:AL96)*24,11),""))</f>
        <v>33.999999999999986</v>
      </c>
      <c r="AS97">
        <v>93</v>
      </c>
    </row>
    <row r="98" spans="1:46" hidden="1" x14ac:dyDescent="0.25">
      <c r="A98">
        <v>97</v>
      </c>
      <c r="B98">
        <v>2025</v>
      </c>
      <c r="C98">
        <v>3</v>
      </c>
      <c r="D98" t="s">
        <v>259</v>
      </c>
      <c r="E98">
        <v>31</v>
      </c>
      <c r="F98">
        <v>2</v>
      </c>
      <c r="G98" t="s">
        <v>536</v>
      </c>
      <c r="H98" s="154" t="s">
        <v>424</v>
      </c>
      <c r="I98" s="154" t="s">
        <v>424</v>
      </c>
      <c r="J98" s="154" t="s">
        <v>424</v>
      </c>
      <c r="K98" s="154" t="s">
        <v>424</v>
      </c>
      <c r="L98" s="154" t="s">
        <v>424</v>
      </c>
      <c r="M98" s="154" t="s">
        <v>424</v>
      </c>
      <c r="N98" s="154" t="s">
        <v>424</v>
      </c>
      <c r="O98" s="154" t="s">
        <v>424</v>
      </c>
      <c r="P98" s="154" t="s">
        <v>424</v>
      </c>
      <c r="Q98" s="154">
        <v>358552</v>
      </c>
      <c r="R98" s="154">
        <v>358630</v>
      </c>
      <c r="S98" s="154">
        <v>358715</v>
      </c>
      <c r="T98" s="154">
        <v>358803</v>
      </c>
      <c r="U98" s="154">
        <v>358853</v>
      </c>
      <c r="V98" s="154">
        <v>358922</v>
      </c>
      <c r="W98" s="154">
        <v>359017</v>
      </c>
      <c r="X98" s="154">
        <v>359125</v>
      </c>
      <c r="Y98" s="154">
        <v>359289</v>
      </c>
      <c r="Z98" s="154" t="s">
        <v>424</v>
      </c>
      <c r="AA98" s="154" t="s">
        <v>424</v>
      </c>
      <c r="AB98" s="154" t="s">
        <v>424</v>
      </c>
      <c r="AC98" s="154">
        <v>359481</v>
      </c>
      <c r="AD98" s="154">
        <v>359675</v>
      </c>
      <c r="AE98" s="154">
        <v>359818</v>
      </c>
      <c r="AF98" s="154">
        <v>359894</v>
      </c>
      <c r="AG98" s="154">
        <v>359976</v>
      </c>
      <c r="AH98" s="154">
        <v>360089</v>
      </c>
      <c r="AI98" s="154">
        <v>360237</v>
      </c>
      <c r="AJ98" s="154">
        <v>360374</v>
      </c>
      <c r="AK98" s="154">
        <v>360496</v>
      </c>
      <c r="AL98" s="154" t="s">
        <v>424</v>
      </c>
      <c r="AS98">
        <v>94</v>
      </c>
    </row>
    <row r="99" spans="1:46" hidden="1" x14ac:dyDescent="0.25">
      <c r="A99">
        <v>98</v>
      </c>
      <c r="B99">
        <v>2025</v>
      </c>
      <c r="C99">
        <v>3</v>
      </c>
      <c r="D99" t="s">
        <v>259</v>
      </c>
      <c r="E99">
        <v>31</v>
      </c>
      <c r="F99">
        <v>2</v>
      </c>
      <c r="G99" t="s">
        <v>537</v>
      </c>
      <c r="H99" s="154" t="s">
        <v>424</v>
      </c>
      <c r="I99" s="154" t="s">
        <v>424</v>
      </c>
      <c r="J99" s="154" t="s">
        <v>424</v>
      </c>
      <c r="K99" s="154" t="s">
        <v>424</v>
      </c>
      <c r="L99" s="154" t="s">
        <v>424</v>
      </c>
      <c r="M99" s="154" t="s">
        <v>424</v>
      </c>
      <c r="N99" s="154" t="s">
        <v>424</v>
      </c>
      <c r="O99" s="154" t="s">
        <v>424</v>
      </c>
      <c r="P99" s="154" t="s">
        <v>424</v>
      </c>
      <c r="Q99" s="154">
        <v>358630</v>
      </c>
      <c r="R99" s="154">
        <v>358715</v>
      </c>
      <c r="S99" s="154">
        <v>358803</v>
      </c>
      <c r="T99" s="154">
        <v>358853</v>
      </c>
      <c r="U99" s="154">
        <v>358922</v>
      </c>
      <c r="V99" s="154">
        <v>359017</v>
      </c>
      <c r="W99" s="154">
        <v>359125</v>
      </c>
      <c r="X99" s="154">
        <v>359289</v>
      </c>
      <c r="Y99" s="154">
        <v>359481</v>
      </c>
      <c r="Z99" s="154" t="s">
        <v>424</v>
      </c>
      <c r="AA99" s="154" t="s">
        <v>424</v>
      </c>
      <c r="AB99" s="154" t="s">
        <v>424</v>
      </c>
      <c r="AC99" s="154">
        <v>359675</v>
      </c>
      <c r="AD99" s="154">
        <v>359818</v>
      </c>
      <c r="AE99" s="154">
        <v>359894</v>
      </c>
      <c r="AF99" s="154">
        <v>359976</v>
      </c>
      <c r="AG99" s="154">
        <v>360089</v>
      </c>
      <c r="AH99" s="154">
        <v>360237</v>
      </c>
      <c r="AI99" s="154">
        <v>360374</v>
      </c>
      <c r="AJ99" s="154">
        <v>360496</v>
      </c>
      <c r="AK99" s="154">
        <v>360605</v>
      </c>
      <c r="AL99" s="154" t="s">
        <v>424</v>
      </c>
      <c r="AP99" cm="1">
        <f t="array" ref="AP99">IF(AQ99="","",SUM(IFERROR(H99:AL99-H98:AL98,0))*AQ99/100)</f>
        <v>307.95</v>
      </c>
      <c r="AQ99">
        <f>_xlfn.XLOOKUP(D99,log_prices!M:M,log_prices!L:L,,0)</f>
        <v>15</v>
      </c>
      <c r="AS99">
        <v>95</v>
      </c>
      <c r="AT99" cm="1">
        <f t="array" ref="AT99">IF(AQ99="","",SUM(IFERROR(H99:AL99-H98:AL98,0)))</f>
        <v>2053</v>
      </c>
    </row>
    <row r="100" spans="1:46" hidden="1" x14ac:dyDescent="0.25">
      <c r="A100">
        <v>99</v>
      </c>
      <c r="B100">
        <v>2025</v>
      </c>
      <c r="C100">
        <v>3</v>
      </c>
      <c r="D100" t="s">
        <v>251</v>
      </c>
      <c r="E100">
        <v>31</v>
      </c>
      <c r="F100">
        <v>2</v>
      </c>
      <c r="G100" t="s">
        <v>534</v>
      </c>
      <c r="H100" s="154" t="s">
        <v>424</v>
      </c>
      <c r="I100" s="154" t="s">
        <v>424</v>
      </c>
      <c r="J100" s="154" t="s">
        <v>424</v>
      </c>
      <c r="K100" s="154" t="s">
        <v>424</v>
      </c>
      <c r="L100" s="154" t="s">
        <v>424</v>
      </c>
      <c r="M100" s="154" t="s">
        <v>424</v>
      </c>
      <c r="N100" s="154" t="s">
        <v>424</v>
      </c>
      <c r="O100" s="154" t="s">
        <v>424</v>
      </c>
      <c r="P100" s="154" t="s">
        <v>424</v>
      </c>
      <c r="Q100" s="154" t="s">
        <v>424</v>
      </c>
      <c r="R100" s="154" t="s">
        <v>424</v>
      </c>
      <c r="S100" s="154" t="s">
        <v>424</v>
      </c>
      <c r="T100" s="154">
        <v>0.29166666666666669</v>
      </c>
      <c r="U100" s="154">
        <v>0.29166666666666669</v>
      </c>
      <c r="V100" s="154">
        <v>0.29166666666666669</v>
      </c>
      <c r="W100" s="154">
        <v>0.29166666666666669</v>
      </c>
      <c r="X100" s="154">
        <v>0.29166666666666669</v>
      </c>
      <c r="Y100" s="154">
        <v>0.29166666666666669</v>
      </c>
      <c r="Z100" s="154" t="s">
        <v>424</v>
      </c>
      <c r="AA100" s="154" t="s">
        <v>424</v>
      </c>
      <c r="AB100" s="154" t="s">
        <v>424</v>
      </c>
      <c r="AC100" s="154" t="s">
        <v>424</v>
      </c>
      <c r="AD100" s="154" t="s">
        <v>424</v>
      </c>
      <c r="AE100" s="154" t="s">
        <v>424</v>
      </c>
      <c r="AF100" s="154" t="s">
        <v>424</v>
      </c>
      <c r="AG100" s="154">
        <v>0.29166666666666669</v>
      </c>
      <c r="AH100" s="154">
        <v>0.29166666666666669</v>
      </c>
      <c r="AI100" s="154">
        <v>0.29166666666666669</v>
      </c>
      <c r="AJ100" s="154">
        <v>0.29166666666666669</v>
      </c>
      <c r="AK100" s="154" t="s">
        <v>424</v>
      </c>
      <c r="AL100" s="154" t="s">
        <v>424</v>
      </c>
      <c r="AS100">
        <v>96</v>
      </c>
    </row>
    <row r="101" spans="1:46" hidden="1" x14ac:dyDescent="0.25">
      <c r="A101">
        <v>100</v>
      </c>
      <c r="B101">
        <v>2025</v>
      </c>
      <c r="C101">
        <v>3</v>
      </c>
      <c r="D101" t="s">
        <v>251</v>
      </c>
      <c r="E101">
        <v>31</v>
      </c>
      <c r="F101">
        <v>2</v>
      </c>
      <c r="G101" t="s">
        <v>535</v>
      </c>
      <c r="H101" s="154" t="s">
        <v>424</v>
      </c>
      <c r="I101" s="154" t="s">
        <v>424</v>
      </c>
      <c r="J101" s="154" t="s">
        <v>424</v>
      </c>
      <c r="K101" s="154" t="s">
        <v>424</v>
      </c>
      <c r="L101" s="154" t="s">
        <v>424</v>
      </c>
      <c r="M101" s="154" t="s">
        <v>424</v>
      </c>
      <c r="N101" s="154" t="s">
        <v>424</v>
      </c>
      <c r="O101" s="154" t="s">
        <v>424</v>
      </c>
      <c r="P101" s="154" t="s">
        <v>424</v>
      </c>
      <c r="Q101" s="154" t="s">
        <v>424</v>
      </c>
      <c r="R101" s="154" t="s">
        <v>424</v>
      </c>
      <c r="S101" s="154" t="s">
        <v>424</v>
      </c>
      <c r="T101" s="154">
        <v>0.75</v>
      </c>
      <c r="U101" s="154">
        <v>0.75</v>
      </c>
      <c r="V101" s="154">
        <v>0.75</v>
      </c>
      <c r="W101" s="154">
        <v>0.75</v>
      </c>
      <c r="X101" s="154">
        <v>0.75</v>
      </c>
      <c r="Y101" s="154">
        <v>0.75</v>
      </c>
      <c r="Z101" s="154" t="s">
        <v>424</v>
      </c>
      <c r="AA101" s="154" t="s">
        <v>424</v>
      </c>
      <c r="AB101" s="154" t="s">
        <v>424</v>
      </c>
      <c r="AC101" s="154" t="s">
        <v>424</v>
      </c>
      <c r="AD101" s="154" t="s">
        <v>424</v>
      </c>
      <c r="AE101" s="154" t="s">
        <v>424</v>
      </c>
      <c r="AF101" s="154" t="s">
        <v>424</v>
      </c>
      <c r="AG101" s="154">
        <v>0.75</v>
      </c>
      <c r="AH101" s="154">
        <v>0.75</v>
      </c>
      <c r="AI101" s="154">
        <v>0.75</v>
      </c>
      <c r="AJ101" s="154">
        <v>0.75</v>
      </c>
      <c r="AK101" s="154" t="s">
        <v>424</v>
      </c>
      <c r="AL101" s="154" t="s">
        <v>424</v>
      </c>
      <c r="AM101" cm="1">
        <f t="array" ref="AM101">SUM(IFERROR(IF((H101:AL101-H100:AL100)*24&gt;=11,1,""),""))</f>
        <v>10</v>
      </c>
      <c r="AO101" cm="1">
        <f t="array" ref="AO101">SUM(IFERROR(MOD((H101:AL101-H100:AL100)*24,11),""))</f>
        <v>0</v>
      </c>
      <c r="AS101">
        <v>97</v>
      </c>
    </row>
    <row r="102" spans="1:46" hidden="1" x14ac:dyDescent="0.25">
      <c r="A102">
        <v>101</v>
      </c>
      <c r="B102">
        <v>2025</v>
      </c>
      <c r="C102">
        <v>3</v>
      </c>
      <c r="D102" t="s">
        <v>251</v>
      </c>
      <c r="E102">
        <v>31</v>
      </c>
      <c r="F102">
        <v>2</v>
      </c>
      <c r="G102" t="s">
        <v>536</v>
      </c>
      <c r="H102" s="154" t="s">
        <v>424</v>
      </c>
      <c r="I102" s="154" t="s">
        <v>424</v>
      </c>
      <c r="J102" s="154" t="s">
        <v>424</v>
      </c>
      <c r="K102" s="154" t="s">
        <v>424</v>
      </c>
      <c r="L102" s="154" t="s">
        <v>424</v>
      </c>
      <c r="M102" s="154" t="s">
        <v>424</v>
      </c>
      <c r="N102" s="154" t="s">
        <v>424</v>
      </c>
      <c r="O102" s="154" t="s">
        <v>424</v>
      </c>
      <c r="P102" s="154" t="s">
        <v>424</v>
      </c>
      <c r="Q102" s="154" t="s">
        <v>424</v>
      </c>
      <c r="R102" s="154" t="s">
        <v>424</v>
      </c>
      <c r="S102" s="154" t="s">
        <v>424</v>
      </c>
      <c r="T102" s="154">
        <v>404573</v>
      </c>
      <c r="U102" s="154">
        <v>404770</v>
      </c>
      <c r="V102" s="154">
        <v>404973</v>
      </c>
      <c r="W102" s="154">
        <v>405175</v>
      </c>
      <c r="X102" s="154">
        <v>405373</v>
      </c>
      <c r="Y102" s="154">
        <v>405573</v>
      </c>
      <c r="Z102" s="154" t="s">
        <v>424</v>
      </c>
      <c r="AA102" s="154" t="s">
        <v>424</v>
      </c>
      <c r="AB102" s="154" t="s">
        <v>424</v>
      </c>
      <c r="AC102" s="154" t="s">
        <v>424</v>
      </c>
      <c r="AD102" s="154" t="s">
        <v>424</v>
      </c>
      <c r="AE102" s="154" t="s">
        <v>424</v>
      </c>
      <c r="AF102" s="154" t="s">
        <v>424</v>
      </c>
      <c r="AG102" s="154">
        <v>405825</v>
      </c>
      <c r="AH102" s="154">
        <v>406004</v>
      </c>
      <c r="AI102" s="154">
        <v>406181</v>
      </c>
      <c r="AJ102" s="154">
        <v>406359</v>
      </c>
      <c r="AK102" s="154" t="s">
        <v>424</v>
      </c>
      <c r="AL102" s="154" t="s">
        <v>424</v>
      </c>
      <c r="AS102">
        <v>98</v>
      </c>
    </row>
    <row r="103" spans="1:46" hidden="1" x14ac:dyDescent="0.25">
      <c r="A103">
        <v>102</v>
      </c>
      <c r="B103">
        <v>2025</v>
      </c>
      <c r="C103">
        <v>3</v>
      </c>
      <c r="D103" t="s">
        <v>251</v>
      </c>
      <c r="E103">
        <v>31</v>
      </c>
      <c r="F103">
        <v>2</v>
      </c>
      <c r="G103" t="s">
        <v>537</v>
      </c>
      <c r="H103" s="154" t="s">
        <v>424</v>
      </c>
      <c r="I103" s="154" t="s">
        <v>424</v>
      </c>
      <c r="J103" s="154" t="s">
        <v>424</v>
      </c>
      <c r="K103" s="154" t="s">
        <v>424</v>
      </c>
      <c r="L103" s="154" t="s">
        <v>424</v>
      </c>
      <c r="M103" s="154" t="s">
        <v>424</v>
      </c>
      <c r="N103" s="154" t="s">
        <v>424</v>
      </c>
      <c r="O103" s="154" t="s">
        <v>424</v>
      </c>
      <c r="P103" s="154" t="s">
        <v>424</v>
      </c>
      <c r="Q103" s="154" t="s">
        <v>424</v>
      </c>
      <c r="R103" s="154" t="s">
        <v>424</v>
      </c>
      <c r="S103" s="154" t="s">
        <v>424</v>
      </c>
      <c r="T103" s="154">
        <v>404770</v>
      </c>
      <c r="U103" s="154">
        <v>404973</v>
      </c>
      <c r="V103" s="154">
        <v>405175</v>
      </c>
      <c r="W103" s="154">
        <v>405373</v>
      </c>
      <c r="X103" s="154">
        <v>405573</v>
      </c>
      <c r="Y103" s="154">
        <v>405769</v>
      </c>
      <c r="Z103" s="154" t="s">
        <v>424</v>
      </c>
      <c r="AA103" s="154" t="s">
        <v>424</v>
      </c>
      <c r="AB103" s="154" t="s">
        <v>424</v>
      </c>
      <c r="AC103" s="154" t="s">
        <v>424</v>
      </c>
      <c r="AD103" s="154" t="s">
        <v>424</v>
      </c>
      <c r="AE103" s="154" t="s">
        <v>424</v>
      </c>
      <c r="AF103" s="154" t="s">
        <v>424</v>
      </c>
      <c r="AG103" s="154">
        <v>406004</v>
      </c>
      <c r="AH103" s="154">
        <v>406181</v>
      </c>
      <c r="AI103" s="154">
        <v>406359</v>
      </c>
      <c r="AJ103" s="154">
        <v>406550</v>
      </c>
      <c r="AK103" s="154" t="s">
        <v>424</v>
      </c>
      <c r="AL103" s="154" t="s">
        <v>424</v>
      </c>
      <c r="AP103" cm="1">
        <f t="array" ref="AP103">IF(AQ103="","",SUM(IFERROR(H103:AL103-H102:AL102,0))*AQ103/100)</f>
        <v>345.78</v>
      </c>
      <c r="AQ103">
        <f>_xlfn.XLOOKUP(D103,log_prices!M:M,log_prices!L:L,,0)</f>
        <v>18</v>
      </c>
      <c r="AS103">
        <v>99</v>
      </c>
      <c r="AT103" cm="1">
        <f t="array" ref="AT103">IF(AQ103="","",SUM(IFERROR(H103:AL103-H102:AL102,0)))</f>
        <v>1921</v>
      </c>
    </row>
    <row r="104" spans="1:46" hidden="1" x14ac:dyDescent="0.25">
      <c r="A104">
        <v>103</v>
      </c>
      <c r="B104">
        <v>2025</v>
      </c>
      <c r="C104">
        <v>3</v>
      </c>
      <c r="D104" t="s">
        <v>268</v>
      </c>
      <c r="E104">
        <v>31</v>
      </c>
      <c r="F104">
        <v>2</v>
      </c>
      <c r="G104" t="s">
        <v>534</v>
      </c>
      <c r="H104" s="154" t="s">
        <v>424</v>
      </c>
      <c r="I104" s="154" t="s">
        <v>424</v>
      </c>
      <c r="J104" s="154" t="s">
        <v>424</v>
      </c>
      <c r="K104" s="154" t="s">
        <v>424</v>
      </c>
      <c r="L104" s="154" t="s">
        <v>424</v>
      </c>
      <c r="M104" s="154" t="s">
        <v>424</v>
      </c>
      <c r="N104" s="154" t="s">
        <v>424</v>
      </c>
      <c r="O104" s="154" t="s">
        <v>424</v>
      </c>
      <c r="P104" s="154" t="s">
        <v>424</v>
      </c>
      <c r="Q104" s="154" t="s">
        <v>424</v>
      </c>
      <c r="R104" s="154" t="s">
        <v>424</v>
      </c>
      <c r="S104" s="154" t="s">
        <v>424</v>
      </c>
      <c r="T104" s="154" t="s">
        <v>424</v>
      </c>
      <c r="U104" s="154" t="s">
        <v>424</v>
      </c>
      <c r="V104" s="154" t="s">
        <v>424</v>
      </c>
      <c r="W104" s="154" t="s">
        <v>424</v>
      </c>
      <c r="X104" s="154" t="s">
        <v>424</v>
      </c>
      <c r="Y104" s="154" t="s">
        <v>424</v>
      </c>
      <c r="Z104" s="154" t="s">
        <v>424</v>
      </c>
      <c r="AA104" s="154" t="s">
        <v>424</v>
      </c>
      <c r="AB104" s="154" t="s">
        <v>424</v>
      </c>
      <c r="AC104" s="154" t="s">
        <v>424</v>
      </c>
      <c r="AD104" s="154" t="s">
        <v>424</v>
      </c>
      <c r="AE104" s="154" t="s">
        <v>424</v>
      </c>
      <c r="AF104" s="154" t="s">
        <v>424</v>
      </c>
      <c r="AG104" s="154">
        <v>0.29166666666666669</v>
      </c>
      <c r="AH104" s="154">
        <v>0.29166666666666669</v>
      </c>
      <c r="AI104" s="154">
        <v>0.29166666666666669</v>
      </c>
      <c r="AJ104" s="154">
        <v>0.29166666666666669</v>
      </c>
      <c r="AK104" s="154" t="s">
        <v>424</v>
      </c>
      <c r="AL104" s="154" t="s">
        <v>424</v>
      </c>
      <c r="AS104">
        <v>100</v>
      </c>
    </row>
    <row r="105" spans="1:46" hidden="1" x14ac:dyDescent="0.25">
      <c r="A105">
        <v>104</v>
      </c>
      <c r="B105">
        <v>2025</v>
      </c>
      <c r="C105">
        <v>3</v>
      </c>
      <c r="D105" t="s">
        <v>268</v>
      </c>
      <c r="E105">
        <v>31</v>
      </c>
      <c r="F105">
        <v>2</v>
      </c>
      <c r="G105" t="s">
        <v>535</v>
      </c>
      <c r="H105" s="154" t="s">
        <v>424</v>
      </c>
      <c r="I105" s="154" t="s">
        <v>424</v>
      </c>
      <c r="J105" s="154" t="s">
        <v>424</v>
      </c>
      <c r="K105" s="154" t="s">
        <v>424</v>
      </c>
      <c r="L105" s="154" t="s">
        <v>424</v>
      </c>
      <c r="M105" s="154" t="s">
        <v>424</v>
      </c>
      <c r="N105" s="154" t="s">
        <v>424</v>
      </c>
      <c r="O105" s="154" t="s">
        <v>424</v>
      </c>
      <c r="P105" s="154" t="s">
        <v>424</v>
      </c>
      <c r="Q105" s="154" t="s">
        <v>424</v>
      </c>
      <c r="R105" s="154" t="s">
        <v>424</v>
      </c>
      <c r="S105" s="154" t="s">
        <v>424</v>
      </c>
      <c r="T105" s="154" t="s">
        <v>424</v>
      </c>
      <c r="U105" s="154" t="s">
        <v>424</v>
      </c>
      <c r="V105" s="154" t="s">
        <v>424</v>
      </c>
      <c r="W105" s="154" t="s">
        <v>424</v>
      </c>
      <c r="X105" s="154" t="s">
        <v>424</v>
      </c>
      <c r="Y105" s="154" t="s">
        <v>424</v>
      </c>
      <c r="Z105" s="154" t="s">
        <v>424</v>
      </c>
      <c r="AA105" s="154" t="s">
        <v>424</v>
      </c>
      <c r="AB105" s="154" t="s">
        <v>424</v>
      </c>
      <c r="AC105" s="154" t="s">
        <v>424</v>
      </c>
      <c r="AD105" s="154" t="s">
        <v>424</v>
      </c>
      <c r="AE105" s="154" t="s">
        <v>424</v>
      </c>
      <c r="AF105" s="154" t="s">
        <v>424</v>
      </c>
      <c r="AG105" s="154">
        <v>0.75</v>
      </c>
      <c r="AH105" s="154">
        <v>0.95833333333333326</v>
      </c>
      <c r="AI105" s="154">
        <v>0.75</v>
      </c>
      <c r="AJ105" s="154">
        <v>0.75</v>
      </c>
      <c r="AK105" s="154" t="s">
        <v>424</v>
      </c>
      <c r="AL105" s="154" t="s">
        <v>424</v>
      </c>
      <c r="AM105" cm="1">
        <f t="array" ref="AM105">SUM(IFERROR(IF((H105:AL105-H104:AL104)*24&gt;=11,1,""),""))</f>
        <v>4</v>
      </c>
      <c r="AO105" cm="1">
        <f t="array" ref="AO105">SUM(IFERROR(MOD((H105:AL105-H104:AL104)*24,11),""))</f>
        <v>4.9999999999999964</v>
      </c>
      <c r="AS105">
        <v>101</v>
      </c>
    </row>
    <row r="106" spans="1:46" hidden="1" x14ac:dyDescent="0.25">
      <c r="A106">
        <v>105</v>
      </c>
      <c r="B106">
        <v>2025</v>
      </c>
      <c r="C106">
        <v>3</v>
      </c>
      <c r="D106" t="s">
        <v>268</v>
      </c>
      <c r="E106">
        <v>31</v>
      </c>
      <c r="F106">
        <v>2</v>
      </c>
      <c r="G106" t="s">
        <v>536</v>
      </c>
      <c r="H106" s="154" t="s">
        <v>424</v>
      </c>
      <c r="I106" s="154" t="s">
        <v>424</v>
      </c>
      <c r="J106" s="154" t="s">
        <v>424</v>
      </c>
      <c r="K106" s="154" t="s">
        <v>424</v>
      </c>
      <c r="L106" s="154" t="s">
        <v>424</v>
      </c>
      <c r="M106" s="154" t="s">
        <v>424</v>
      </c>
      <c r="N106" s="154" t="s">
        <v>424</v>
      </c>
      <c r="O106" s="154" t="s">
        <v>424</v>
      </c>
      <c r="P106" s="154" t="s">
        <v>424</v>
      </c>
      <c r="Q106" s="154" t="s">
        <v>424</v>
      </c>
      <c r="R106" s="154" t="s">
        <v>424</v>
      </c>
      <c r="S106" s="154" t="s">
        <v>424</v>
      </c>
      <c r="T106" s="154" t="s">
        <v>424</v>
      </c>
      <c r="U106" s="154" t="s">
        <v>424</v>
      </c>
      <c r="V106" s="154" t="s">
        <v>424</v>
      </c>
      <c r="W106" s="154" t="s">
        <v>424</v>
      </c>
      <c r="X106" s="154" t="s">
        <v>424</v>
      </c>
      <c r="Y106" s="154" t="s">
        <v>424</v>
      </c>
      <c r="Z106" s="154" t="s">
        <v>424</v>
      </c>
      <c r="AA106" s="154" t="s">
        <v>424</v>
      </c>
      <c r="AB106" s="154" t="s">
        <v>424</v>
      </c>
      <c r="AC106" s="154" t="s">
        <v>424</v>
      </c>
      <c r="AD106" s="154" t="s">
        <v>424</v>
      </c>
      <c r="AE106" s="154" t="s">
        <v>424</v>
      </c>
      <c r="AF106" s="154" t="s">
        <v>424</v>
      </c>
      <c r="AG106" s="154">
        <v>22006</v>
      </c>
      <c r="AH106" s="154">
        <v>22082</v>
      </c>
      <c r="AI106" s="154">
        <v>22161</v>
      </c>
      <c r="AJ106" s="154">
        <v>22232</v>
      </c>
      <c r="AK106" s="154" t="s">
        <v>424</v>
      </c>
      <c r="AL106" s="154" t="s">
        <v>424</v>
      </c>
      <c r="AS106">
        <v>102</v>
      </c>
    </row>
    <row r="107" spans="1:46" hidden="1" x14ac:dyDescent="0.25">
      <c r="A107">
        <v>106</v>
      </c>
      <c r="B107">
        <v>2025</v>
      </c>
      <c r="C107">
        <v>3</v>
      </c>
      <c r="D107" t="s">
        <v>268</v>
      </c>
      <c r="E107">
        <v>31</v>
      </c>
      <c r="F107">
        <v>2</v>
      </c>
      <c r="G107" t="s">
        <v>537</v>
      </c>
      <c r="H107" s="154" t="s">
        <v>424</v>
      </c>
      <c r="I107" s="154" t="s">
        <v>424</v>
      </c>
      <c r="J107" s="154" t="s">
        <v>424</v>
      </c>
      <c r="K107" s="154" t="s">
        <v>424</v>
      </c>
      <c r="L107" s="154" t="s">
        <v>424</v>
      </c>
      <c r="M107" s="154" t="s">
        <v>424</v>
      </c>
      <c r="N107" s="154" t="s">
        <v>424</v>
      </c>
      <c r="O107" s="154" t="s">
        <v>424</v>
      </c>
      <c r="P107" s="154" t="s">
        <v>424</v>
      </c>
      <c r="Q107" s="154" t="s">
        <v>424</v>
      </c>
      <c r="R107" s="154" t="s">
        <v>424</v>
      </c>
      <c r="S107" s="154" t="s">
        <v>424</v>
      </c>
      <c r="T107" s="154" t="s">
        <v>424</v>
      </c>
      <c r="U107" s="154" t="s">
        <v>424</v>
      </c>
      <c r="V107" s="154" t="s">
        <v>424</v>
      </c>
      <c r="W107" s="154" t="s">
        <v>424</v>
      </c>
      <c r="X107" s="154" t="s">
        <v>424</v>
      </c>
      <c r="Y107" s="154" t="s">
        <v>424</v>
      </c>
      <c r="Z107" s="154" t="s">
        <v>424</v>
      </c>
      <c r="AA107" s="154" t="s">
        <v>424</v>
      </c>
      <c r="AB107" s="154" t="s">
        <v>424</v>
      </c>
      <c r="AC107" s="154" t="s">
        <v>424</v>
      </c>
      <c r="AD107" s="154" t="s">
        <v>424</v>
      </c>
      <c r="AE107" s="154" t="s">
        <v>424</v>
      </c>
      <c r="AF107" s="154" t="s">
        <v>424</v>
      </c>
      <c r="AG107" s="154">
        <v>22082</v>
      </c>
      <c r="AH107" s="154">
        <v>22157</v>
      </c>
      <c r="AI107" s="154">
        <v>22232</v>
      </c>
      <c r="AJ107" s="154">
        <v>22305</v>
      </c>
      <c r="AK107" s="154" t="s">
        <v>424</v>
      </c>
      <c r="AL107" s="154" t="s">
        <v>424</v>
      </c>
      <c r="AP107" cm="1">
        <f t="array" ref="AP107">IF(AQ107="","",SUM(IFERROR(H107:AL107-H106:AL106,0))*AQ107/100)</f>
        <v>44.25</v>
      </c>
      <c r="AQ107">
        <f>_xlfn.XLOOKUP(D107,log_prices!M:M,log_prices!L:L,,0)</f>
        <v>15</v>
      </c>
      <c r="AS107">
        <v>103</v>
      </c>
      <c r="AT107" cm="1">
        <f t="array" ref="AT107">IF(AQ107="","",SUM(IFERROR(H107:AL107-H106:AL106,0)))</f>
        <v>295</v>
      </c>
    </row>
    <row r="108" spans="1:46" hidden="1" x14ac:dyDescent="0.25">
      <c r="A108">
        <v>107</v>
      </c>
      <c r="B108">
        <v>2025</v>
      </c>
      <c r="C108">
        <v>3</v>
      </c>
      <c r="D108" t="s">
        <v>252</v>
      </c>
      <c r="E108">
        <v>31</v>
      </c>
      <c r="F108">
        <v>2</v>
      </c>
      <c r="G108" t="s">
        <v>534</v>
      </c>
      <c r="H108" s="154" t="s">
        <v>424</v>
      </c>
      <c r="I108" s="154" t="s">
        <v>424</v>
      </c>
      <c r="J108" s="154" t="s">
        <v>424</v>
      </c>
      <c r="K108" s="154" t="s">
        <v>424</v>
      </c>
      <c r="L108" s="154" t="s">
        <v>424</v>
      </c>
      <c r="M108" s="154" t="s">
        <v>424</v>
      </c>
      <c r="N108" s="154" t="s">
        <v>424</v>
      </c>
      <c r="O108" s="154" t="s">
        <v>424</v>
      </c>
      <c r="P108" s="154" t="s">
        <v>424</v>
      </c>
      <c r="Q108" s="154" t="s">
        <v>424</v>
      </c>
      <c r="R108" s="154" t="s">
        <v>424</v>
      </c>
      <c r="S108" s="154" t="s">
        <v>424</v>
      </c>
      <c r="T108" s="154" t="s">
        <v>424</v>
      </c>
      <c r="U108" s="154" t="s">
        <v>424</v>
      </c>
      <c r="V108" s="154">
        <v>0.29166666666666669</v>
      </c>
      <c r="W108" s="154">
        <v>0.29166666666666669</v>
      </c>
      <c r="X108" s="154">
        <v>0.29166666666666669</v>
      </c>
      <c r="Y108" s="154">
        <v>0.29166666666666669</v>
      </c>
      <c r="Z108" s="154" t="s">
        <v>424</v>
      </c>
      <c r="AA108" s="154" t="s">
        <v>424</v>
      </c>
      <c r="AB108" s="154" t="s">
        <v>424</v>
      </c>
      <c r="AC108" s="154">
        <v>0.29166666666666669</v>
      </c>
      <c r="AD108" s="154">
        <v>0.29166666666666669</v>
      </c>
      <c r="AE108" s="154">
        <v>0.29166666666666669</v>
      </c>
      <c r="AF108" s="154">
        <v>0.29166666666666669</v>
      </c>
      <c r="AG108" s="154">
        <v>0.29166666666666669</v>
      </c>
      <c r="AH108" s="154">
        <v>0.29166666666666669</v>
      </c>
      <c r="AI108" s="154">
        <v>0.29166666666666669</v>
      </c>
      <c r="AJ108" s="154">
        <v>0.29166666666666669</v>
      </c>
      <c r="AK108" s="154">
        <v>0.29166666666666669</v>
      </c>
      <c r="AL108" s="154">
        <v>0.29166666666666669</v>
      </c>
      <c r="AS108">
        <v>104</v>
      </c>
    </row>
    <row r="109" spans="1:46" hidden="1" x14ac:dyDescent="0.25">
      <c r="A109">
        <v>108</v>
      </c>
      <c r="B109">
        <v>2025</v>
      </c>
      <c r="C109">
        <v>3</v>
      </c>
      <c r="D109" t="s">
        <v>252</v>
      </c>
      <c r="E109">
        <v>31</v>
      </c>
      <c r="F109">
        <v>2</v>
      </c>
      <c r="G109" t="s">
        <v>535</v>
      </c>
      <c r="H109" s="154" t="s">
        <v>424</v>
      </c>
      <c r="I109" s="154" t="s">
        <v>424</v>
      </c>
      <c r="J109" s="154" t="s">
        <v>424</v>
      </c>
      <c r="K109" s="154" t="s">
        <v>424</v>
      </c>
      <c r="L109" s="154" t="s">
        <v>424</v>
      </c>
      <c r="M109" s="154" t="s">
        <v>424</v>
      </c>
      <c r="N109" s="154" t="s">
        <v>424</v>
      </c>
      <c r="O109" s="154" t="s">
        <v>424</v>
      </c>
      <c r="P109" s="154" t="s">
        <v>424</v>
      </c>
      <c r="Q109" s="154" t="s">
        <v>424</v>
      </c>
      <c r="R109" s="154" t="s">
        <v>424</v>
      </c>
      <c r="S109" s="154" t="s">
        <v>424</v>
      </c>
      <c r="T109" s="154" t="s">
        <v>424</v>
      </c>
      <c r="U109" s="154" t="s">
        <v>424</v>
      </c>
      <c r="V109" s="154">
        <v>0.75</v>
      </c>
      <c r="W109" s="154">
        <v>0.75</v>
      </c>
      <c r="X109" s="154">
        <v>0.83333333333333326</v>
      </c>
      <c r="Y109" s="154">
        <v>0.83333333333333326</v>
      </c>
      <c r="Z109" s="154" t="s">
        <v>424</v>
      </c>
      <c r="AA109" s="154" t="s">
        <v>424</v>
      </c>
      <c r="AB109" s="154" t="s">
        <v>424</v>
      </c>
      <c r="AC109" s="154">
        <v>0.83333333333333326</v>
      </c>
      <c r="AD109" s="154">
        <v>0.83333333333333326</v>
      </c>
      <c r="AE109" s="154">
        <v>0.875</v>
      </c>
      <c r="AF109" s="154">
        <v>0.75</v>
      </c>
      <c r="AG109" s="154">
        <v>0.75</v>
      </c>
      <c r="AH109" s="154">
        <v>0.91666666666666674</v>
      </c>
      <c r="AI109" s="154">
        <v>1</v>
      </c>
      <c r="AJ109" s="154">
        <v>0.75</v>
      </c>
      <c r="AK109" s="154">
        <v>0.75</v>
      </c>
      <c r="AL109" s="154">
        <v>0.75</v>
      </c>
      <c r="AM109" cm="1">
        <f t="array" ref="AM109">SUM(IFERROR(IF((H109:AL109-H108:AL108)*24&gt;=11,1,""),""))</f>
        <v>14</v>
      </c>
      <c r="AO109" cm="1">
        <f t="array" ref="AO109">SUM(IFERROR(MOD((H109:AL109-H108:AL108)*24,11),""))</f>
        <v>20.999999999999986</v>
      </c>
      <c r="AS109">
        <v>105</v>
      </c>
    </row>
    <row r="110" spans="1:46" hidden="1" x14ac:dyDescent="0.25">
      <c r="A110">
        <v>109</v>
      </c>
      <c r="B110">
        <v>2025</v>
      </c>
      <c r="C110">
        <v>3</v>
      </c>
      <c r="D110" t="s">
        <v>252</v>
      </c>
      <c r="E110">
        <v>31</v>
      </c>
      <c r="F110">
        <v>2</v>
      </c>
      <c r="G110" t="s">
        <v>536</v>
      </c>
      <c r="H110" s="154" t="s">
        <v>424</v>
      </c>
      <c r="I110" s="154" t="s">
        <v>424</v>
      </c>
      <c r="J110" s="154" t="s">
        <v>424</v>
      </c>
      <c r="K110" s="154" t="s">
        <v>424</v>
      </c>
      <c r="L110" s="154" t="s">
        <v>424</v>
      </c>
      <c r="M110" s="154" t="s">
        <v>424</v>
      </c>
      <c r="N110" s="154" t="s">
        <v>424</v>
      </c>
      <c r="O110" s="154" t="s">
        <v>424</v>
      </c>
      <c r="P110" s="154" t="s">
        <v>424</v>
      </c>
      <c r="Q110" s="154" t="s">
        <v>424</v>
      </c>
      <c r="R110" s="154" t="s">
        <v>424</v>
      </c>
      <c r="S110" s="154" t="s">
        <v>424</v>
      </c>
      <c r="T110" s="154" t="s">
        <v>424</v>
      </c>
      <c r="U110" s="154" t="s">
        <v>424</v>
      </c>
      <c r="V110" s="154">
        <v>92374</v>
      </c>
      <c r="W110" s="154">
        <v>92414</v>
      </c>
      <c r="X110" s="154">
        <v>92430</v>
      </c>
      <c r="Y110" s="154">
        <v>92512</v>
      </c>
      <c r="Z110" s="154" t="s">
        <v>424</v>
      </c>
      <c r="AA110" s="154" t="s">
        <v>424</v>
      </c>
      <c r="AB110" s="154" t="s">
        <v>424</v>
      </c>
      <c r="AC110" s="154">
        <v>92871</v>
      </c>
      <c r="AD110" s="154">
        <v>92931</v>
      </c>
      <c r="AE110" s="154">
        <v>93033</v>
      </c>
      <c r="AF110" s="154">
        <v>93085</v>
      </c>
      <c r="AG110" s="154">
        <v>93111</v>
      </c>
      <c r="AH110" s="154">
        <v>93148</v>
      </c>
      <c r="AI110" s="154">
        <v>93214</v>
      </c>
      <c r="AJ110" s="154">
        <v>93298</v>
      </c>
      <c r="AK110" s="154">
        <v>93422</v>
      </c>
      <c r="AL110" s="154">
        <v>93536</v>
      </c>
      <c r="AS110">
        <v>106</v>
      </c>
    </row>
    <row r="111" spans="1:46" hidden="1" x14ac:dyDescent="0.25">
      <c r="A111">
        <v>110</v>
      </c>
      <c r="B111">
        <v>2025</v>
      </c>
      <c r="C111">
        <v>3</v>
      </c>
      <c r="D111" t="s">
        <v>252</v>
      </c>
      <c r="E111">
        <v>31</v>
      </c>
      <c r="F111">
        <v>2</v>
      </c>
      <c r="G111" t="s">
        <v>537</v>
      </c>
      <c r="H111" s="154" t="s">
        <v>424</v>
      </c>
      <c r="I111" s="154" t="s">
        <v>424</v>
      </c>
      <c r="J111" s="154" t="s">
        <v>424</v>
      </c>
      <c r="K111" s="154" t="s">
        <v>424</v>
      </c>
      <c r="L111" s="154" t="s">
        <v>424</v>
      </c>
      <c r="M111" s="154" t="s">
        <v>424</v>
      </c>
      <c r="N111" s="154" t="s">
        <v>424</v>
      </c>
      <c r="O111" s="154" t="s">
        <v>424</v>
      </c>
      <c r="P111" s="154" t="s">
        <v>424</v>
      </c>
      <c r="Q111" s="154" t="s">
        <v>424</v>
      </c>
      <c r="R111" s="154" t="s">
        <v>424</v>
      </c>
      <c r="S111" s="154" t="s">
        <v>424</v>
      </c>
      <c r="T111" s="154" t="s">
        <v>424</v>
      </c>
      <c r="U111" s="154" t="s">
        <v>424</v>
      </c>
      <c r="V111" s="154">
        <v>92414</v>
      </c>
      <c r="W111" s="154">
        <v>92430</v>
      </c>
      <c r="X111" s="154">
        <v>92512</v>
      </c>
      <c r="Y111" s="154">
        <v>92564</v>
      </c>
      <c r="Z111" s="154" t="s">
        <v>424</v>
      </c>
      <c r="AA111" s="154" t="s">
        <v>424</v>
      </c>
      <c r="AB111" s="154" t="s">
        <v>424</v>
      </c>
      <c r="AC111" s="154">
        <v>92991</v>
      </c>
      <c r="AD111" s="154">
        <v>93026</v>
      </c>
      <c r="AE111" s="154">
        <v>93085</v>
      </c>
      <c r="AF111" s="154">
        <v>93111</v>
      </c>
      <c r="AG111" s="154">
        <v>93125</v>
      </c>
      <c r="AH111" s="154">
        <v>93196</v>
      </c>
      <c r="AI111" s="154">
        <v>93298</v>
      </c>
      <c r="AJ111" s="154">
        <v>93340</v>
      </c>
      <c r="AK111" s="154">
        <v>93536</v>
      </c>
      <c r="AL111" s="154">
        <v>93572</v>
      </c>
      <c r="AP111" cm="1">
        <f t="array" ref="AP111">IF(AQ111="","",SUM(IFERROR(H111:AL111-H110:AL110,0))*AQ111/100)</f>
        <v>123.15</v>
      </c>
      <c r="AQ111">
        <f>_xlfn.XLOOKUP(D111,log_prices!M:M,log_prices!L:L,,0)</f>
        <v>15</v>
      </c>
      <c r="AS111">
        <v>107</v>
      </c>
      <c r="AT111" cm="1">
        <f t="array" ref="AT111">IF(AQ111="","",SUM(IFERROR(H111:AL111-H110:AL110,0)))</f>
        <v>821</v>
      </c>
    </row>
    <row r="112" spans="1:46" hidden="1" x14ac:dyDescent="0.25">
      <c r="A112">
        <v>111</v>
      </c>
      <c r="B112">
        <v>2025</v>
      </c>
      <c r="C112">
        <v>4</v>
      </c>
      <c r="D112" t="s">
        <v>260</v>
      </c>
      <c r="E112">
        <v>31</v>
      </c>
      <c r="F112">
        <v>3</v>
      </c>
      <c r="G112" t="s">
        <v>534</v>
      </c>
      <c r="H112" s="154">
        <v>0.29166666666666669</v>
      </c>
      <c r="I112" s="154">
        <v>0.29166666666666669</v>
      </c>
      <c r="J112" s="154">
        <v>0.29166666666666669</v>
      </c>
      <c r="K112" s="154">
        <v>0.29166666666666669</v>
      </c>
      <c r="L112" s="154">
        <v>0.29166666666666669</v>
      </c>
      <c r="M112" s="154">
        <v>0.29166666666666669</v>
      </c>
      <c r="N112" s="154">
        <v>0.29166666666666669</v>
      </c>
      <c r="O112" s="154">
        <v>0.29166666666666669</v>
      </c>
      <c r="P112" s="154">
        <v>0.29166666666666669</v>
      </c>
      <c r="Q112" s="154">
        <v>0.29166666666666669</v>
      </c>
      <c r="R112" s="154">
        <v>0.29166666666666669</v>
      </c>
      <c r="S112" s="154">
        <v>0.29166666666666669</v>
      </c>
      <c r="T112" s="154" t="s">
        <v>424</v>
      </c>
      <c r="U112" s="154">
        <v>0.29166666666666669</v>
      </c>
      <c r="V112" s="154">
        <v>0.29166666666666669</v>
      </c>
      <c r="W112" s="154">
        <v>0.29166666666666669</v>
      </c>
      <c r="X112" s="154">
        <v>0.29166666666666669</v>
      </c>
      <c r="Y112" s="154">
        <v>0.29166666666666669</v>
      </c>
      <c r="Z112" s="154">
        <v>0.29166666666666669</v>
      </c>
      <c r="AA112" s="154" t="s">
        <v>424</v>
      </c>
      <c r="AB112" s="154">
        <v>0.29166666666666669</v>
      </c>
      <c r="AC112" s="154">
        <v>0.29166666666666669</v>
      </c>
      <c r="AD112" s="154">
        <v>0.29166666666666669</v>
      </c>
      <c r="AE112" s="154">
        <v>0.29166666666666669</v>
      </c>
      <c r="AF112" s="154">
        <v>0.29166666666666669</v>
      </c>
      <c r="AG112" s="154">
        <v>0.29166666666666669</v>
      </c>
      <c r="AH112" s="154">
        <v>0.29166666666666669</v>
      </c>
      <c r="AI112" s="154">
        <v>0.29166666666666669</v>
      </c>
      <c r="AJ112" s="154">
        <v>0.29166666666666669</v>
      </c>
      <c r="AK112" s="154">
        <v>0.29166666666666669</v>
      </c>
      <c r="AL112" s="154" t="s">
        <v>424</v>
      </c>
      <c r="AS112">
        <v>108</v>
      </c>
    </row>
    <row r="113" spans="1:46" hidden="1" x14ac:dyDescent="0.25">
      <c r="A113">
        <v>112</v>
      </c>
      <c r="B113">
        <v>2025</v>
      </c>
      <c r="C113">
        <v>4</v>
      </c>
      <c r="D113" t="s">
        <v>260</v>
      </c>
      <c r="E113">
        <v>31</v>
      </c>
      <c r="F113">
        <v>3</v>
      </c>
      <c r="G113" t="s">
        <v>535</v>
      </c>
      <c r="H113" s="154">
        <v>0.75</v>
      </c>
      <c r="I113" s="154">
        <v>0.75</v>
      </c>
      <c r="J113" s="154">
        <v>0.75</v>
      </c>
      <c r="K113" s="154">
        <v>0.75</v>
      </c>
      <c r="L113" s="154">
        <v>0.75</v>
      </c>
      <c r="M113" s="154">
        <v>0.75</v>
      </c>
      <c r="N113" s="154">
        <v>0.75</v>
      </c>
      <c r="O113" s="154">
        <v>0.75</v>
      </c>
      <c r="P113" s="154">
        <v>0.75</v>
      </c>
      <c r="Q113" s="154">
        <v>0.75</v>
      </c>
      <c r="R113" s="154">
        <v>0.75</v>
      </c>
      <c r="S113" s="154">
        <v>0.75</v>
      </c>
      <c r="T113" s="154" t="s">
        <v>424</v>
      </c>
      <c r="U113" s="154">
        <v>0.75</v>
      </c>
      <c r="V113" s="154">
        <v>0.75</v>
      </c>
      <c r="W113" s="154">
        <v>0.75</v>
      </c>
      <c r="X113" s="154">
        <v>0.75</v>
      </c>
      <c r="Y113" s="154">
        <v>0.75</v>
      </c>
      <c r="Z113" s="154">
        <v>0.75</v>
      </c>
      <c r="AA113" s="154" t="s">
        <v>424</v>
      </c>
      <c r="AB113" s="154">
        <v>0.75</v>
      </c>
      <c r="AC113" s="154">
        <v>0.75</v>
      </c>
      <c r="AD113" s="154">
        <v>0.75</v>
      </c>
      <c r="AE113" s="154">
        <v>0.75</v>
      </c>
      <c r="AF113" s="154">
        <v>0.75</v>
      </c>
      <c r="AG113" s="154">
        <v>0.75</v>
      </c>
      <c r="AH113" s="154">
        <v>0.75</v>
      </c>
      <c r="AI113" s="154">
        <v>0.75</v>
      </c>
      <c r="AJ113" s="154">
        <v>0.75</v>
      </c>
      <c r="AK113" s="154">
        <v>0.75</v>
      </c>
      <c r="AL113" s="154" t="s">
        <v>424</v>
      </c>
      <c r="AM113" cm="1">
        <f t="array" ref="AM113">SUM(IFERROR(IF((H113:AL113-H112:AL112)*24&gt;=11,1,""),""))+5</f>
        <v>33</v>
      </c>
      <c r="AR113" t="s">
        <v>432</v>
      </c>
      <c r="AS113">
        <v>109</v>
      </c>
    </row>
    <row r="114" spans="1:46" hidden="1" x14ac:dyDescent="0.25">
      <c r="A114">
        <v>113</v>
      </c>
      <c r="B114">
        <v>2025</v>
      </c>
      <c r="C114">
        <v>4</v>
      </c>
      <c r="D114" t="s">
        <v>260</v>
      </c>
      <c r="E114">
        <v>31</v>
      </c>
      <c r="F114">
        <v>3</v>
      </c>
      <c r="G114" t="s">
        <v>536</v>
      </c>
      <c r="H114" s="154">
        <v>779535</v>
      </c>
      <c r="I114" s="154">
        <v>779698</v>
      </c>
      <c r="J114" s="154">
        <v>779833</v>
      </c>
      <c r="K114" s="154">
        <v>780031</v>
      </c>
      <c r="L114" s="154">
        <v>780174</v>
      </c>
      <c r="M114" s="154">
        <v>780307</v>
      </c>
      <c r="N114" s="154">
        <v>780668</v>
      </c>
      <c r="O114" s="154">
        <v>780828</v>
      </c>
      <c r="P114" s="154">
        <v>780962</v>
      </c>
      <c r="Q114" s="154">
        <v>781121</v>
      </c>
      <c r="R114" s="154">
        <v>781268</v>
      </c>
      <c r="S114" s="154">
        <v>781434</v>
      </c>
      <c r="T114" s="154" t="s">
        <v>424</v>
      </c>
      <c r="U114" s="154">
        <v>781923</v>
      </c>
      <c r="V114" s="154">
        <v>782058</v>
      </c>
      <c r="W114" s="154">
        <v>782201</v>
      </c>
      <c r="X114" s="154">
        <v>782374</v>
      </c>
      <c r="Y114" s="154">
        <v>782505</v>
      </c>
      <c r="Z114" s="154">
        <v>782687</v>
      </c>
      <c r="AA114" s="154" t="s">
        <v>424</v>
      </c>
      <c r="AB114" s="154">
        <v>782843</v>
      </c>
      <c r="AC114" s="154">
        <v>782963</v>
      </c>
      <c r="AD114" s="154">
        <v>783112</v>
      </c>
      <c r="AE114" s="154">
        <v>783245</v>
      </c>
      <c r="AF114" s="154">
        <v>783460</v>
      </c>
      <c r="AG114" s="154">
        <v>783591</v>
      </c>
      <c r="AH114" s="154">
        <v>783739</v>
      </c>
      <c r="AI114" s="154">
        <v>783899</v>
      </c>
      <c r="AJ114" s="154">
        <v>783957</v>
      </c>
      <c r="AK114" s="154">
        <v>784106</v>
      </c>
      <c r="AL114" s="154" t="s">
        <v>432</v>
      </c>
      <c r="AS114">
        <v>110</v>
      </c>
    </row>
    <row r="115" spans="1:46" hidden="1" x14ac:dyDescent="0.25">
      <c r="A115">
        <v>114</v>
      </c>
      <c r="B115">
        <v>2025</v>
      </c>
      <c r="C115">
        <v>4</v>
      </c>
      <c r="D115" t="s">
        <v>260</v>
      </c>
      <c r="E115">
        <v>31</v>
      </c>
      <c r="F115">
        <v>3</v>
      </c>
      <c r="G115" t="s">
        <v>537</v>
      </c>
      <c r="H115" s="154">
        <v>779698</v>
      </c>
      <c r="I115" s="154">
        <v>779833</v>
      </c>
      <c r="J115" s="154">
        <v>780031</v>
      </c>
      <c r="K115" s="154">
        <v>780174</v>
      </c>
      <c r="L115" s="154">
        <v>780307</v>
      </c>
      <c r="M115" s="154">
        <v>780668</v>
      </c>
      <c r="N115" s="154">
        <v>780828</v>
      </c>
      <c r="O115" s="154">
        <v>780962</v>
      </c>
      <c r="P115" s="154">
        <v>781121</v>
      </c>
      <c r="Q115" s="154">
        <v>781268</v>
      </c>
      <c r="R115" s="154">
        <v>781434</v>
      </c>
      <c r="S115" s="154">
        <v>781693</v>
      </c>
      <c r="T115" s="154" t="s">
        <v>424</v>
      </c>
      <c r="U115" s="154">
        <v>782058</v>
      </c>
      <c r="V115" s="154">
        <v>782201</v>
      </c>
      <c r="W115" s="154">
        <v>782374</v>
      </c>
      <c r="X115" s="154">
        <v>782505</v>
      </c>
      <c r="Y115" s="154">
        <v>782687</v>
      </c>
      <c r="Z115" s="154">
        <v>782843</v>
      </c>
      <c r="AA115" s="154" t="s">
        <v>424</v>
      </c>
      <c r="AB115" s="154">
        <v>782963</v>
      </c>
      <c r="AC115" s="154">
        <v>783112</v>
      </c>
      <c r="AD115" s="154">
        <v>783245</v>
      </c>
      <c r="AE115" s="154">
        <v>783460</v>
      </c>
      <c r="AF115" s="154">
        <v>783591</v>
      </c>
      <c r="AG115" s="154">
        <v>783739</v>
      </c>
      <c r="AH115" s="154">
        <v>783899</v>
      </c>
      <c r="AI115" s="154">
        <v>783957</v>
      </c>
      <c r="AJ115" s="154">
        <v>784106</v>
      </c>
      <c r="AK115" s="154">
        <v>784370</v>
      </c>
      <c r="AL115" s="154" t="s">
        <v>424</v>
      </c>
      <c r="AP115" cm="1">
        <f t="array" ref="AP115">IF(AQ115="","",SUM(IFERROR(H115:AL115-H114:AL114,0))*AQ115/100)</f>
        <v>828.9</v>
      </c>
      <c r="AQ115">
        <f>_xlfn.XLOOKUP(D115,log_prices!M:M,log_prices!L:L,,0)</f>
        <v>18</v>
      </c>
      <c r="AS115">
        <v>111</v>
      </c>
      <c r="AT115" cm="1">
        <f t="array" ref="AT115">IF(AQ115="","",SUM(IFERROR(H115:AL115-H114:AL114,0)))</f>
        <v>4605</v>
      </c>
    </row>
    <row r="116" spans="1:46" hidden="1" x14ac:dyDescent="0.25">
      <c r="A116">
        <v>115</v>
      </c>
      <c r="B116">
        <v>2025</v>
      </c>
      <c r="C116">
        <v>4</v>
      </c>
      <c r="D116" t="s">
        <v>430</v>
      </c>
      <c r="E116">
        <v>31</v>
      </c>
      <c r="F116">
        <v>3</v>
      </c>
      <c r="G116" t="s">
        <v>534</v>
      </c>
      <c r="H116" s="154">
        <v>0.29166666666666669</v>
      </c>
      <c r="I116" s="154">
        <v>0.29166666666666669</v>
      </c>
      <c r="J116" s="154">
        <v>0.29166666666666669</v>
      </c>
      <c r="K116" s="154">
        <v>0.29166666666666669</v>
      </c>
      <c r="L116" s="154">
        <v>0.29166666666666669</v>
      </c>
      <c r="M116" s="154">
        <v>0.29166666666666669</v>
      </c>
      <c r="N116" s="154">
        <v>0.29166666666666669</v>
      </c>
      <c r="O116" s="154">
        <v>0.29166666666666669</v>
      </c>
      <c r="P116" s="154">
        <v>0.29166666666666669</v>
      </c>
      <c r="Q116" s="154">
        <v>0.29166666666666669</v>
      </c>
      <c r="R116" s="154">
        <v>0.29166666666666669</v>
      </c>
      <c r="S116" s="154">
        <v>0.29166666666666669</v>
      </c>
      <c r="T116" s="154">
        <v>0.29166666666666669</v>
      </c>
      <c r="U116" s="154">
        <v>0.29166666666666669</v>
      </c>
      <c r="V116" s="154">
        <v>0.29166666666666669</v>
      </c>
      <c r="W116" s="154">
        <v>0.29166666666666669</v>
      </c>
      <c r="X116" s="154">
        <v>0.29166666666666669</v>
      </c>
      <c r="Y116" s="154">
        <v>0.29166666666666669</v>
      </c>
      <c r="Z116" s="154">
        <v>0.29166666666666669</v>
      </c>
      <c r="AA116" s="154">
        <v>0.29166666666666669</v>
      </c>
      <c r="AB116" s="154">
        <v>0.29166666666666669</v>
      </c>
      <c r="AC116" s="154">
        <v>0.29166666666666669</v>
      </c>
      <c r="AD116" s="154">
        <v>0.29166666666666669</v>
      </c>
      <c r="AE116" s="154">
        <v>0.29166666666666669</v>
      </c>
      <c r="AF116" s="154">
        <v>0.29166666666666669</v>
      </c>
      <c r="AG116" s="154">
        <v>0.29166666666666669</v>
      </c>
      <c r="AH116" s="154">
        <v>0.29166666666666669</v>
      </c>
      <c r="AI116" s="154">
        <v>0.29166666666666669</v>
      </c>
      <c r="AJ116" s="154">
        <v>0.29166666666666669</v>
      </c>
      <c r="AK116" s="154">
        <v>0.29166666666666669</v>
      </c>
      <c r="AL116" s="154" t="s">
        <v>424</v>
      </c>
      <c r="AS116">
        <v>112</v>
      </c>
    </row>
    <row r="117" spans="1:46" hidden="1" x14ac:dyDescent="0.25">
      <c r="A117">
        <v>116</v>
      </c>
      <c r="B117">
        <v>2025</v>
      </c>
      <c r="C117">
        <v>4</v>
      </c>
      <c r="D117" t="s">
        <v>430</v>
      </c>
      <c r="E117">
        <v>31</v>
      </c>
      <c r="F117">
        <v>3</v>
      </c>
      <c r="G117" t="s">
        <v>535</v>
      </c>
      <c r="H117" s="154">
        <v>0.75</v>
      </c>
      <c r="I117" s="154">
        <v>0.75</v>
      </c>
      <c r="J117" s="154">
        <v>0.75</v>
      </c>
      <c r="K117" s="154">
        <v>0.75</v>
      </c>
      <c r="L117" s="154">
        <v>0.75</v>
      </c>
      <c r="M117" s="154">
        <v>0.75</v>
      </c>
      <c r="N117" s="154">
        <v>0.75</v>
      </c>
      <c r="O117" s="154">
        <v>0.75</v>
      </c>
      <c r="P117" s="154">
        <v>0.75</v>
      </c>
      <c r="Q117" s="154">
        <v>0.75</v>
      </c>
      <c r="R117" s="154">
        <v>0.75</v>
      </c>
      <c r="S117" s="154">
        <v>0.75</v>
      </c>
      <c r="T117" s="154">
        <v>0.75</v>
      </c>
      <c r="U117" s="154">
        <v>0.83333333333333326</v>
      </c>
      <c r="V117" s="154">
        <v>0.75</v>
      </c>
      <c r="W117" s="154">
        <v>0.75</v>
      </c>
      <c r="X117" s="154">
        <v>0.83333333333333326</v>
      </c>
      <c r="Y117" s="154">
        <v>0.88749999999999996</v>
      </c>
      <c r="Z117" s="154">
        <v>0.83333333333333326</v>
      </c>
      <c r="AA117" s="154">
        <v>0.83333333333333326</v>
      </c>
      <c r="AB117" s="154">
        <v>0.83333333333333326</v>
      </c>
      <c r="AC117" s="154">
        <v>0.83333333333333326</v>
      </c>
      <c r="AD117" s="154">
        <v>0.75</v>
      </c>
      <c r="AE117" s="154">
        <v>0.75</v>
      </c>
      <c r="AF117" s="154">
        <v>0.75</v>
      </c>
      <c r="AG117" s="154">
        <v>0.75</v>
      </c>
      <c r="AH117" s="154">
        <v>0.75</v>
      </c>
      <c r="AI117" s="154">
        <v>0.75</v>
      </c>
      <c r="AJ117" s="154">
        <v>0.75</v>
      </c>
      <c r="AK117" s="154">
        <v>0.75</v>
      </c>
      <c r="AL117" s="154" t="s">
        <v>424</v>
      </c>
      <c r="AM117" cm="1">
        <f t="array" ref="AM117">SUM(IFERROR(IF((H117:AL117-H116:AL116)*24&gt;=11,1,""),""))</f>
        <v>30</v>
      </c>
      <c r="AO117" cm="1">
        <f t="array" ref="AO117">SUM(IFERROR(MOD((H117:AL117-H116:AL116)*24,11),""))</f>
        <v>15.299999999999976</v>
      </c>
      <c r="AS117">
        <v>113</v>
      </c>
    </row>
    <row r="118" spans="1:46" hidden="1" x14ac:dyDescent="0.25">
      <c r="A118">
        <v>117</v>
      </c>
      <c r="B118">
        <v>2025</v>
      </c>
      <c r="C118">
        <v>4</v>
      </c>
      <c r="D118" t="s">
        <v>430</v>
      </c>
      <c r="E118">
        <v>31</v>
      </c>
      <c r="F118">
        <v>3</v>
      </c>
      <c r="G118" t="s">
        <v>536</v>
      </c>
      <c r="H118" s="154">
        <v>253648</v>
      </c>
      <c r="I118" s="154">
        <v>253734</v>
      </c>
      <c r="J118" s="154">
        <v>253807</v>
      </c>
      <c r="K118" s="154">
        <v>253864</v>
      </c>
      <c r="L118" s="154">
        <v>253931</v>
      </c>
      <c r="M118" s="154">
        <v>253980</v>
      </c>
      <c r="N118" s="154">
        <v>254005</v>
      </c>
      <c r="O118" s="154">
        <v>254083</v>
      </c>
      <c r="P118" s="154">
        <v>254149</v>
      </c>
      <c r="Q118" s="154">
        <v>254201</v>
      </c>
      <c r="R118" s="154">
        <v>254273</v>
      </c>
      <c r="S118" s="154">
        <v>254340</v>
      </c>
      <c r="T118" s="154">
        <v>254409</v>
      </c>
      <c r="U118" s="154">
        <v>254502</v>
      </c>
      <c r="V118" s="154">
        <v>254552</v>
      </c>
      <c r="W118" s="154">
        <v>254626</v>
      </c>
      <c r="X118" s="154">
        <v>254687</v>
      </c>
      <c r="Y118" s="154">
        <v>254745</v>
      </c>
      <c r="Z118" s="154">
        <v>254899</v>
      </c>
      <c r="AA118" s="154">
        <v>255100</v>
      </c>
      <c r="AB118" s="154">
        <v>255302</v>
      </c>
      <c r="AC118" s="154">
        <v>255411</v>
      </c>
      <c r="AD118" s="154">
        <v>255531</v>
      </c>
      <c r="AE118" s="154">
        <v>255767</v>
      </c>
      <c r="AF118" s="154">
        <v>255826</v>
      </c>
      <c r="AG118" s="154">
        <v>255897</v>
      </c>
      <c r="AH118" s="154">
        <v>255980</v>
      </c>
      <c r="AI118" s="154">
        <v>256023</v>
      </c>
      <c r="AJ118" s="154">
        <v>256163</v>
      </c>
      <c r="AK118" s="154">
        <v>256301</v>
      </c>
      <c r="AL118" s="154" t="s">
        <v>424</v>
      </c>
      <c r="AS118">
        <v>114</v>
      </c>
    </row>
    <row r="119" spans="1:46" hidden="1" x14ac:dyDescent="0.25">
      <c r="A119">
        <v>118</v>
      </c>
      <c r="B119">
        <v>2025</v>
      </c>
      <c r="C119">
        <v>4</v>
      </c>
      <c r="D119" t="s">
        <v>430</v>
      </c>
      <c r="E119">
        <v>31</v>
      </c>
      <c r="F119">
        <v>3</v>
      </c>
      <c r="G119" t="s">
        <v>537</v>
      </c>
      <c r="H119" s="154">
        <v>253734</v>
      </c>
      <c r="I119" s="154">
        <v>253807</v>
      </c>
      <c r="J119" s="154">
        <v>253864</v>
      </c>
      <c r="K119" s="154">
        <v>253931</v>
      </c>
      <c r="L119" s="154">
        <v>253980</v>
      </c>
      <c r="M119" s="154">
        <v>254005</v>
      </c>
      <c r="N119" s="154">
        <v>254083</v>
      </c>
      <c r="O119" s="154">
        <v>254149</v>
      </c>
      <c r="P119" s="154">
        <v>254201</v>
      </c>
      <c r="Q119" s="154">
        <v>254273</v>
      </c>
      <c r="R119" s="154">
        <v>254340</v>
      </c>
      <c r="S119" s="154">
        <v>254409</v>
      </c>
      <c r="T119" s="154">
        <v>254502</v>
      </c>
      <c r="U119" s="154">
        <v>254552</v>
      </c>
      <c r="V119" s="154">
        <v>254626</v>
      </c>
      <c r="W119" s="154">
        <v>254687</v>
      </c>
      <c r="X119" s="154">
        <v>254745</v>
      </c>
      <c r="Y119" s="154">
        <v>254899</v>
      </c>
      <c r="Z119" s="154">
        <v>255100</v>
      </c>
      <c r="AA119" s="154">
        <v>255302</v>
      </c>
      <c r="AB119" s="154">
        <v>255411</v>
      </c>
      <c r="AC119" s="154">
        <v>255531</v>
      </c>
      <c r="AD119" s="154">
        <v>255767</v>
      </c>
      <c r="AE119" s="154">
        <v>255826</v>
      </c>
      <c r="AF119" s="154">
        <v>255897</v>
      </c>
      <c r="AG119" s="154">
        <v>255980</v>
      </c>
      <c r="AH119" s="154">
        <v>256023</v>
      </c>
      <c r="AI119" s="154">
        <v>256163</v>
      </c>
      <c r="AJ119" s="154">
        <v>256301</v>
      </c>
      <c r="AK119" s="154">
        <v>256451</v>
      </c>
      <c r="AL119" s="154" t="s">
        <v>424</v>
      </c>
      <c r="AP119" cm="1">
        <f t="array" ref="AP119">IF(AQ119="","",SUM(IFERROR(H119:AL119-H118:AL118,0))*AQ119/100)</f>
        <v>420.45</v>
      </c>
      <c r="AQ119">
        <f>_xlfn.XLOOKUP(D119,log_prices!M:M,log_prices!L:L,,0)</f>
        <v>15</v>
      </c>
      <c r="AS119">
        <v>115</v>
      </c>
      <c r="AT119" cm="1">
        <f t="array" ref="AT119">IF(AQ119="","",SUM(IFERROR(H119:AL119-H118:AL118,0)))</f>
        <v>2803</v>
      </c>
    </row>
    <row r="120" spans="1:46" hidden="1" x14ac:dyDescent="0.25">
      <c r="A120">
        <v>119</v>
      </c>
      <c r="B120">
        <v>2025</v>
      </c>
      <c r="C120">
        <v>4</v>
      </c>
      <c r="D120" t="s">
        <v>242</v>
      </c>
      <c r="E120">
        <v>31</v>
      </c>
      <c r="F120">
        <v>3</v>
      </c>
      <c r="G120" t="s">
        <v>534</v>
      </c>
      <c r="H120" s="154">
        <v>0.29166666666666669</v>
      </c>
      <c r="I120" s="154">
        <v>0.29166666666666669</v>
      </c>
      <c r="J120" s="154">
        <v>0.29166666666666669</v>
      </c>
      <c r="K120" s="154">
        <v>0.29166666666666669</v>
      </c>
      <c r="L120" s="154">
        <v>0.29166666666666669</v>
      </c>
      <c r="M120" s="154">
        <v>0.29166666666666669</v>
      </c>
      <c r="N120" s="154">
        <v>0.29166666666666669</v>
      </c>
      <c r="O120" s="154">
        <v>0.29166666666666669</v>
      </c>
      <c r="P120" s="154">
        <v>0.29166666666666669</v>
      </c>
      <c r="Q120" s="154">
        <v>0.29166666666666669</v>
      </c>
      <c r="R120" s="154">
        <v>0.29166666666666669</v>
      </c>
      <c r="S120" s="154">
        <v>0.29166666666666669</v>
      </c>
      <c r="T120" s="154">
        <v>0.29166666666666669</v>
      </c>
      <c r="U120" s="154">
        <v>0.29166666666666669</v>
      </c>
      <c r="V120" s="154">
        <v>0.29166666666666669</v>
      </c>
      <c r="W120" s="154">
        <v>0.29166666666666669</v>
      </c>
      <c r="X120" s="154">
        <v>0.29166666666666669</v>
      </c>
      <c r="Y120" s="154">
        <v>0.29166666666666669</v>
      </c>
      <c r="Z120" s="154">
        <v>0.29166666666666669</v>
      </c>
      <c r="AA120" s="154">
        <v>0.29166666666666702</v>
      </c>
      <c r="AB120" s="154">
        <v>0.29166666666666702</v>
      </c>
      <c r="AC120" s="154">
        <v>0.29166666666666702</v>
      </c>
      <c r="AD120" s="154">
        <v>0.29166666666666702</v>
      </c>
      <c r="AE120" s="154">
        <v>0.29166666666666669</v>
      </c>
      <c r="AF120" s="154">
        <v>0.29166666666666669</v>
      </c>
      <c r="AG120" s="154">
        <v>0.29166666666666669</v>
      </c>
      <c r="AH120" s="154">
        <v>0.29166666666666669</v>
      </c>
      <c r="AI120" s="154">
        <v>0.29166666666666669</v>
      </c>
      <c r="AJ120" s="154">
        <v>0.29166666666666669</v>
      </c>
      <c r="AK120" s="154">
        <v>0.29166666666666669</v>
      </c>
      <c r="AL120" s="154" t="s">
        <v>424</v>
      </c>
      <c r="AS120">
        <v>116</v>
      </c>
    </row>
    <row r="121" spans="1:46" hidden="1" x14ac:dyDescent="0.25">
      <c r="A121">
        <v>120</v>
      </c>
      <c r="B121">
        <v>2025</v>
      </c>
      <c r="C121">
        <v>4</v>
      </c>
      <c r="D121" t="s">
        <v>242</v>
      </c>
      <c r="E121">
        <v>31</v>
      </c>
      <c r="F121">
        <v>3</v>
      </c>
      <c r="G121" t="s">
        <v>535</v>
      </c>
      <c r="H121" s="154">
        <v>0.83333333333333326</v>
      </c>
      <c r="I121" s="154">
        <v>0.875</v>
      </c>
      <c r="J121" s="154">
        <v>0.875</v>
      </c>
      <c r="K121" s="154">
        <v>0.875</v>
      </c>
      <c r="L121" s="154">
        <v>0.875</v>
      </c>
      <c r="M121" s="154">
        <v>0.875</v>
      </c>
      <c r="N121" s="154">
        <v>0.91666666666666674</v>
      </c>
      <c r="O121" s="154">
        <v>0.91666666666666674</v>
      </c>
      <c r="P121" s="154">
        <v>0.91666666666666674</v>
      </c>
      <c r="Q121" s="154">
        <v>0.91666666666666674</v>
      </c>
      <c r="R121" s="154">
        <v>0.91666666666666674</v>
      </c>
      <c r="S121" s="154">
        <v>0.91666666666666674</v>
      </c>
      <c r="T121" s="154">
        <v>0.91666666666666674</v>
      </c>
      <c r="U121" s="154">
        <v>0.91666666666666674</v>
      </c>
      <c r="V121" s="154">
        <v>0.91666666666666674</v>
      </c>
      <c r="W121" s="154">
        <v>0.91666666666666674</v>
      </c>
      <c r="X121" s="154">
        <v>0.875</v>
      </c>
      <c r="Y121" s="154">
        <v>0.875</v>
      </c>
      <c r="Z121" s="154">
        <v>0.875</v>
      </c>
      <c r="AA121" s="154">
        <v>0.87500000000000033</v>
      </c>
      <c r="AB121" s="154">
        <v>0.87500000000000033</v>
      </c>
      <c r="AC121" s="154">
        <v>0.91666666666666696</v>
      </c>
      <c r="AD121" s="154">
        <v>0.87500000000000033</v>
      </c>
      <c r="AE121" s="154">
        <v>0.875</v>
      </c>
      <c r="AF121" s="154">
        <v>0.875</v>
      </c>
      <c r="AG121" s="154">
        <v>0.875</v>
      </c>
      <c r="AH121" s="154">
        <v>0.875</v>
      </c>
      <c r="AI121" s="154">
        <v>0.875</v>
      </c>
      <c r="AJ121" s="154">
        <v>0.875</v>
      </c>
      <c r="AK121" s="154">
        <v>0.875</v>
      </c>
      <c r="AL121" s="154" t="s">
        <v>424</v>
      </c>
      <c r="AM121" cm="1">
        <f t="array" ref="AM121">SUM(IFERROR(IF((H121:AL121-H120:AL120)*24&gt;=11,1,""),""))</f>
        <v>30</v>
      </c>
      <c r="AO121" cm="1">
        <f t="array" ref="AO121">SUM(IFERROR(MOD((H121:AL121-H120:AL120)*24,11),""))</f>
        <v>99.999999999999986</v>
      </c>
      <c r="AS121">
        <v>117</v>
      </c>
    </row>
    <row r="122" spans="1:46" hidden="1" x14ac:dyDescent="0.25">
      <c r="A122">
        <v>121</v>
      </c>
      <c r="B122">
        <v>2025</v>
      </c>
      <c r="C122">
        <v>4</v>
      </c>
      <c r="D122" t="s">
        <v>242</v>
      </c>
      <c r="E122">
        <v>31</v>
      </c>
      <c r="F122">
        <v>3</v>
      </c>
      <c r="G122" t="s">
        <v>536</v>
      </c>
      <c r="H122" s="154">
        <v>11953</v>
      </c>
      <c r="I122" s="154">
        <v>12046</v>
      </c>
      <c r="J122" s="154">
        <v>12257</v>
      </c>
      <c r="K122" s="154">
        <v>12500</v>
      </c>
      <c r="L122" s="154">
        <v>12742</v>
      </c>
      <c r="M122" s="154">
        <v>12981</v>
      </c>
      <c r="N122" s="154">
        <v>13129</v>
      </c>
      <c r="O122" s="154">
        <v>13303</v>
      </c>
      <c r="P122" s="154">
        <v>13472</v>
      </c>
      <c r="Q122" s="154">
        <v>13650</v>
      </c>
      <c r="R122" s="154">
        <v>13843</v>
      </c>
      <c r="S122" s="154">
        <v>14110</v>
      </c>
      <c r="T122" s="154">
        <v>14265</v>
      </c>
      <c r="U122" s="154">
        <v>14518</v>
      </c>
      <c r="V122" s="154">
        <v>14705</v>
      </c>
      <c r="W122" s="154">
        <v>14855</v>
      </c>
      <c r="X122" s="154">
        <v>14992</v>
      </c>
      <c r="Y122" s="154">
        <v>15125</v>
      </c>
      <c r="Z122" s="154">
        <v>15288</v>
      </c>
      <c r="AA122" s="154">
        <v>15481</v>
      </c>
      <c r="AB122" s="154">
        <v>15710</v>
      </c>
      <c r="AC122" s="154">
        <v>15836</v>
      </c>
      <c r="AD122" s="154">
        <v>16073</v>
      </c>
      <c r="AE122" s="154">
        <v>16176</v>
      </c>
      <c r="AF122" s="154">
        <v>16286</v>
      </c>
      <c r="AG122" s="154">
        <v>16526</v>
      </c>
      <c r="AH122" s="154">
        <v>16698</v>
      </c>
      <c r="AI122" s="154">
        <v>16870</v>
      </c>
      <c r="AJ122" s="154">
        <v>17033</v>
      </c>
      <c r="AK122" s="154">
        <v>17293</v>
      </c>
      <c r="AL122" s="154" t="s">
        <v>424</v>
      </c>
      <c r="AS122">
        <v>118</v>
      </c>
    </row>
    <row r="123" spans="1:46" hidden="1" x14ac:dyDescent="0.25">
      <c r="A123">
        <v>122</v>
      </c>
      <c r="B123">
        <v>2025</v>
      </c>
      <c r="C123">
        <v>4</v>
      </c>
      <c r="D123" t="s">
        <v>242</v>
      </c>
      <c r="E123">
        <v>31</v>
      </c>
      <c r="F123">
        <v>3</v>
      </c>
      <c r="G123" t="s">
        <v>537</v>
      </c>
      <c r="H123" s="154">
        <v>12046</v>
      </c>
      <c r="I123" s="154">
        <v>12257</v>
      </c>
      <c r="J123" s="154">
        <v>12500</v>
      </c>
      <c r="K123" s="154">
        <v>12742</v>
      </c>
      <c r="L123" s="154">
        <v>12981</v>
      </c>
      <c r="M123" s="154">
        <v>13129</v>
      </c>
      <c r="N123" s="154">
        <v>13303</v>
      </c>
      <c r="O123" s="154">
        <v>13472</v>
      </c>
      <c r="P123" s="154">
        <v>13650</v>
      </c>
      <c r="Q123" s="154">
        <v>13843</v>
      </c>
      <c r="R123" s="154">
        <v>14110</v>
      </c>
      <c r="S123" s="154">
        <v>14265</v>
      </c>
      <c r="T123" s="154">
        <v>14518</v>
      </c>
      <c r="U123" s="154">
        <v>14705</v>
      </c>
      <c r="V123" s="154">
        <v>14855</v>
      </c>
      <c r="W123" s="154">
        <v>14992</v>
      </c>
      <c r="X123" s="154">
        <v>15125</v>
      </c>
      <c r="Y123" s="154">
        <v>15288</v>
      </c>
      <c r="Z123" s="154">
        <v>15472</v>
      </c>
      <c r="AA123" s="154">
        <v>15641</v>
      </c>
      <c r="AB123" s="154">
        <v>15836</v>
      </c>
      <c r="AC123" s="154">
        <v>15997</v>
      </c>
      <c r="AD123" s="154">
        <v>16176</v>
      </c>
      <c r="AE123" s="154">
        <v>16286</v>
      </c>
      <c r="AF123" s="154">
        <v>16526</v>
      </c>
      <c r="AG123" s="154">
        <v>16698</v>
      </c>
      <c r="AH123" s="154">
        <v>16870</v>
      </c>
      <c r="AI123" s="154">
        <v>17033</v>
      </c>
      <c r="AJ123" s="154">
        <v>17293</v>
      </c>
      <c r="AK123" s="154">
        <v>17461</v>
      </c>
      <c r="AL123" s="154" t="s">
        <v>424</v>
      </c>
      <c r="AP123" cm="1">
        <f t="array" ref="AP123">IF(AQ123="","",SUM(IFERROR(H123:AL123-H122:AL122,0))*AQ123/100)</f>
        <v>803.1</v>
      </c>
      <c r="AQ123">
        <f>_xlfn.XLOOKUP(D123,log_prices!M:M,log_prices!L:L,,0)</f>
        <v>15</v>
      </c>
      <c r="AS123">
        <v>119</v>
      </c>
      <c r="AT123" cm="1">
        <f t="array" ref="AT123">IF(AQ123="","",SUM(IFERROR(H123:AL123-H122:AL122,0)))</f>
        <v>5354</v>
      </c>
    </row>
    <row r="124" spans="1:46" hidden="1" x14ac:dyDescent="0.25">
      <c r="A124">
        <v>123</v>
      </c>
      <c r="B124">
        <v>2025</v>
      </c>
      <c r="C124">
        <v>4</v>
      </c>
      <c r="D124" t="s">
        <v>243</v>
      </c>
      <c r="E124">
        <v>31</v>
      </c>
      <c r="F124">
        <v>3</v>
      </c>
      <c r="G124" t="s">
        <v>534</v>
      </c>
      <c r="H124" s="154">
        <v>0.29166666666666669</v>
      </c>
      <c r="I124" s="154">
        <v>0.29166666666666669</v>
      </c>
      <c r="J124" s="154">
        <v>0.29166666666666669</v>
      </c>
      <c r="K124" s="154">
        <v>0.29166666666666669</v>
      </c>
      <c r="L124" s="154">
        <v>0.29166666666666669</v>
      </c>
      <c r="M124" s="154" t="s">
        <v>424</v>
      </c>
      <c r="N124" s="154">
        <v>0.29166666666666669</v>
      </c>
      <c r="O124" s="154">
        <v>0.29166666666666669</v>
      </c>
      <c r="P124" s="154">
        <v>0.29166666666666669</v>
      </c>
      <c r="Q124" s="154">
        <v>0.29166666666666669</v>
      </c>
      <c r="R124" s="154">
        <v>0.29166666666666669</v>
      </c>
      <c r="S124" s="154">
        <v>0.29166666666666669</v>
      </c>
      <c r="T124" s="154">
        <v>0.29166666666666669</v>
      </c>
      <c r="U124" s="154">
        <v>0.29166666666666669</v>
      </c>
      <c r="V124" s="154">
        <v>0.29166666666666669</v>
      </c>
      <c r="W124" s="154" t="s">
        <v>424</v>
      </c>
      <c r="X124" s="154" t="s">
        <v>424</v>
      </c>
      <c r="Y124" s="154" t="s">
        <v>424</v>
      </c>
      <c r="Z124" s="154" t="s">
        <v>424</v>
      </c>
      <c r="AA124" s="154" t="s">
        <v>424</v>
      </c>
      <c r="AB124" s="154" t="s">
        <v>424</v>
      </c>
      <c r="AC124" s="154" t="s">
        <v>424</v>
      </c>
      <c r="AD124" s="154" t="s">
        <v>424</v>
      </c>
      <c r="AE124" s="154" t="s">
        <v>424</v>
      </c>
      <c r="AF124" s="154" t="s">
        <v>424</v>
      </c>
      <c r="AG124" s="154" t="s">
        <v>424</v>
      </c>
      <c r="AH124" s="154" t="s">
        <v>424</v>
      </c>
      <c r="AI124" s="154" t="s">
        <v>424</v>
      </c>
      <c r="AJ124" s="154" t="s">
        <v>424</v>
      </c>
      <c r="AK124" s="154" t="s">
        <v>424</v>
      </c>
      <c r="AL124" s="154" t="s">
        <v>424</v>
      </c>
      <c r="AS124">
        <v>120</v>
      </c>
    </row>
    <row r="125" spans="1:46" hidden="1" x14ac:dyDescent="0.25">
      <c r="A125">
        <v>124</v>
      </c>
      <c r="B125">
        <v>2025</v>
      </c>
      <c r="C125">
        <v>4</v>
      </c>
      <c r="D125" t="s">
        <v>243</v>
      </c>
      <c r="E125">
        <v>31</v>
      </c>
      <c r="F125">
        <v>3</v>
      </c>
      <c r="G125" t="s">
        <v>535</v>
      </c>
      <c r="H125" s="154">
        <v>0.75</v>
      </c>
      <c r="I125" s="154">
        <v>0.75</v>
      </c>
      <c r="J125" s="154">
        <v>0.75</v>
      </c>
      <c r="K125" s="154">
        <v>0.75</v>
      </c>
      <c r="L125" s="154">
        <v>0.75</v>
      </c>
      <c r="M125" s="154" t="s">
        <v>424</v>
      </c>
      <c r="N125" s="154">
        <v>0.75</v>
      </c>
      <c r="O125" s="154">
        <v>0.75</v>
      </c>
      <c r="P125" s="154">
        <v>0.75</v>
      </c>
      <c r="Q125" s="154">
        <v>0.75</v>
      </c>
      <c r="R125" s="154">
        <v>0.75</v>
      </c>
      <c r="S125" s="154">
        <v>0.75</v>
      </c>
      <c r="T125" s="154">
        <v>0.75</v>
      </c>
      <c r="U125" s="154">
        <v>0.75</v>
      </c>
      <c r="V125" s="154">
        <v>0.75</v>
      </c>
      <c r="W125" s="154" t="s">
        <v>424</v>
      </c>
      <c r="X125" s="154" t="s">
        <v>424</v>
      </c>
      <c r="Y125" s="154" t="s">
        <v>424</v>
      </c>
      <c r="Z125" s="154" t="s">
        <v>424</v>
      </c>
      <c r="AA125" s="154" t="s">
        <v>424</v>
      </c>
      <c r="AB125" s="154" t="s">
        <v>424</v>
      </c>
      <c r="AC125" s="154" t="s">
        <v>424</v>
      </c>
      <c r="AD125" s="154" t="s">
        <v>424</v>
      </c>
      <c r="AE125" s="154" t="s">
        <v>424</v>
      </c>
      <c r="AF125" s="154" t="s">
        <v>424</v>
      </c>
      <c r="AG125" s="154" t="s">
        <v>424</v>
      </c>
      <c r="AH125" s="154" t="s">
        <v>424</v>
      </c>
      <c r="AI125" s="154" t="s">
        <v>424</v>
      </c>
      <c r="AJ125" s="154" t="s">
        <v>424</v>
      </c>
      <c r="AK125" s="154" t="s">
        <v>424</v>
      </c>
      <c r="AL125" s="154" t="s">
        <v>424</v>
      </c>
      <c r="AM125" cm="1">
        <f t="array" ref="AM125">SUM(IFERROR(IF((H125:AL125-H124:AL124)*24&gt;=11,1,""),""))+6</f>
        <v>20</v>
      </c>
      <c r="AO125" cm="1">
        <f t="array" ref="AO125">SUM(IFERROR(MOD((H125:AL125-H124:AL124)*24,11),""))</f>
        <v>0</v>
      </c>
      <c r="AR125" t="s">
        <v>433</v>
      </c>
      <c r="AS125">
        <v>121</v>
      </c>
    </row>
    <row r="126" spans="1:46" hidden="1" x14ac:dyDescent="0.25">
      <c r="A126">
        <v>125</v>
      </c>
      <c r="B126">
        <v>2025</v>
      </c>
      <c r="C126">
        <v>4</v>
      </c>
      <c r="D126" t="s">
        <v>243</v>
      </c>
      <c r="E126">
        <v>31</v>
      </c>
      <c r="F126">
        <v>3</v>
      </c>
      <c r="G126" t="s">
        <v>536</v>
      </c>
      <c r="H126" s="154">
        <v>350842</v>
      </c>
      <c r="I126" s="154">
        <v>350851</v>
      </c>
      <c r="J126" s="154">
        <v>350858</v>
      </c>
      <c r="K126" s="154">
        <v>350881</v>
      </c>
      <c r="L126" s="154">
        <v>350911</v>
      </c>
      <c r="M126" s="154" t="s">
        <v>424</v>
      </c>
      <c r="N126" s="154">
        <v>350916</v>
      </c>
      <c r="O126" s="154">
        <v>350946</v>
      </c>
      <c r="P126" s="154">
        <v>351024</v>
      </c>
      <c r="Q126" s="154">
        <v>351091</v>
      </c>
      <c r="R126" s="154">
        <v>351119</v>
      </c>
      <c r="S126" s="154">
        <v>351122</v>
      </c>
      <c r="T126" s="154">
        <v>351131</v>
      </c>
      <c r="U126" s="154">
        <v>351136</v>
      </c>
      <c r="V126" s="154">
        <v>351144</v>
      </c>
      <c r="W126" s="154" t="s">
        <v>424</v>
      </c>
      <c r="X126" s="154" t="s">
        <v>424</v>
      </c>
      <c r="Y126" s="154" t="s">
        <v>424</v>
      </c>
      <c r="Z126" s="154" t="s">
        <v>424</v>
      </c>
      <c r="AA126" s="154" t="s">
        <v>424</v>
      </c>
      <c r="AB126" s="154" t="s">
        <v>424</v>
      </c>
      <c r="AC126" s="154" t="s">
        <v>424</v>
      </c>
      <c r="AD126" s="154" t="s">
        <v>424</v>
      </c>
      <c r="AE126" s="154" t="s">
        <v>424</v>
      </c>
      <c r="AF126" s="154" t="s">
        <v>424</v>
      </c>
      <c r="AG126" s="154" t="s">
        <v>424</v>
      </c>
      <c r="AH126" s="154" t="s">
        <v>424</v>
      </c>
      <c r="AI126" s="154" t="s">
        <v>424</v>
      </c>
      <c r="AJ126" s="154" t="s">
        <v>424</v>
      </c>
      <c r="AK126" s="154" t="s">
        <v>424</v>
      </c>
      <c r="AS126">
        <v>122</v>
      </c>
    </row>
    <row r="127" spans="1:46" hidden="1" x14ac:dyDescent="0.25">
      <c r="A127">
        <v>126</v>
      </c>
      <c r="B127">
        <v>2025</v>
      </c>
      <c r="C127">
        <v>4</v>
      </c>
      <c r="D127" t="s">
        <v>243</v>
      </c>
      <c r="E127">
        <v>31</v>
      </c>
      <c r="F127">
        <v>3</v>
      </c>
      <c r="G127" t="s">
        <v>537</v>
      </c>
      <c r="H127" s="154">
        <v>350851</v>
      </c>
      <c r="I127" s="154">
        <v>350858</v>
      </c>
      <c r="J127" s="154">
        <v>350881</v>
      </c>
      <c r="K127" s="154">
        <v>350911</v>
      </c>
      <c r="L127" s="154">
        <v>350916</v>
      </c>
      <c r="M127" s="154" t="s">
        <v>424</v>
      </c>
      <c r="N127" s="154">
        <v>350946</v>
      </c>
      <c r="O127" s="154">
        <v>351024</v>
      </c>
      <c r="P127" s="154">
        <v>351091</v>
      </c>
      <c r="Q127" s="154">
        <v>351119</v>
      </c>
      <c r="R127" s="154">
        <v>351122</v>
      </c>
      <c r="S127" s="154">
        <v>351131</v>
      </c>
      <c r="T127" s="154">
        <v>351136</v>
      </c>
      <c r="U127" s="154">
        <v>351144</v>
      </c>
      <c r="V127" s="154">
        <v>351159</v>
      </c>
      <c r="W127" s="154" t="s">
        <v>424</v>
      </c>
      <c r="X127" s="154" t="s">
        <v>424</v>
      </c>
      <c r="Y127" s="154" t="s">
        <v>424</v>
      </c>
      <c r="Z127" s="154" t="s">
        <v>424</v>
      </c>
      <c r="AA127" s="154" t="s">
        <v>424</v>
      </c>
      <c r="AB127" s="154" t="s">
        <v>424</v>
      </c>
      <c r="AC127" s="154" t="s">
        <v>424</v>
      </c>
      <c r="AD127" s="154" t="s">
        <v>424</v>
      </c>
      <c r="AE127" s="154" t="s">
        <v>424</v>
      </c>
      <c r="AF127" s="154" t="s">
        <v>424</v>
      </c>
      <c r="AG127" s="154" t="s">
        <v>424</v>
      </c>
      <c r="AH127" s="154" t="s">
        <v>424</v>
      </c>
      <c r="AI127" s="154" t="s">
        <v>424</v>
      </c>
      <c r="AJ127" s="154" t="s">
        <v>424</v>
      </c>
      <c r="AK127" s="154" t="s">
        <v>424</v>
      </c>
      <c r="AL127" s="154" t="s">
        <v>424</v>
      </c>
      <c r="AM127" t="str" cm="1">
        <f t="array" ref="AM127">IF(AQ127="","",SUM(IFERROR(H127:AL127-H126:AL126,0))*AQ127/100)</f>
        <v/>
      </c>
      <c r="AQ127" t="str">
        <f>_xlfn.XLOOKUP(D127,log_prices!M:M,log_prices!L:L,,0)</f>
        <v/>
      </c>
      <c r="AS127">
        <v>123</v>
      </c>
    </row>
    <row r="128" spans="1:46" hidden="1" x14ac:dyDescent="0.25">
      <c r="A128">
        <v>127</v>
      </c>
      <c r="B128">
        <v>2025</v>
      </c>
      <c r="C128">
        <v>4</v>
      </c>
      <c r="D128" t="s">
        <v>261</v>
      </c>
      <c r="E128">
        <v>31</v>
      </c>
      <c r="F128">
        <v>3</v>
      </c>
      <c r="G128" t="s">
        <v>534</v>
      </c>
      <c r="H128" s="154">
        <v>0.29166666666666669</v>
      </c>
      <c r="I128" s="154">
        <v>0.29166666666666669</v>
      </c>
      <c r="J128" s="154">
        <v>0.29166666666666669</v>
      </c>
      <c r="K128" s="154">
        <v>0.29166666666666669</v>
      </c>
      <c r="L128" s="154">
        <v>0.29166666666666669</v>
      </c>
      <c r="M128" s="154">
        <v>0.29166666666666669</v>
      </c>
      <c r="N128" s="154">
        <v>0.29166666666666669</v>
      </c>
      <c r="O128" s="154">
        <v>0.29166666666666669</v>
      </c>
      <c r="P128" s="154">
        <v>0.29166666666666669</v>
      </c>
      <c r="Q128" s="154">
        <v>0.29166666666666669</v>
      </c>
      <c r="R128" s="154">
        <v>0.29166666666666669</v>
      </c>
      <c r="S128" s="154">
        <v>0.29166666666666669</v>
      </c>
      <c r="T128" s="154">
        <v>0.29166666666666669</v>
      </c>
      <c r="U128" s="154">
        <v>0.29166666666666669</v>
      </c>
      <c r="V128" s="154">
        <v>0.29166666666666669</v>
      </c>
      <c r="W128" s="154">
        <v>0.29166666666666669</v>
      </c>
      <c r="X128" s="154">
        <v>0.29166666666666669</v>
      </c>
      <c r="Y128" s="154">
        <v>0.29166666666666669</v>
      </c>
      <c r="Z128" s="154">
        <v>0.29166666666666669</v>
      </c>
      <c r="AA128" s="154">
        <v>0.29166666666666669</v>
      </c>
      <c r="AB128" s="154">
        <v>0.29166666666666669</v>
      </c>
      <c r="AC128" s="154">
        <v>0.29166666666666669</v>
      </c>
      <c r="AD128" s="154">
        <v>0.29166666666666669</v>
      </c>
      <c r="AE128" s="154">
        <v>0.29166666666666669</v>
      </c>
      <c r="AF128" s="154">
        <v>0.29166666666666669</v>
      </c>
      <c r="AG128" s="154">
        <v>0.29166666666666669</v>
      </c>
      <c r="AH128" s="154">
        <v>0.29166666666666669</v>
      </c>
      <c r="AI128" s="154">
        <v>0.29166666666666669</v>
      </c>
      <c r="AJ128" s="154">
        <v>0.29166666666666669</v>
      </c>
      <c r="AK128" s="154">
        <v>0.29166666666666669</v>
      </c>
      <c r="AL128" s="154" t="s">
        <v>424</v>
      </c>
      <c r="AS128">
        <v>124</v>
      </c>
    </row>
    <row r="129" spans="1:46" hidden="1" x14ac:dyDescent="0.25">
      <c r="A129">
        <v>128</v>
      </c>
      <c r="B129">
        <v>2025</v>
      </c>
      <c r="C129">
        <v>4</v>
      </c>
      <c r="D129" t="s">
        <v>261</v>
      </c>
      <c r="E129">
        <v>31</v>
      </c>
      <c r="F129">
        <v>3</v>
      </c>
      <c r="G129" t="s">
        <v>535</v>
      </c>
      <c r="H129" s="154">
        <v>0.75</v>
      </c>
      <c r="I129" s="154">
        <v>0.75</v>
      </c>
      <c r="J129" s="154">
        <v>0.75</v>
      </c>
      <c r="K129" s="154">
        <v>0.75</v>
      </c>
      <c r="L129" s="154">
        <v>0.75</v>
      </c>
      <c r="M129" s="154">
        <v>0.75</v>
      </c>
      <c r="N129" s="154">
        <v>0.75</v>
      </c>
      <c r="O129" s="154">
        <v>0.75</v>
      </c>
      <c r="P129" s="154">
        <v>0.75</v>
      </c>
      <c r="Q129" s="154">
        <v>0.75</v>
      </c>
      <c r="R129" s="154">
        <v>0.75</v>
      </c>
      <c r="S129" s="154">
        <v>0.75</v>
      </c>
      <c r="T129" s="154">
        <v>0.75</v>
      </c>
      <c r="U129" s="154">
        <v>0.75</v>
      </c>
      <c r="V129" s="154">
        <v>0.75</v>
      </c>
      <c r="W129" s="154">
        <v>0.75</v>
      </c>
      <c r="X129" s="154">
        <v>0.75</v>
      </c>
      <c r="Y129" s="154">
        <v>0.75</v>
      </c>
      <c r="Z129" s="154">
        <v>0.75</v>
      </c>
      <c r="AA129" s="154">
        <v>0.75</v>
      </c>
      <c r="AB129" s="154">
        <v>0.75</v>
      </c>
      <c r="AC129" s="154">
        <v>0.75</v>
      </c>
      <c r="AD129" s="154">
        <v>0.75</v>
      </c>
      <c r="AE129" s="154">
        <v>0.75</v>
      </c>
      <c r="AF129" s="154">
        <v>0.75</v>
      </c>
      <c r="AG129" s="154">
        <v>0.75</v>
      </c>
      <c r="AH129" s="154">
        <v>0.75</v>
      </c>
      <c r="AI129" s="154">
        <v>0.75</v>
      </c>
      <c r="AJ129" s="154">
        <v>0.75</v>
      </c>
      <c r="AK129" s="154">
        <v>0.75</v>
      </c>
      <c r="AL129" s="154">
        <v>0.75</v>
      </c>
      <c r="AM129" cm="1">
        <f t="array" ref="AM129">SUM(IFERROR(IF((H129:AL129-H128:AL128)*24&gt;=11,1,""),""))</f>
        <v>30</v>
      </c>
      <c r="AO129" cm="1">
        <f t="array" ref="AO129">SUM(IFERROR(MOD((H129:AL129-H128:AL128)*24,11),""))</f>
        <v>0</v>
      </c>
      <c r="AS129">
        <v>125</v>
      </c>
    </row>
    <row r="130" spans="1:46" hidden="1" x14ac:dyDescent="0.25">
      <c r="A130">
        <v>129</v>
      </c>
      <c r="B130">
        <v>2025</v>
      </c>
      <c r="C130">
        <v>4</v>
      </c>
      <c r="D130" t="s">
        <v>244</v>
      </c>
      <c r="E130">
        <v>31</v>
      </c>
      <c r="F130">
        <v>3</v>
      </c>
      <c r="G130" t="s">
        <v>534</v>
      </c>
      <c r="H130" s="154">
        <v>0.29166666666666669</v>
      </c>
      <c r="I130" s="154">
        <v>0.29166666666666669</v>
      </c>
      <c r="J130" s="154">
        <v>0.29166666666666669</v>
      </c>
      <c r="K130" s="154">
        <v>0.29166666666666669</v>
      </c>
      <c r="L130" s="154">
        <v>0.29166666666666669</v>
      </c>
      <c r="M130" s="154">
        <v>0.29166666666666669</v>
      </c>
      <c r="N130" s="154">
        <v>0.29166666666666669</v>
      </c>
      <c r="O130" s="154">
        <v>0.29166666666666669</v>
      </c>
      <c r="P130" s="154">
        <v>0.29166666666666669</v>
      </c>
      <c r="Q130" s="154">
        <v>0.29166666666666669</v>
      </c>
      <c r="R130" s="154">
        <v>0.29166666666666669</v>
      </c>
      <c r="S130" s="154">
        <v>0.29166666666666669</v>
      </c>
      <c r="T130" s="154">
        <v>0.29166666666666669</v>
      </c>
      <c r="U130" s="154">
        <v>0.29166666666666669</v>
      </c>
      <c r="V130" s="154">
        <v>0.29166666666666669</v>
      </c>
      <c r="W130" s="154">
        <v>0.29166666666666669</v>
      </c>
      <c r="X130" s="154">
        <v>0.29166666666666669</v>
      </c>
      <c r="Y130" s="154">
        <v>0.29166666666666669</v>
      </c>
      <c r="Z130" s="154">
        <v>0.29166666666666669</v>
      </c>
      <c r="AA130" s="154">
        <v>0.29166666666666669</v>
      </c>
      <c r="AB130" s="154">
        <v>0.29166666666666669</v>
      </c>
      <c r="AC130" s="154">
        <v>0.29166666666666669</v>
      </c>
      <c r="AD130" s="154">
        <v>0.29166666666666669</v>
      </c>
      <c r="AE130" s="154">
        <v>0.29166666666666669</v>
      </c>
      <c r="AF130" s="154">
        <v>0.29166666666666669</v>
      </c>
      <c r="AG130" s="154">
        <v>0.29166666666666669</v>
      </c>
      <c r="AH130" s="154">
        <v>0.29166666666666669</v>
      </c>
      <c r="AI130" s="154">
        <v>0.29166666666666669</v>
      </c>
      <c r="AJ130" s="154">
        <v>0.29166666666666669</v>
      </c>
      <c r="AK130" s="154">
        <v>0.29166666666666669</v>
      </c>
      <c r="AL130" s="154">
        <v>0.29166666666666669</v>
      </c>
      <c r="AS130">
        <v>126</v>
      </c>
    </row>
    <row r="131" spans="1:46" hidden="1" x14ac:dyDescent="0.25">
      <c r="A131">
        <v>130</v>
      </c>
      <c r="B131">
        <v>2025</v>
      </c>
      <c r="C131">
        <v>4</v>
      </c>
      <c r="D131" t="s">
        <v>244</v>
      </c>
      <c r="E131">
        <v>31</v>
      </c>
      <c r="F131">
        <v>3</v>
      </c>
      <c r="G131" t="s">
        <v>535</v>
      </c>
      <c r="H131" s="154">
        <v>0.75</v>
      </c>
      <c r="I131" s="154">
        <v>0.75</v>
      </c>
      <c r="J131" s="154">
        <v>0.95833333333333326</v>
      </c>
      <c r="K131" s="154">
        <v>0.83333333333333326</v>
      </c>
      <c r="L131" s="154">
        <v>0.91666666666666674</v>
      </c>
      <c r="M131" s="154">
        <v>1.0625</v>
      </c>
      <c r="N131" s="154">
        <v>0.75</v>
      </c>
      <c r="O131" s="154">
        <v>0.75</v>
      </c>
      <c r="P131" s="154">
        <v>0.97083333333333321</v>
      </c>
      <c r="Q131" s="154">
        <v>1.0416666666666667</v>
      </c>
      <c r="R131" s="154">
        <v>1.0416666666666667</v>
      </c>
      <c r="S131" s="154">
        <v>0.75</v>
      </c>
      <c r="T131" s="154">
        <v>0.75</v>
      </c>
      <c r="U131" s="154">
        <v>1.0125</v>
      </c>
      <c r="V131" s="154">
        <v>0.9291666666666667</v>
      </c>
      <c r="W131" s="154">
        <v>0.75</v>
      </c>
      <c r="X131" s="154">
        <v>0.75</v>
      </c>
      <c r="Y131" s="154">
        <v>0.83333333333333326</v>
      </c>
      <c r="Z131" s="154">
        <v>0.75</v>
      </c>
      <c r="AA131" s="154">
        <v>0.95833333333333326</v>
      </c>
      <c r="AB131" s="154">
        <v>0.83333333333333326</v>
      </c>
      <c r="AC131" s="154">
        <v>0.75</v>
      </c>
      <c r="AD131" s="154">
        <v>0.83333333333333326</v>
      </c>
      <c r="AE131" s="154">
        <v>0.75</v>
      </c>
      <c r="AF131" s="154">
        <v>0.75</v>
      </c>
      <c r="AG131" s="154">
        <v>0.89375000000000004</v>
      </c>
      <c r="AH131" s="154">
        <v>0.875</v>
      </c>
      <c r="AI131" s="154">
        <v>0.83333333333333326</v>
      </c>
      <c r="AJ131" s="154">
        <v>0.75</v>
      </c>
      <c r="AK131" s="154">
        <v>0.75</v>
      </c>
      <c r="AL131" s="154">
        <v>0.75</v>
      </c>
      <c r="AM131" cm="1">
        <f t="array" ref="AM131">SUM(IFERROR(IF((H131:AL131-H130:AL130)*24&gt;=11,1,""),""))</f>
        <v>31</v>
      </c>
      <c r="AO131" cm="1">
        <f t="array" ref="AO131">SUM(IFERROR(MOD((H131:AL131-H130:AL130)*24,11),""))</f>
        <v>67.84999999999998</v>
      </c>
      <c r="AS131">
        <v>127</v>
      </c>
    </row>
    <row r="132" spans="1:46" hidden="1" x14ac:dyDescent="0.25">
      <c r="A132">
        <v>131</v>
      </c>
      <c r="B132">
        <v>2025</v>
      </c>
      <c r="C132">
        <v>4</v>
      </c>
      <c r="D132" t="s">
        <v>244</v>
      </c>
      <c r="E132">
        <v>31</v>
      </c>
      <c r="F132">
        <v>3</v>
      </c>
      <c r="G132" t="s">
        <v>536</v>
      </c>
      <c r="H132" s="154">
        <v>357221</v>
      </c>
      <c r="I132" s="154">
        <v>357534</v>
      </c>
      <c r="J132" s="154">
        <v>357806</v>
      </c>
      <c r="K132" s="154">
        <v>358168</v>
      </c>
      <c r="L132" s="154">
        <v>358479</v>
      </c>
      <c r="M132" s="154">
        <v>358793</v>
      </c>
      <c r="N132" s="154">
        <v>359236</v>
      </c>
      <c r="O132" s="154">
        <v>359433</v>
      </c>
      <c r="P132" s="154">
        <v>359596</v>
      </c>
      <c r="Q132" s="154">
        <v>359926</v>
      </c>
      <c r="R132" s="154">
        <v>360341</v>
      </c>
      <c r="S132" s="154">
        <v>360654</v>
      </c>
      <c r="T132" s="154">
        <v>360883</v>
      </c>
      <c r="U132" s="154">
        <v>361098</v>
      </c>
      <c r="V132" s="154">
        <v>361495</v>
      </c>
      <c r="W132" s="154">
        <v>361825</v>
      </c>
      <c r="X132" s="154">
        <v>362024</v>
      </c>
      <c r="Y132" s="154">
        <v>362157</v>
      </c>
      <c r="Z132" s="154">
        <v>362504</v>
      </c>
      <c r="AA132" s="154">
        <v>362694</v>
      </c>
      <c r="AB132" s="154">
        <v>362879</v>
      </c>
      <c r="AC132" s="154">
        <v>363128</v>
      </c>
      <c r="AD132" s="154">
        <v>363318</v>
      </c>
      <c r="AE132" s="154">
        <v>363570</v>
      </c>
      <c r="AF132" s="154">
        <v>363718</v>
      </c>
      <c r="AG132" s="154">
        <v>363974</v>
      </c>
      <c r="AH132" s="154">
        <v>364244</v>
      </c>
      <c r="AI132" s="154">
        <v>364573</v>
      </c>
      <c r="AJ132" s="154">
        <v>364814</v>
      </c>
      <c r="AK132" s="154">
        <v>364931</v>
      </c>
      <c r="AL132" s="154">
        <v>356931</v>
      </c>
      <c r="AS132">
        <v>128</v>
      </c>
    </row>
    <row r="133" spans="1:46" hidden="1" x14ac:dyDescent="0.25">
      <c r="A133">
        <v>132</v>
      </c>
      <c r="B133">
        <v>2025</v>
      </c>
      <c r="C133">
        <v>4</v>
      </c>
      <c r="D133" t="s">
        <v>244</v>
      </c>
      <c r="E133">
        <v>31</v>
      </c>
      <c r="F133">
        <v>3</v>
      </c>
      <c r="G133" t="s">
        <v>537</v>
      </c>
      <c r="H133" s="154">
        <v>357488</v>
      </c>
      <c r="I133" s="154">
        <v>357745</v>
      </c>
      <c r="J133" s="154">
        <v>358113</v>
      </c>
      <c r="K133" s="154">
        <v>358429</v>
      </c>
      <c r="L133" s="154">
        <v>358742</v>
      </c>
      <c r="M133" s="154">
        <v>359187</v>
      </c>
      <c r="N133" s="154">
        <v>359383</v>
      </c>
      <c r="O133" s="154">
        <v>359574</v>
      </c>
      <c r="P133" s="154">
        <v>359898</v>
      </c>
      <c r="Q133" s="154">
        <v>360317</v>
      </c>
      <c r="R133" s="154">
        <v>360602</v>
      </c>
      <c r="S133" s="154">
        <v>360822</v>
      </c>
      <c r="T133" s="154">
        <v>361076</v>
      </c>
      <c r="U133" s="154">
        <v>361443</v>
      </c>
      <c r="V133" s="154">
        <v>361776</v>
      </c>
      <c r="W133" s="154">
        <v>361976</v>
      </c>
      <c r="X133" s="154">
        <v>362103</v>
      </c>
      <c r="Y133" s="154">
        <v>362456</v>
      </c>
      <c r="Z133" s="154">
        <v>362640</v>
      </c>
      <c r="AA133" s="154">
        <v>362849</v>
      </c>
      <c r="AB133" s="154">
        <v>363075</v>
      </c>
      <c r="AC133" s="154">
        <v>363265</v>
      </c>
      <c r="AD133" s="154">
        <v>363511</v>
      </c>
      <c r="AE133" s="154">
        <v>363666</v>
      </c>
      <c r="AF133" s="154">
        <v>363918</v>
      </c>
      <c r="AG133" s="154">
        <v>364239</v>
      </c>
      <c r="AH133" s="154">
        <v>364523</v>
      </c>
      <c r="AI133" s="154">
        <v>364764</v>
      </c>
      <c r="AJ133" s="154">
        <v>364895</v>
      </c>
      <c r="AK133" s="154">
        <v>365186</v>
      </c>
      <c r="AL133" s="154">
        <v>357170</v>
      </c>
      <c r="AP133" cm="1">
        <f t="array" ref="AP133">IF(AQ133="","",SUM(IFERROR(H133:AL133-H132:AL132,0))*AQ133/100)</f>
        <v>826.08</v>
      </c>
      <c r="AQ133">
        <f>_xlfn.XLOOKUP(D133,log_prices!M:M,log_prices!L:L,,0)</f>
        <v>12</v>
      </c>
      <c r="AS133">
        <v>129</v>
      </c>
      <c r="AT133" cm="1">
        <f t="array" ref="AT133">IF(AQ133="","",SUM(IFERROR(H133:AL133-H132:AL132,0)))</f>
        <v>6884</v>
      </c>
    </row>
    <row r="134" spans="1:46" hidden="1" x14ac:dyDescent="0.25">
      <c r="A134">
        <v>133</v>
      </c>
      <c r="B134">
        <v>2025</v>
      </c>
      <c r="C134">
        <v>4</v>
      </c>
      <c r="D134" t="s">
        <v>265</v>
      </c>
      <c r="E134">
        <v>31</v>
      </c>
      <c r="F134">
        <v>3</v>
      </c>
      <c r="G134" t="s">
        <v>534</v>
      </c>
      <c r="H134" s="154">
        <v>0.29166666666666669</v>
      </c>
      <c r="I134" s="154">
        <v>0.29166666666666669</v>
      </c>
      <c r="J134" s="154">
        <v>0.29166666666666669</v>
      </c>
      <c r="K134" s="154">
        <v>0.29166666666666669</v>
      </c>
      <c r="L134" s="154">
        <v>0.29166666666666669</v>
      </c>
      <c r="M134" s="154">
        <v>0.29166666666666669</v>
      </c>
      <c r="N134" s="154">
        <v>0.29166666666666669</v>
      </c>
      <c r="O134" s="154">
        <v>0.29166666666666669</v>
      </c>
      <c r="P134" s="154">
        <v>0.29166666666666669</v>
      </c>
      <c r="Q134" s="154">
        <v>0.29166666666666669</v>
      </c>
      <c r="R134" s="154">
        <v>0.29166666666666669</v>
      </c>
      <c r="S134" s="154">
        <v>0.29166666666666669</v>
      </c>
      <c r="T134" s="154">
        <v>0.29166666666666669</v>
      </c>
      <c r="U134" s="154">
        <v>0.29166666666666669</v>
      </c>
      <c r="V134" s="154">
        <v>0.29166666666666669</v>
      </c>
      <c r="W134" s="154">
        <v>0.29166666666666669</v>
      </c>
      <c r="X134" s="154">
        <v>0.29166666666666669</v>
      </c>
      <c r="Y134" s="154">
        <v>0.29166666666666669</v>
      </c>
      <c r="Z134" s="154">
        <v>0.29166666666666669</v>
      </c>
      <c r="AA134" s="154">
        <v>0.29166666666666669</v>
      </c>
      <c r="AB134" s="154">
        <v>0.29166666666666669</v>
      </c>
      <c r="AC134" s="154">
        <v>0.29166666666666669</v>
      </c>
      <c r="AD134" s="154">
        <v>0.29166666666666669</v>
      </c>
      <c r="AE134" s="154">
        <v>0.29166666666666669</v>
      </c>
      <c r="AF134" s="154">
        <v>0.29166666666666669</v>
      </c>
      <c r="AG134" s="154">
        <v>0.29166666666666669</v>
      </c>
      <c r="AH134" s="154">
        <v>0.29166666666666669</v>
      </c>
      <c r="AI134" s="154">
        <v>0.29166666666666669</v>
      </c>
      <c r="AJ134" s="154">
        <v>0.29166666666666669</v>
      </c>
      <c r="AK134" s="154">
        <v>0.29166666666666669</v>
      </c>
      <c r="AL134" s="154" t="s">
        <v>424</v>
      </c>
      <c r="AS134">
        <v>130</v>
      </c>
    </row>
    <row r="135" spans="1:46" hidden="1" x14ac:dyDescent="0.25">
      <c r="A135">
        <v>134</v>
      </c>
      <c r="B135">
        <v>2025</v>
      </c>
      <c r="C135">
        <v>4</v>
      </c>
      <c r="D135" t="s">
        <v>265</v>
      </c>
      <c r="E135">
        <v>31</v>
      </c>
      <c r="F135">
        <v>3</v>
      </c>
      <c r="G135" t="s">
        <v>535</v>
      </c>
      <c r="H135" s="154">
        <v>0.91666666666666674</v>
      </c>
      <c r="I135" s="154">
        <v>0.95833333333333326</v>
      </c>
      <c r="J135" s="154">
        <v>0.75</v>
      </c>
      <c r="K135" s="154">
        <v>0.91666666666666674</v>
      </c>
      <c r="L135" s="154">
        <v>0.91666666666666674</v>
      </c>
      <c r="M135" s="154">
        <v>0.95833333333333326</v>
      </c>
      <c r="N135" s="154">
        <v>0.79166666666666674</v>
      </c>
      <c r="O135" s="154">
        <v>0.95833333333333326</v>
      </c>
      <c r="P135" s="154">
        <v>0.75</v>
      </c>
      <c r="Q135" s="154">
        <v>0.75</v>
      </c>
      <c r="R135" s="154">
        <v>0.875</v>
      </c>
      <c r="S135" s="154">
        <v>0.83333333333333326</v>
      </c>
      <c r="T135" s="154">
        <v>0.83333333333333326</v>
      </c>
      <c r="U135" s="154">
        <v>0.83333333333333326</v>
      </c>
      <c r="V135" s="154">
        <v>0.75</v>
      </c>
      <c r="W135" s="154">
        <v>0.75</v>
      </c>
      <c r="X135" s="154">
        <v>0.75</v>
      </c>
      <c r="Y135" s="154">
        <v>0.79166666666666674</v>
      </c>
      <c r="Z135" s="154">
        <v>0.91666666666666674</v>
      </c>
      <c r="AA135" s="154">
        <v>0.95833333333333326</v>
      </c>
      <c r="AB135" s="154">
        <v>0.875</v>
      </c>
      <c r="AC135" s="154">
        <v>0.95833333333333326</v>
      </c>
      <c r="AD135" s="154">
        <v>0.875</v>
      </c>
      <c r="AE135" s="154">
        <v>0.79166666666666674</v>
      </c>
      <c r="AF135" s="154">
        <v>0.91666666666666674</v>
      </c>
      <c r="AG135" s="154">
        <v>0.79166666666666674</v>
      </c>
      <c r="AH135" s="154">
        <v>0.75</v>
      </c>
      <c r="AI135" s="154">
        <v>0.79166666666666674</v>
      </c>
      <c r="AJ135" s="154">
        <v>0.875</v>
      </c>
      <c r="AK135" s="154">
        <v>0.83333333333333326</v>
      </c>
      <c r="AL135" s="154" t="s">
        <v>424</v>
      </c>
      <c r="AM135" cm="1">
        <f t="array" ref="AM135">SUM(IFERROR(IF((H135:AL135-H134:AL134)*24&gt;=11,1,""),""))</f>
        <v>30</v>
      </c>
      <c r="AO135" cm="1">
        <f t="array" ref="AO135">SUM(IFERROR(MOD((H135:AL135-H134:AL134)*24,11),""))</f>
        <v>69.999999999999986</v>
      </c>
      <c r="AS135">
        <v>131</v>
      </c>
    </row>
    <row r="136" spans="1:46" hidden="1" x14ac:dyDescent="0.25">
      <c r="A136">
        <v>135</v>
      </c>
      <c r="B136">
        <v>2025</v>
      </c>
      <c r="C136">
        <v>4</v>
      </c>
      <c r="D136" t="s">
        <v>265</v>
      </c>
      <c r="E136">
        <v>31</v>
      </c>
      <c r="F136">
        <v>3</v>
      </c>
      <c r="G136" t="s">
        <v>536</v>
      </c>
      <c r="H136" s="154">
        <v>805550</v>
      </c>
      <c r="I136" s="154">
        <v>805637</v>
      </c>
      <c r="J136" s="154">
        <v>805678</v>
      </c>
      <c r="K136" s="154">
        <v>805710</v>
      </c>
      <c r="L136" s="154">
        <v>805788</v>
      </c>
      <c r="M136" s="154">
        <v>805832</v>
      </c>
      <c r="N136" s="154">
        <v>805932</v>
      </c>
      <c r="O136" s="154">
        <v>806038</v>
      </c>
      <c r="P136" s="154">
        <v>806164</v>
      </c>
      <c r="Q136" s="154">
        <v>806232</v>
      </c>
      <c r="R136" s="154">
        <v>806286</v>
      </c>
      <c r="S136" s="154">
        <v>806377</v>
      </c>
      <c r="T136" s="154">
        <v>806500</v>
      </c>
      <c r="U136" s="154">
        <v>806679</v>
      </c>
      <c r="V136" s="154">
        <v>806739</v>
      </c>
      <c r="W136" s="154">
        <v>806789</v>
      </c>
      <c r="X136" s="154">
        <v>806839</v>
      </c>
      <c r="Y136" s="154">
        <v>806881</v>
      </c>
      <c r="Z136" s="154">
        <v>806973</v>
      </c>
      <c r="AA136" s="154">
        <v>807047</v>
      </c>
      <c r="AB136" s="154">
        <v>807157</v>
      </c>
      <c r="AC136" s="154">
        <v>807368</v>
      </c>
      <c r="AD136" s="154">
        <v>807578</v>
      </c>
      <c r="AE136" s="154">
        <v>807645</v>
      </c>
      <c r="AF136" s="154">
        <v>807864</v>
      </c>
      <c r="AG136" s="154">
        <v>807952</v>
      </c>
      <c r="AH136" s="154">
        <v>808064</v>
      </c>
      <c r="AI136" s="154">
        <v>808117</v>
      </c>
      <c r="AJ136" s="154">
        <v>808225</v>
      </c>
      <c r="AK136" s="154">
        <v>808363</v>
      </c>
      <c r="AL136" s="154" t="s">
        <v>424</v>
      </c>
      <c r="AS136">
        <v>132</v>
      </c>
    </row>
    <row r="137" spans="1:46" hidden="1" x14ac:dyDescent="0.25">
      <c r="A137">
        <v>136</v>
      </c>
      <c r="B137">
        <v>2025</v>
      </c>
      <c r="C137">
        <v>4</v>
      </c>
      <c r="D137" t="s">
        <v>265</v>
      </c>
      <c r="E137">
        <v>31</v>
      </c>
      <c r="F137">
        <v>3</v>
      </c>
      <c r="G137" t="s">
        <v>537</v>
      </c>
      <c r="H137" s="154">
        <v>805637</v>
      </c>
      <c r="I137" s="154">
        <v>805678</v>
      </c>
      <c r="J137" s="154">
        <v>805710</v>
      </c>
      <c r="K137" s="154">
        <v>805787</v>
      </c>
      <c r="L137" s="154">
        <v>805832</v>
      </c>
      <c r="M137" s="154">
        <v>805932</v>
      </c>
      <c r="N137" s="154">
        <v>806038</v>
      </c>
      <c r="O137" s="154">
        <v>806164</v>
      </c>
      <c r="P137" s="154">
        <v>806232</v>
      </c>
      <c r="Q137" s="154">
        <v>806286</v>
      </c>
      <c r="R137" s="154">
        <v>806377</v>
      </c>
      <c r="S137" s="154">
        <v>806500</v>
      </c>
      <c r="T137" s="154">
        <v>806679</v>
      </c>
      <c r="U137" s="154">
        <v>806739</v>
      </c>
      <c r="V137" s="154">
        <v>806789</v>
      </c>
      <c r="W137" s="154">
        <v>806839</v>
      </c>
      <c r="X137" s="154">
        <v>806881</v>
      </c>
      <c r="Y137" s="154">
        <v>806973</v>
      </c>
      <c r="Z137" s="154">
        <v>807047</v>
      </c>
      <c r="AA137" s="154">
        <v>807157</v>
      </c>
      <c r="AB137" s="154">
        <v>807368</v>
      </c>
      <c r="AC137" s="154">
        <v>807578</v>
      </c>
      <c r="AD137" s="154">
        <v>807645</v>
      </c>
      <c r="AE137" s="154">
        <v>807864</v>
      </c>
      <c r="AF137" s="154">
        <v>807952</v>
      </c>
      <c r="AG137" s="154">
        <v>808064</v>
      </c>
      <c r="AH137" s="154">
        <v>808117</v>
      </c>
      <c r="AI137" s="154">
        <v>808225</v>
      </c>
      <c r="AJ137" s="154">
        <v>808363</v>
      </c>
      <c r="AK137" s="154">
        <v>808469</v>
      </c>
      <c r="AL137" s="154" t="s">
        <v>424</v>
      </c>
      <c r="AP137" cm="1">
        <f t="array" ref="AP137">IF(AQ137="","",SUM(IFERROR(H137:AL137-H136:AL136,0))*AQ137/100)</f>
        <v>437.7</v>
      </c>
      <c r="AQ137">
        <v>15</v>
      </c>
      <c r="AS137">
        <v>133</v>
      </c>
      <c r="AT137" cm="1">
        <f t="array" ref="AT137">IF(AQ137="","",SUM(IFERROR(H137:AL137-H136:AL136,0)))</f>
        <v>2918</v>
      </c>
    </row>
    <row r="138" spans="1:46" hidden="1" x14ac:dyDescent="0.25">
      <c r="A138">
        <v>137</v>
      </c>
      <c r="B138">
        <v>2025</v>
      </c>
      <c r="C138">
        <v>4</v>
      </c>
      <c r="D138" t="s">
        <v>248</v>
      </c>
      <c r="E138">
        <v>31</v>
      </c>
      <c r="F138">
        <v>3</v>
      </c>
      <c r="G138" t="s">
        <v>534</v>
      </c>
      <c r="H138" s="154">
        <v>0.29166666666666669</v>
      </c>
      <c r="I138" s="154">
        <v>0.29166666666666669</v>
      </c>
      <c r="J138" s="154">
        <v>0.29166666666666669</v>
      </c>
      <c r="K138" s="154">
        <v>0.29166666666666669</v>
      </c>
      <c r="L138" s="154">
        <v>0.29166666666666669</v>
      </c>
      <c r="M138" s="154">
        <v>0.29166666666666669</v>
      </c>
      <c r="N138" s="154">
        <v>0.29166666666666669</v>
      </c>
      <c r="O138" s="154">
        <v>0.29166666666666669</v>
      </c>
      <c r="P138" s="154">
        <v>0.29166666666666669</v>
      </c>
      <c r="Q138" s="154">
        <v>0.29166666666666669</v>
      </c>
      <c r="R138" s="154">
        <v>0.29166666666666669</v>
      </c>
      <c r="S138" s="154">
        <v>0.29166666666666669</v>
      </c>
      <c r="T138" s="154">
        <v>0.29166666666666669</v>
      </c>
      <c r="U138" s="154">
        <v>0.29166666666666669</v>
      </c>
      <c r="V138" s="154">
        <v>0.29166666666666669</v>
      </c>
      <c r="W138" s="154">
        <v>0.29166666666666669</v>
      </c>
      <c r="X138" s="154">
        <v>0.29166666666666669</v>
      </c>
      <c r="Y138" s="154">
        <v>0.29166666666666669</v>
      </c>
      <c r="Z138" s="154">
        <v>0.29166666666666669</v>
      </c>
      <c r="AA138" s="154">
        <v>0.29166666666666669</v>
      </c>
      <c r="AB138" s="154">
        <v>0.29166666666666669</v>
      </c>
      <c r="AC138" s="154">
        <v>0.29166666666666669</v>
      </c>
      <c r="AD138" s="154">
        <v>0.29166666666666669</v>
      </c>
      <c r="AE138" s="154">
        <v>0.29166666666666669</v>
      </c>
      <c r="AF138" s="154">
        <v>0.29166666666666669</v>
      </c>
      <c r="AG138" s="154">
        <v>0.29166666666666669</v>
      </c>
      <c r="AH138" s="154">
        <v>0.29166666666666669</v>
      </c>
      <c r="AI138" s="154">
        <v>0.29166666666666669</v>
      </c>
      <c r="AJ138" s="154">
        <v>0.29166666666666669</v>
      </c>
      <c r="AK138" s="154">
        <v>0.29166666666666669</v>
      </c>
      <c r="AL138" s="154" t="s">
        <v>424</v>
      </c>
      <c r="AS138">
        <v>134</v>
      </c>
    </row>
    <row r="139" spans="1:46" hidden="1" x14ac:dyDescent="0.25">
      <c r="A139">
        <v>138</v>
      </c>
      <c r="B139">
        <v>2025</v>
      </c>
      <c r="C139">
        <v>4</v>
      </c>
      <c r="D139" t="s">
        <v>248</v>
      </c>
      <c r="E139">
        <v>31</v>
      </c>
      <c r="F139">
        <v>3</v>
      </c>
      <c r="G139" t="s">
        <v>535</v>
      </c>
      <c r="H139" s="154">
        <v>0.83333333333333326</v>
      </c>
      <c r="I139" s="154">
        <v>0.75</v>
      </c>
      <c r="J139" s="154">
        <v>0.83333333333333326</v>
      </c>
      <c r="K139" s="154">
        <v>0.75</v>
      </c>
      <c r="L139" s="154">
        <v>0.83333333333333326</v>
      </c>
      <c r="M139" s="154">
        <v>0.75</v>
      </c>
      <c r="N139" s="154">
        <v>0.83333333333333326</v>
      </c>
      <c r="O139" s="154">
        <v>0.83333333333333326</v>
      </c>
      <c r="P139" s="154">
        <v>0.75</v>
      </c>
      <c r="Q139" s="154">
        <v>0.83333333333333326</v>
      </c>
      <c r="R139" s="154">
        <v>0.75</v>
      </c>
      <c r="S139" s="154">
        <v>0.83333333333333326</v>
      </c>
      <c r="T139" s="154">
        <v>0.75</v>
      </c>
      <c r="U139" s="154">
        <v>0.875</v>
      </c>
      <c r="V139" s="154">
        <v>0.83333333333333326</v>
      </c>
      <c r="W139" s="154">
        <v>0.75</v>
      </c>
      <c r="X139" s="154">
        <v>0.875</v>
      </c>
      <c r="Y139" s="154">
        <v>0.75</v>
      </c>
      <c r="Z139" s="154">
        <v>0.875</v>
      </c>
      <c r="AA139" s="154">
        <v>0.75</v>
      </c>
      <c r="AB139" s="154">
        <v>0.75</v>
      </c>
      <c r="AC139" s="154">
        <v>0.875</v>
      </c>
      <c r="AD139" s="154">
        <v>0.95833333333333326</v>
      </c>
      <c r="AE139" s="154">
        <v>0.75</v>
      </c>
      <c r="AF139" s="154">
        <v>0.83333333333333326</v>
      </c>
      <c r="AG139" s="154">
        <v>0.83333333333333326</v>
      </c>
      <c r="AH139" s="154">
        <v>0.75</v>
      </c>
      <c r="AI139" s="154">
        <v>0.75</v>
      </c>
      <c r="AJ139" s="154">
        <v>0.75</v>
      </c>
      <c r="AK139" s="154">
        <v>0.75</v>
      </c>
      <c r="AL139" s="154" t="s">
        <v>424</v>
      </c>
      <c r="AM139" cm="1">
        <f t="array" ref="AM139">SUM(IFERROR(IF((H139:AL139-H138:AL138)*24&gt;=11,1,""),""))</f>
        <v>30</v>
      </c>
      <c r="AO139" cm="1">
        <f t="array" ref="AO139">SUM(IFERROR(MOD((H139:AL139-H138:AL138)*24,11),""))</f>
        <v>36.999999999999957</v>
      </c>
      <c r="AS139">
        <v>135</v>
      </c>
    </row>
    <row r="140" spans="1:46" hidden="1" x14ac:dyDescent="0.25">
      <c r="A140">
        <v>139</v>
      </c>
      <c r="B140">
        <v>2025</v>
      </c>
      <c r="C140">
        <v>4</v>
      </c>
      <c r="D140" t="s">
        <v>248</v>
      </c>
      <c r="E140">
        <v>31</v>
      </c>
      <c r="F140">
        <v>3</v>
      </c>
      <c r="G140" t="s">
        <v>536</v>
      </c>
      <c r="H140" s="154">
        <v>346957</v>
      </c>
      <c r="I140" s="154">
        <v>347020</v>
      </c>
      <c r="J140" s="154">
        <v>347103</v>
      </c>
      <c r="K140" s="154">
        <v>347240</v>
      </c>
      <c r="L140" s="154">
        <v>347390</v>
      </c>
      <c r="M140" s="154">
        <v>347550</v>
      </c>
      <c r="N140" s="154">
        <v>347589</v>
      </c>
      <c r="O140" s="154">
        <v>347699</v>
      </c>
      <c r="P140" s="154">
        <v>347837</v>
      </c>
      <c r="Q140" s="154">
        <v>347968</v>
      </c>
      <c r="R140" s="154">
        <v>348137</v>
      </c>
      <c r="S140" s="154">
        <v>348410</v>
      </c>
      <c r="T140" s="154">
        <v>348461</v>
      </c>
      <c r="U140" s="154">
        <v>348701</v>
      </c>
      <c r="V140" s="154">
        <v>348937</v>
      </c>
      <c r="W140" s="154">
        <v>348969</v>
      </c>
      <c r="X140" s="154">
        <v>349290</v>
      </c>
      <c r="Y140" s="154">
        <v>349500</v>
      </c>
      <c r="Z140" s="154">
        <v>349676</v>
      </c>
      <c r="AA140" s="154">
        <v>349821</v>
      </c>
      <c r="AB140" s="154">
        <v>350069</v>
      </c>
      <c r="AC140" s="154">
        <v>350400</v>
      </c>
      <c r="AD140" s="154">
        <v>350441</v>
      </c>
      <c r="AE140" s="154">
        <v>350588</v>
      </c>
      <c r="AF140" s="154">
        <v>350739</v>
      </c>
      <c r="AG140" s="154">
        <v>350907</v>
      </c>
      <c r="AH140" s="154">
        <v>350950</v>
      </c>
      <c r="AI140" s="154">
        <v>351143</v>
      </c>
      <c r="AJ140" s="154">
        <v>351312</v>
      </c>
      <c r="AK140" s="154">
        <v>351494</v>
      </c>
      <c r="AL140" s="154" t="s">
        <v>424</v>
      </c>
      <c r="AS140">
        <v>136</v>
      </c>
    </row>
    <row r="141" spans="1:46" hidden="1" x14ac:dyDescent="0.25">
      <c r="A141">
        <v>140</v>
      </c>
      <c r="B141">
        <v>2025</v>
      </c>
      <c r="C141">
        <v>4</v>
      </c>
      <c r="D141" t="s">
        <v>248</v>
      </c>
      <c r="E141">
        <v>31</v>
      </c>
      <c r="F141">
        <v>3</v>
      </c>
      <c r="G141" t="s">
        <v>537</v>
      </c>
      <c r="H141" s="154">
        <v>347020</v>
      </c>
      <c r="I141" s="154">
        <v>347103</v>
      </c>
      <c r="J141" s="154">
        <v>347240</v>
      </c>
      <c r="K141" s="154">
        <v>347388</v>
      </c>
      <c r="L141" s="154">
        <v>347550</v>
      </c>
      <c r="M141" s="154">
        <v>347589</v>
      </c>
      <c r="N141" s="154">
        <v>347699</v>
      </c>
      <c r="O141" s="154">
        <v>347826</v>
      </c>
      <c r="P141" s="154">
        <v>347968</v>
      </c>
      <c r="Q141" s="154">
        <v>348092</v>
      </c>
      <c r="R141" s="154">
        <v>348410</v>
      </c>
      <c r="S141" s="154">
        <v>348461</v>
      </c>
      <c r="T141" s="154">
        <v>348596</v>
      </c>
      <c r="U141" s="154">
        <v>348937</v>
      </c>
      <c r="V141" s="154">
        <v>348969</v>
      </c>
      <c r="W141" s="154">
        <v>349067</v>
      </c>
      <c r="X141" s="154">
        <v>349491</v>
      </c>
      <c r="Y141" s="154">
        <v>349654</v>
      </c>
      <c r="Z141" s="154">
        <v>349821</v>
      </c>
      <c r="AA141" s="154">
        <v>349980</v>
      </c>
      <c r="AB141" s="154">
        <v>350400</v>
      </c>
      <c r="AC141" s="154">
        <v>350441</v>
      </c>
      <c r="AD141" s="154">
        <v>350588</v>
      </c>
      <c r="AE141" s="154">
        <v>350733</v>
      </c>
      <c r="AF141" s="154">
        <v>350906</v>
      </c>
      <c r="AG141" s="154">
        <v>350950</v>
      </c>
      <c r="AH141" s="154">
        <v>351143</v>
      </c>
      <c r="AI141" s="154">
        <v>351218</v>
      </c>
      <c r="AJ141" s="154">
        <v>351463</v>
      </c>
      <c r="AK141" s="154">
        <v>351551</v>
      </c>
      <c r="AL141" s="154" t="s">
        <v>424</v>
      </c>
      <c r="AP141" cm="1">
        <f t="array" ref="AP141">IF(AQ141="","",SUM(IFERROR(H141:AL141-H140:AL140,0))*AQ141/100)</f>
        <v>593.4</v>
      </c>
      <c r="AQ141">
        <f>_xlfn.XLOOKUP(D141,log_prices!M:M,log_prices!L:L,,0)</f>
        <v>15</v>
      </c>
      <c r="AS141">
        <v>137</v>
      </c>
      <c r="AT141" cm="1">
        <f t="array" ref="AT141">IF(AQ141="","",SUM(IFERROR(H141:AL141-H140:AL140,0)))</f>
        <v>3956</v>
      </c>
    </row>
    <row r="142" spans="1:46" hidden="1" x14ac:dyDescent="0.25">
      <c r="A142">
        <v>141</v>
      </c>
      <c r="B142">
        <v>2025</v>
      </c>
      <c r="C142">
        <v>4</v>
      </c>
      <c r="D142" t="s">
        <v>249</v>
      </c>
      <c r="E142">
        <v>31</v>
      </c>
      <c r="F142">
        <v>3</v>
      </c>
      <c r="G142" t="s">
        <v>534</v>
      </c>
      <c r="H142" s="154">
        <v>0.29166666666666669</v>
      </c>
      <c r="I142" s="154">
        <v>0.29166666666666669</v>
      </c>
      <c r="J142" s="154">
        <v>0.29166666666666669</v>
      </c>
      <c r="K142" s="154">
        <v>0.29166666666666669</v>
      </c>
      <c r="L142" s="154">
        <v>0.29166666666666669</v>
      </c>
      <c r="M142" s="154">
        <v>0.29166666666666669</v>
      </c>
      <c r="N142" s="154">
        <v>0.29166666666666669</v>
      </c>
      <c r="O142" s="154">
        <v>0.29166666666666669</v>
      </c>
      <c r="P142" s="154">
        <v>0.29166666666666669</v>
      </c>
      <c r="Q142" s="154">
        <v>0.29166666666666669</v>
      </c>
      <c r="R142" s="154">
        <v>0.29166666666666669</v>
      </c>
      <c r="S142" s="154">
        <v>0.29166666666666669</v>
      </c>
      <c r="T142" s="154">
        <v>0.29166666666666669</v>
      </c>
      <c r="U142" s="154">
        <v>0.29166666666666669</v>
      </c>
      <c r="V142" s="154">
        <v>0.29166666666666669</v>
      </c>
      <c r="W142" s="154">
        <v>0.29166666666666669</v>
      </c>
      <c r="X142" s="154">
        <v>0.29166666666666669</v>
      </c>
      <c r="Y142" s="154">
        <v>0.29166666666666669</v>
      </c>
      <c r="Z142" s="154">
        <v>0.29166666666666669</v>
      </c>
      <c r="AA142" s="154">
        <v>0.29166666666666669</v>
      </c>
      <c r="AB142" s="154">
        <v>0.29166666666666669</v>
      </c>
      <c r="AC142" s="154">
        <v>0.29166666666666669</v>
      </c>
      <c r="AD142" s="154">
        <v>0.29166666666666669</v>
      </c>
      <c r="AE142" s="154">
        <v>0.29166666666666669</v>
      </c>
      <c r="AF142" s="154">
        <v>0.29166666666666669</v>
      </c>
      <c r="AG142" s="154">
        <v>0.29166666666666669</v>
      </c>
      <c r="AH142" s="154">
        <v>0.29166666666666669</v>
      </c>
      <c r="AI142" s="154">
        <v>0.29166666666666669</v>
      </c>
      <c r="AJ142" s="154">
        <v>0.29166666666666669</v>
      </c>
      <c r="AK142" s="154">
        <v>0.29166666666666669</v>
      </c>
      <c r="AL142" s="154" t="s">
        <v>424</v>
      </c>
      <c r="AS142">
        <v>138</v>
      </c>
    </row>
    <row r="143" spans="1:46" hidden="1" x14ac:dyDescent="0.25">
      <c r="A143">
        <v>142</v>
      </c>
      <c r="B143">
        <v>2025</v>
      </c>
      <c r="C143">
        <v>4</v>
      </c>
      <c r="D143" t="s">
        <v>249</v>
      </c>
      <c r="E143">
        <v>31</v>
      </c>
      <c r="F143">
        <v>3</v>
      </c>
      <c r="G143" t="s">
        <v>535</v>
      </c>
      <c r="H143" s="154">
        <v>0.75</v>
      </c>
      <c r="I143" s="154">
        <v>0.75</v>
      </c>
      <c r="J143" s="154">
        <v>0.75</v>
      </c>
      <c r="K143" s="154">
        <v>0.75</v>
      </c>
      <c r="L143" s="154">
        <v>0.75</v>
      </c>
      <c r="M143" s="154">
        <v>0.75</v>
      </c>
      <c r="N143" s="154">
        <v>0.75</v>
      </c>
      <c r="O143" s="154">
        <v>0.75</v>
      </c>
      <c r="P143" s="154">
        <v>0.75</v>
      </c>
      <c r="Q143" s="154">
        <v>0.75</v>
      </c>
      <c r="R143" s="154">
        <v>0.75</v>
      </c>
      <c r="S143" s="154">
        <v>0.75</v>
      </c>
      <c r="T143" s="154">
        <v>0.75</v>
      </c>
      <c r="U143" s="154">
        <v>0.75</v>
      </c>
      <c r="V143" s="154">
        <v>0.75</v>
      </c>
      <c r="W143" s="154">
        <v>0.75</v>
      </c>
      <c r="X143" s="154">
        <v>0.75</v>
      </c>
      <c r="Y143" s="154">
        <v>0.75</v>
      </c>
      <c r="Z143" s="154">
        <v>0.75</v>
      </c>
      <c r="AA143" s="154">
        <v>0.75</v>
      </c>
      <c r="AB143" s="154">
        <v>0.75</v>
      </c>
      <c r="AC143" s="154">
        <v>0.75</v>
      </c>
      <c r="AD143" s="154">
        <v>0.75</v>
      </c>
      <c r="AE143" s="154">
        <v>0.75</v>
      </c>
      <c r="AF143" s="154">
        <v>0.75</v>
      </c>
      <c r="AG143" s="154">
        <v>0.75</v>
      </c>
      <c r="AH143" s="154">
        <v>0.75</v>
      </c>
      <c r="AI143" s="154">
        <v>0.75</v>
      </c>
      <c r="AJ143" s="154">
        <v>0.75</v>
      </c>
      <c r="AK143" s="154">
        <v>0.75</v>
      </c>
      <c r="AL143" s="154" t="s">
        <v>424</v>
      </c>
      <c r="AM143" cm="1">
        <f t="array" ref="AM143">SUM(IFERROR(IF((H143:AL143-H142:AL142)*24&gt;=11,1,""),""))</f>
        <v>30</v>
      </c>
      <c r="AO143" cm="1">
        <f t="array" ref="AO143">SUM(IFERROR(MOD((H143:AL143-H142:AL142)*24,11),""))</f>
        <v>0</v>
      </c>
      <c r="AS143">
        <v>139</v>
      </c>
    </row>
    <row r="144" spans="1:46" hidden="1" x14ac:dyDescent="0.25">
      <c r="A144">
        <v>143</v>
      </c>
      <c r="B144">
        <v>2025</v>
      </c>
      <c r="C144">
        <v>4</v>
      </c>
      <c r="D144" t="s">
        <v>249</v>
      </c>
      <c r="E144">
        <v>31</v>
      </c>
      <c r="F144">
        <v>3</v>
      </c>
      <c r="G144" t="s">
        <v>536</v>
      </c>
      <c r="H144" s="154">
        <v>882142</v>
      </c>
      <c r="I144" s="154">
        <v>882211</v>
      </c>
      <c r="J144" s="154">
        <v>882294</v>
      </c>
      <c r="K144" s="154">
        <v>882384</v>
      </c>
      <c r="L144" s="154">
        <v>882447</v>
      </c>
      <c r="M144" s="154">
        <v>882529</v>
      </c>
      <c r="N144" s="154">
        <v>882616</v>
      </c>
      <c r="O144" s="154">
        <v>882703</v>
      </c>
      <c r="P144" s="154">
        <v>882824</v>
      </c>
      <c r="Q144" s="154">
        <v>882936</v>
      </c>
      <c r="R144" s="154">
        <v>883041</v>
      </c>
      <c r="S144" s="154">
        <v>883122</v>
      </c>
      <c r="T144" s="154">
        <v>883237</v>
      </c>
      <c r="U144" s="154">
        <v>883359</v>
      </c>
      <c r="V144" s="154">
        <v>883448</v>
      </c>
      <c r="W144" s="154">
        <v>883596</v>
      </c>
      <c r="X144" s="154">
        <v>883774</v>
      </c>
      <c r="Y144" s="154">
        <v>883863</v>
      </c>
      <c r="Z144" s="154">
        <v>883903</v>
      </c>
      <c r="AA144" s="154">
        <v>883996</v>
      </c>
      <c r="AB144" s="154">
        <v>884098</v>
      </c>
      <c r="AC144" s="154">
        <v>884189</v>
      </c>
      <c r="AD144" s="154">
        <v>884235</v>
      </c>
      <c r="AE144" s="154">
        <v>884327</v>
      </c>
      <c r="AF144" s="154">
        <v>884401</v>
      </c>
      <c r="AG144" s="154">
        <v>884516</v>
      </c>
      <c r="AH144" s="154">
        <v>884606</v>
      </c>
      <c r="AI144" s="154">
        <v>884668</v>
      </c>
      <c r="AJ144" s="154">
        <v>884697</v>
      </c>
      <c r="AK144" s="154">
        <v>884752</v>
      </c>
      <c r="AL144" s="154" t="s">
        <v>424</v>
      </c>
      <c r="AS144">
        <v>140</v>
      </c>
    </row>
    <row r="145" spans="1:46" hidden="1" x14ac:dyDescent="0.25">
      <c r="A145">
        <v>144</v>
      </c>
      <c r="B145">
        <v>2025</v>
      </c>
      <c r="C145">
        <v>4</v>
      </c>
      <c r="D145" t="s">
        <v>249</v>
      </c>
      <c r="E145">
        <v>31</v>
      </c>
      <c r="F145">
        <v>3</v>
      </c>
      <c r="G145" t="s">
        <v>537</v>
      </c>
      <c r="H145" s="154">
        <v>882211</v>
      </c>
      <c r="I145" s="154">
        <v>882294</v>
      </c>
      <c r="J145" s="154">
        <v>882384</v>
      </c>
      <c r="K145" s="154">
        <v>882447</v>
      </c>
      <c r="L145" s="154">
        <v>882529</v>
      </c>
      <c r="M145" s="154">
        <v>882616</v>
      </c>
      <c r="N145" s="154">
        <v>882703</v>
      </c>
      <c r="O145" s="154">
        <v>882824</v>
      </c>
      <c r="P145" s="154">
        <v>882936</v>
      </c>
      <c r="Q145" s="154">
        <v>883041</v>
      </c>
      <c r="R145" s="154">
        <v>883121</v>
      </c>
      <c r="S145" s="154">
        <v>883237</v>
      </c>
      <c r="T145" s="154">
        <v>883358</v>
      </c>
      <c r="U145" s="154">
        <v>883448</v>
      </c>
      <c r="V145" s="154">
        <v>883596</v>
      </c>
      <c r="W145" s="154">
        <v>883774</v>
      </c>
      <c r="X145" s="154">
        <v>883860</v>
      </c>
      <c r="Y145" s="154">
        <v>883903</v>
      </c>
      <c r="Z145" s="154">
        <v>883996</v>
      </c>
      <c r="AA145" s="154">
        <v>884098</v>
      </c>
      <c r="AB145" s="154">
        <v>884189</v>
      </c>
      <c r="AC145" s="154">
        <v>884235</v>
      </c>
      <c r="AD145" s="154">
        <v>884327</v>
      </c>
      <c r="AE145" s="154">
        <v>884401</v>
      </c>
      <c r="AF145" s="154">
        <v>884516</v>
      </c>
      <c r="AG145" s="154">
        <v>884606</v>
      </c>
      <c r="AH145" s="154">
        <v>884668</v>
      </c>
      <c r="AI145" s="154">
        <v>884682</v>
      </c>
      <c r="AJ145" s="154">
        <v>884752</v>
      </c>
      <c r="AK145" s="154">
        <v>884814</v>
      </c>
      <c r="AL145" s="154" t="s">
        <v>424</v>
      </c>
      <c r="AP145" cm="1">
        <f t="array" ref="AP145">IF(AQ145="","",SUM(IFERROR(H145:AL145-H144:AL144,0))*AQ145/100)</f>
        <v>397.8</v>
      </c>
      <c r="AQ145">
        <f>_xlfn.XLOOKUP(D145,log_prices!M:M,log_prices!L:L,,0)</f>
        <v>15</v>
      </c>
      <c r="AS145">
        <v>141</v>
      </c>
      <c r="AT145" cm="1">
        <f t="array" ref="AT145">IF(AQ145="","",SUM(IFERROR(H145:AL145-H144:AL144,0)))</f>
        <v>2652</v>
      </c>
    </row>
    <row r="146" spans="1:46" hidden="1" x14ac:dyDescent="0.25">
      <c r="A146">
        <v>145</v>
      </c>
      <c r="B146">
        <v>2025</v>
      </c>
      <c r="C146">
        <v>4</v>
      </c>
      <c r="D146" t="s">
        <v>266</v>
      </c>
      <c r="E146">
        <v>31</v>
      </c>
      <c r="F146">
        <v>3</v>
      </c>
      <c r="G146" t="s">
        <v>534</v>
      </c>
      <c r="H146" s="154">
        <v>0.29166666666666669</v>
      </c>
      <c r="I146" s="154">
        <v>0.29166666666666669</v>
      </c>
      <c r="J146" s="154">
        <v>0.29166666666666669</v>
      </c>
      <c r="K146" s="154">
        <v>0.29166666666666669</v>
      </c>
      <c r="L146" s="154">
        <v>0.29166666666666669</v>
      </c>
      <c r="M146" s="154">
        <v>0.29166666666666669</v>
      </c>
      <c r="N146" s="154">
        <v>0.29166666666666669</v>
      </c>
      <c r="O146" s="154">
        <v>0.29166666666666669</v>
      </c>
      <c r="P146" s="154">
        <v>0.29166666666666669</v>
      </c>
      <c r="Q146" s="154">
        <v>0.29166666666666669</v>
      </c>
      <c r="R146" s="154">
        <v>0.29166666666666669</v>
      </c>
      <c r="S146" s="154">
        <v>0.29166666666666669</v>
      </c>
      <c r="T146" s="154">
        <v>0.29166666666666669</v>
      </c>
      <c r="U146" s="154">
        <v>0.29166666666666669</v>
      </c>
      <c r="V146" s="154">
        <v>0.29166666666666669</v>
      </c>
      <c r="W146" s="154">
        <v>0.29166666666666669</v>
      </c>
      <c r="X146" s="154">
        <v>0.29166666666666669</v>
      </c>
      <c r="Y146" s="154">
        <v>0.29166666666666669</v>
      </c>
      <c r="Z146" s="154">
        <v>0.29166666666666669</v>
      </c>
      <c r="AA146" s="154">
        <v>0.29166666666666669</v>
      </c>
      <c r="AB146" s="154">
        <v>0.29166666666666669</v>
      </c>
      <c r="AC146" s="154">
        <v>0.29166666666666669</v>
      </c>
      <c r="AD146" s="154">
        <v>0.29166666666666669</v>
      </c>
      <c r="AE146" s="154">
        <v>0.29166666666666669</v>
      </c>
      <c r="AF146" s="154">
        <v>0.29166666666666669</v>
      </c>
      <c r="AG146" s="154">
        <v>0.29166666666666669</v>
      </c>
      <c r="AH146" s="154">
        <v>0.29166666666666669</v>
      </c>
      <c r="AI146" s="154">
        <v>0.29166666666666669</v>
      </c>
      <c r="AJ146" s="154">
        <v>0.29166666666666669</v>
      </c>
      <c r="AK146" s="154">
        <v>0.29166666666666669</v>
      </c>
      <c r="AL146" s="154" t="s">
        <v>424</v>
      </c>
      <c r="AS146">
        <v>142</v>
      </c>
    </row>
    <row r="147" spans="1:46" hidden="1" x14ac:dyDescent="0.25">
      <c r="A147">
        <v>146</v>
      </c>
      <c r="B147">
        <v>2025</v>
      </c>
      <c r="C147">
        <v>4</v>
      </c>
      <c r="D147" t="s">
        <v>266</v>
      </c>
      <c r="E147">
        <v>31</v>
      </c>
      <c r="F147">
        <v>3</v>
      </c>
      <c r="G147" t="s">
        <v>535</v>
      </c>
      <c r="H147" s="154">
        <v>0.875</v>
      </c>
      <c r="I147" s="154">
        <v>0.875</v>
      </c>
      <c r="J147" s="154">
        <v>0.875</v>
      </c>
      <c r="K147" s="154">
        <v>0.875</v>
      </c>
      <c r="L147" s="154">
        <v>0.875</v>
      </c>
      <c r="M147" s="154">
        <v>0.875</v>
      </c>
      <c r="N147" s="154">
        <v>0.875</v>
      </c>
      <c r="O147" s="154">
        <v>0.875</v>
      </c>
      <c r="P147" s="154">
        <v>0.875</v>
      </c>
      <c r="Q147" s="154">
        <v>0.875</v>
      </c>
      <c r="R147" s="154">
        <v>0.875</v>
      </c>
      <c r="S147" s="154">
        <v>0.95833333333333326</v>
      </c>
      <c r="T147" s="154">
        <v>0.875</v>
      </c>
      <c r="U147" s="154">
        <v>0.875</v>
      </c>
      <c r="V147" s="154">
        <v>0.875</v>
      </c>
      <c r="W147" s="154">
        <v>0.875</v>
      </c>
      <c r="X147" s="154">
        <v>0.875</v>
      </c>
      <c r="Y147" s="154">
        <v>0.875</v>
      </c>
      <c r="Z147" s="154">
        <v>0.95833333333333326</v>
      </c>
      <c r="AA147" s="154">
        <v>0.875</v>
      </c>
      <c r="AB147" s="154">
        <v>0.875</v>
      </c>
      <c r="AC147" s="154">
        <v>0.875</v>
      </c>
      <c r="AD147" s="154">
        <v>0.91666666666666674</v>
      </c>
      <c r="AE147" s="154">
        <v>0.875</v>
      </c>
      <c r="AF147" s="154">
        <v>0.875</v>
      </c>
      <c r="AG147" s="154">
        <v>0.875</v>
      </c>
      <c r="AH147" s="154">
        <v>0.875</v>
      </c>
      <c r="AI147" s="154">
        <v>0.875</v>
      </c>
      <c r="AJ147" s="154">
        <v>0.875</v>
      </c>
      <c r="AK147" s="154">
        <v>0.875</v>
      </c>
      <c r="AL147" s="154" t="s">
        <v>424</v>
      </c>
      <c r="AM147" cm="1">
        <f t="array" ref="AM147">SUM(IFERROR(IF((H147:AL147-H146:AL146)*24&gt;=11,1,""),""))</f>
        <v>30</v>
      </c>
      <c r="AO147" cm="1">
        <f t="array" ref="AO147">SUM(IFERROR(MOD((H147:AL147-H146:AL146)*24,11),""))</f>
        <v>94.999999999999986</v>
      </c>
      <c r="AS147">
        <v>143</v>
      </c>
    </row>
    <row r="148" spans="1:46" hidden="1" x14ac:dyDescent="0.25">
      <c r="A148">
        <v>147</v>
      </c>
      <c r="B148">
        <v>2025</v>
      </c>
      <c r="C148">
        <v>4</v>
      </c>
      <c r="D148" t="s">
        <v>266</v>
      </c>
      <c r="E148">
        <v>31</v>
      </c>
      <c r="F148">
        <v>3</v>
      </c>
      <c r="G148" t="s">
        <v>536</v>
      </c>
      <c r="H148" s="154">
        <v>95433</v>
      </c>
      <c r="I148" s="154">
        <v>95658</v>
      </c>
      <c r="J148" s="154">
        <v>95896</v>
      </c>
      <c r="K148" s="154">
        <v>96152</v>
      </c>
      <c r="L148" s="154">
        <v>96443</v>
      </c>
      <c r="M148" s="154">
        <v>96714</v>
      </c>
      <c r="N148" s="154">
        <v>96957</v>
      </c>
      <c r="O148" s="154">
        <v>97214</v>
      </c>
      <c r="P148" s="154">
        <v>97496</v>
      </c>
      <c r="Q148" s="154">
        <v>97712</v>
      </c>
      <c r="R148" s="154">
        <v>97948</v>
      </c>
      <c r="S148" s="154">
        <v>98247</v>
      </c>
      <c r="T148" s="154">
        <v>98543</v>
      </c>
      <c r="U148" s="154">
        <v>98976</v>
      </c>
      <c r="V148" s="154">
        <v>99227</v>
      </c>
      <c r="W148" s="154">
        <v>99486</v>
      </c>
      <c r="X148" s="154">
        <v>99721</v>
      </c>
      <c r="Y148" s="154">
        <v>99968</v>
      </c>
      <c r="Z148" s="154">
        <v>100209</v>
      </c>
      <c r="AA148" s="154">
        <v>100516</v>
      </c>
      <c r="AB148" s="154">
        <v>100740</v>
      </c>
      <c r="AC148" s="154">
        <v>100991</v>
      </c>
      <c r="AD148" s="154">
        <v>101232</v>
      </c>
      <c r="AE148" s="154">
        <v>101479</v>
      </c>
      <c r="AF148" s="154">
        <v>101708</v>
      </c>
      <c r="AG148" s="154">
        <v>101954</v>
      </c>
      <c r="AH148" s="154">
        <v>102227</v>
      </c>
      <c r="AI148" s="154">
        <v>102491</v>
      </c>
      <c r="AJ148" s="154">
        <v>102825</v>
      </c>
      <c r="AK148" s="154">
        <v>103060</v>
      </c>
      <c r="AL148" s="154" t="s">
        <v>424</v>
      </c>
      <c r="AS148">
        <v>144</v>
      </c>
    </row>
    <row r="149" spans="1:46" hidden="1" x14ac:dyDescent="0.25">
      <c r="A149">
        <v>148</v>
      </c>
      <c r="B149">
        <v>2025</v>
      </c>
      <c r="C149">
        <v>4</v>
      </c>
      <c r="D149" t="s">
        <v>266</v>
      </c>
      <c r="E149">
        <v>31</v>
      </c>
      <c r="F149">
        <v>3</v>
      </c>
      <c r="G149" t="s">
        <v>537</v>
      </c>
      <c r="H149" s="154">
        <v>95658</v>
      </c>
      <c r="I149" s="154">
        <v>95896</v>
      </c>
      <c r="J149" s="154">
        <v>96152</v>
      </c>
      <c r="K149" s="154">
        <v>96443</v>
      </c>
      <c r="L149" s="154">
        <v>96714</v>
      </c>
      <c r="M149" s="154">
        <v>96957</v>
      </c>
      <c r="N149" s="154">
        <v>97214</v>
      </c>
      <c r="O149" s="154">
        <v>97496</v>
      </c>
      <c r="P149" s="154">
        <v>97712</v>
      </c>
      <c r="Q149" s="154">
        <v>97948</v>
      </c>
      <c r="R149" s="154">
        <v>98247</v>
      </c>
      <c r="S149" s="154">
        <v>98543</v>
      </c>
      <c r="T149" s="154">
        <v>98860</v>
      </c>
      <c r="U149" s="154">
        <v>99227</v>
      </c>
      <c r="V149" s="154">
        <v>99486</v>
      </c>
      <c r="W149" s="154">
        <v>99721</v>
      </c>
      <c r="X149" s="154">
        <v>99968</v>
      </c>
      <c r="Y149" s="154">
        <v>100209</v>
      </c>
      <c r="Z149" s="154">
        <v>100516</v>
      </c>
      <c r="AA149" s="154">
        <v>100740</v>
      </c>
      <c r="AB149" s="154">
        <v>100991</v>
      </c>
      <c r="AC149" s="154">
        <v>101232</v>
      </c>
      <c r="AD149" s="154">
        <v>101479</v>
      </c>
      <c r="AE149" s="154">
        <v>101708</v>
      </c>
      <c r="AF149" s="154">
        <v>101954</v>
      </c>
      <c r="AG149" s="154">
        <v>102227</v>
      </c>
      <c r="AH149" s="154">
        <v>102491</v>
      </c>
      <c r="AI149" s="154">
        <v>102825</v>
      </c>
      <c r="AJ149" s="154">
        <v>103060</v>
      </c>
      <c r="AK149" s="154">
        <v>103286</v>
      </c>
      <c r="AL149" s="154" t="s">
        <v>424</v>
      </c>
      <c r="AP149" cm="1">
        <f t="array" ref="AP149">IF(AQ149="","",SUM(IFERROR(H149:AL149-H148:AL148,0))*AQ149/100)</f>
        <v>1160.55</v>
      </c>
      <c r="AQ149">
        <f>_xlfn.XLOOKUP(D149,log_prices!M:M,log_prices!L:L,,0)</f>
        <v>14.999999999999998</v>
      </c>
      <c r="AS149">
        <v>145</v>
      </c>
      <c r="AT149" cm="1">
        <f t="array" ref="AT149">IF(AQ149="","",SUM(IFERROR(H149:AL149-H148:AL148,0)))</f>
        <v>7737</v>
      </c>
    </row>
    <row r="150" spans="1:46" hidden="1" x14ac:dyDescent="0.25">
      <c r="A150">
        <v>149</v>
      </c>
      <c r="B150">
        <v>2025</v>
      </c>
      <c r="C150">
        <v>4</v>
      </c>
      <c r="D150" t="s">
        <v>267</v>
      </c>
      <c r="E150">
        <v>31</v>
      </c>
      <c r="F150">
        <v>3</v>
      </c>
      <c r="G150" t="s">
        <v>534</v>
      </c>
      <c r="H150" s="154">
        <v>0.29166666666666669</v>
      </c>
      <c r="I150" s="154">
        <v>0.29166666666666669</v>
      </c>
      <c r="J150" s="154">
        <v>0.29166666666666669</v>
      </c>
      <c r="K150" s="154">
        <v>0.29166666666666669</v>
      </c>
      <c r="L150" s="154">
        <v>0.29166666666666669</v>
      </c>
      <c r="M150" s="154">
        <v>0.29166666666666669</v>
      </c>
      <c r="N150" s="154">
        <v>0.29166666666666669</v>
      </c>
      <c r="O150" s="154">
        <v>0.29166666666666669</v>
      </c>
      <c r="P150" s="154">
        <v>0.29166666666666669</v>
      </c>
      <c r="Q150" s="154">
        <v>0.29166666666666669</v>
      </c>
      <c r="R150" s="154">
        <v>0.29166666666666669</v>
      </c>
      <c r="S150" s="154">
        <v>0.29166666666666669</v>
      </c>
      <c r="T150" s="154">
        <v>0.29166666666666669</v>
      </c>
      <c r="U150" s="154">
        <v>0.29166666666666669</v>
      </c>
      <c r="V150" s="154">
        <v>0.29166666666666669</v>
      </c>
      <c r="W150" s="154">
        <v>0.29166666666666669</v>
      </c>
      <c r="X150" s="154">
        <v>0.29166666666666669</v>
      </c>
      <c r="Y150" s="154">
        <v>0.29166666666666669</v>
      </c>
      <c r="Z150" s="154">
        <v>0.29166666666666669</v>
      </c>
      <c r="AA150" s="154">
        <v>0.29166666666666669</v>
      </c>
      <c r="AB150" s="154">
        <v>0.29166666666666669</v>
      </c>
      <c r="AC150" s="154">
        <v>0.29166666666666669</v>
      </c>
      <c r="AD150" s="154">
        <v>0.29166666666666669</v>
      </c>
      <c r="AE150" s="154">
        <v>0.29166666666666669</v>
      </c>
      <c r="AF150" s="154">
        <v>0.29166666666666669</v>
      </c>
      <c r="AG150" s="154">
        <v>0.29166666666666669</v>
      </c>
      <c r="AH150" s="154">
        <v>0.29166666666666669</v>
      </c>
      <c r="AI150" s="154">
        <v>0.29166666666666669</v>
      </c>
      <c r="AJ150" s="154">
        <v>0.29166666666666669</v>
      </c>
      <c r="AK150" s="154">
        <v>0.29166666666666669</v>
      </c>
      <c r="AL150" s="154" t="s">
        <v>424</v>
      </c>
      <c r="AS150">
        <v>146</v>
      </c>
    </row>
    <row r="151" spans="1:46" hidden="1" x14ac:dyDescent="0.25">
      <c r="A151">
        <v>150</v>
      </c>
      <c r="B151">
        <v>2025</v>
      </c>
      <c r="C151">
        <v>4</v>
      </c>
      <c r="D151" t="s">
        <v>267</v>
      </c>
      <c r="E151">
        <v>31</v>
      </c>
      <c r="F151">
        <v>3</v>
      </c>
      <c r="G151" t="s">
        <v>535</v>
      </c>
      <c r="H151" s="154">
        <v>0.91666666666666674</v>
      </c>
      <c r="I151" s="154">
        <v>0.83333333333333326</v>
      </c>
      <c r="J151" s="154">
        <v>0.83333333333333326</v>
      </c>
      <c r="K151" s="154">
        <v>0.83333333333333326</v>
      </c>
      <c r="L151" s="154">
        <v>0.83333333333333326</v>
      </c>
      <c r="M151" s="154">
        <v>0.83333333333333326</v>
      </c>
      <c r="N151" s="154">
        <v>0.83333333333333326</v>
      </c>
      <c r="O151" s="154">
        <v>0.83333333333333326</v>
      </c>
      <c r="P151" s="154">
        <v>0.83333333333333326</v>
      </c>
      <c r="Q151" s="154">
        <v>0.83333333333333326</v>
      </c>
      <c r="R151" s="154">
        <v>0.83333333333333326</v>
      </c>
      <c r="S151" s="154">
        <v>0.83333333333333326</v>
      </c>
      <c r="T151" s="154">
        <v>0.83333333333333326</v>
      </c>
      <c r="U151" s="154">
        <v>0.83333333333333326</v>
      </c>
      <c r="V151" s="154">
        <v>0.83333333333333326</v>
      </c>
      <c r="W151" s="154">
        <v>0.83333333333333326</v>
      </c>
      <c r="X151" s="154">
        <v>0.83333333333333326</v>
      </c>
      <c r="Y151" s="154">
        <v>0.83333333333333326</v>
      </c>
      <c r="Z151" s="154">
        <v>0.83333333333333326</v>
      </c>
      <c r="AA151" s="154">
        <v>0.83333333333333326</v>
      </c>
      <c r="AB151" s="154">
        <v>0.83333333333333326</v>
      </c>
      <c r="AC151" s="154">
        <v>0.83333333333333326</v>
      </c>
      <c r="AD151" s="154">
        <v>0.83333333333333326</v>
      </c>
      <c r="AE151" s="154">
        <v>0.83333333333333326</v>
      </c>
      <c r="AF151" s="154">
        <v>0.83333333333333326</v>
      </c>
      <c r="AG151" s="154">
        <v>0.83333333333333326</v>
      </c>
      <c r="AH151" s="154">
        <v>0.83333333333333326</v>
      </c>
      <c r="AI151" s="154">
        <v>0.83333333333333326</v>
      </c>
      <c r="AJ151" s="154">
        <v>0.83333333333333326</v>
      </c>
      <c r="AK151" s="154">
        <v>0.83333333333333326</v>
      </c>
      <c r="AL151" s="154" t="s">
        <v>424</v>
      </c>
      <c r="AM151" cm="1">
        <f t="array" ref="AM151">SUM(IFERROR(IF((H151:AL151-H150:AL150)*24&gt;=11,1,""),""))</f>
        <v>30</v>
      </c>
      <c r="AO151" cm="1">
        <f t="array" ref="AO151">SUM(IFERROR(MOD((H151:AL151-H150:AL150)*24,11),""))</f>
        <v>61.999999999999943</v>
      </c>
      <c r="AS151">
        <v>147</v>
      </c>
    </row>
    <row r="152" spans="1:46" hidden="1" x14ac:dyDescent="0.25">
      <c r="A152">
        <v>151</v>
      </c>
      <c r="B152">
        <v>2025</v>
      </c>
      <c r="C152">
        <v>4</v>
      </c>
      <c r="D152" t="s">
        <v>267</v>
      </c>
      <c r="E152">
        <v>31</v>
      </c>
      <c r="F152">
        <v>3</v>
      </c>
      <c r="G152" t="s">
        <v>536</v>
      </c>
      <c r="H152" s="154">
        <v>307886</v>
      </c>
      <c r="I152" s="154">
        <v>308021</v>
      </c>
      <c r="J152" s="154">
        <v>308168</v>
      </c>
      <c r="K152" s="154">
        <v>308296</v>
      </c>
      <c r="L152" s="154">
        <v>308451</v>
      </c>
      <c r="M152" s="154">
        <v>308602</v>
      </c>
      <c r="N152" s="154">
        <v>308803</v>
      </c>
      <c r="O152" s="154">
        <v>308942</v>
      </c>
      <c r="P152" s="154">
        <v>309074</v>
      </c>
      <c r="Q152" s="154">
        <v>309227</v>
      </c>
      <c r="R152" s="154">
        <v>309371</v>
      </c>
      <c r="S152" s="154">
        <v>309518</v>
      </c>
      <c r="T152" s="154">
        <v>309660</v>
      </c>
      <c r="U152" s="154">
        <v>309798</v>
      </c>
      <c r="V152" s="154">
        <v>309927</v>
      </c>
      <c r="W152" s="154">
        <v>310125</v>
      </c>
      <c r="X152" s="154">
        <v>310229</v>
      </c>
      <c r="Y152" s="154">
        <v>310370</v>
      </c>
      <c r="Z152" s="154">
        <v>310496</v>
      </c>
      <c r="AA152" s="154">
        <v>310630</v>
      </c>
      <c r="AB152" s="154">
        <v>310826</v>
      </c>
      <c r="AC152" s="154">
        <v>310966</v>
      </c>
      <c r="AD152" s="154">
        <v>311160</v>
      </c>
      <c r="AE152" s="154">
        <v>311316</v>
      </c>
      <c r="AF152" s="154">
        <v>311443</v>
      </c>
      <c r="AG152" s="154">
        <v>311555</v>
      </c>
      <c r="AH152" s="154">
        <v>311689</v>
      </c>
      <c r="AI152" s="154">
        <v>311828</v>
      </c>
      <c r="AJ152" s="154">
        <v>312091</v>
      </c>
      <c r="AK152" s="154">
        <v>312217</v>
      </c>
      <c r="AL152" s="154" t="s">
        <v>424</v>
      </c>
      <c r="AS152">
        <v>148</v>
      </c>
    </row>
    <row r="153" spans="1:46" hidden="1" x14ac:dyDescent="0.25">
      <c r="A153">
        <v>152</v>
      </c>
      <c r="B153">
        <v>2025</v>
      </c>
      <c r="C153">
        <v>4</v>
      </c>
      <c r="D153" t="s">
        <v>267</v>
      </c>
      <c r="E153">
        <v>31</v>
      </c>
      <c r="F153">
        <v>3</v>
      </c>
      <c r="G153" t="s">
        <v>537</v>
      </c>
      <c r="H153" s="154">
        <v>308021</v>
      </c>
      <c r="I153" s="154">
        <v>308168</v>
      </c>
      <c r="J153" s="154">
        <v>308296</v>
      </c>
      <c r="K153" s="154">
        <v>308451</v>
      </c>
      <c r="L153" s="154">
        <v>308602</v>
      </c>
      <c r="M153" s="154">
        <v>308803</v>
      </c>
      <c r="N153" s="154">
        <v>308942</v>
      </c>
      <c r="O153" s="154">
        <v>309074</v>
      </c>
      <c r="P153" s="154">
        <v>309227</v>
      </c>
      <c r="Q153" s="154">
        <v>309371</v>
      </c>
      <c r="R153" s="154">
        <v>309518</v>
      </c>
      <c r="S153" s="154">
        <v>309660</v>
      </c>
      <c r="T153" s="154">
        <v>309798</v>
      </c>
      <c r="U153" s="154">
        <v>309927</v>
      </c>
      <c r="V153" s="154">
        <v>310125</v>
      </c>
      <c r="W153" s="154">
        <v>310229</v>
      </c>
      <c r="X153" s="154">
        <v>310370</v>
      </c>
      <c r="Y153" s="154">
        <v>310496</v>
      </c>
      <c r="Z153" s="154">
        <v>310630</v>
      </c>
      <c r="AA153" s="154">
        <v>310826</v>
      </c>
      <c r="AB153" s="154">
        <v>310966</v>
      </c>
      <c r="AC153" s="154">
        <v>311160</v>
      </c>
      <c r="AD153" s="154">
        <v>311316</v>
      </c>
      <c r="AE153" s="154">
        <v>311443</v>
      </c>
      <c r="AF153" s="154">
        <v>311555</v>
      </c>
      <c r="AG153" s="154">
        <v>311689</v>
      </c>
      <c r="AH153" s="154">
        <v>311828</v>
      </c>
      <c r="AI153" s="154">
        <v>312091</v>
      </c>
      <c r="AJ153" s="154">
        <v>312217</v>
      </c>
      <c r="AK153" s="154">
        <v>312344</v>
      </c>
      <c r="AL153" s="154" t="s">
        <v>424</v>
      </c>
      <c r="AP153" cm="1">
        <f t="array" ref="AP153">IF(AQ153="","",SUM(IFERROR(H153:AL153-H152:AL152,0))*AQ153/100)</f>
        <v>668.7</v>
      </c>
      <c r="AQ153">
        <f>_xlfn.XLOOKUP(D153,log_prices!M:M,log_prices!L:L,,0)</f>
        <v>15</v>
      </c>
      <c r="AS153">
        <v>149</v>
      </c>
      <c r="AT153" cm="1">
        <f t="array" ref="AT153">IF(AQ153="","",SUM(IFERROR(H153:AL153-H152:AL152,0)))</f>
        <v>4458</v>
      </c>
    </row>
    <row r="154" spans="1:46" hidden="1" x14ac:dyDescent="0.25">
      <c r="A154">
        <v>153</v>
      </c>
      <c r="B154">
        <v>2025</v>
      </c>
      <c r="C154">
        <v>4</v>
      </c>
      <c r="D154" t="s">
        <v>250</v>
      </c>
      <c r="E154">
        <v>31</v>
      </c>
      <c r="F154">
        <v>3</v>
      </c>
      <c r="G154" t="s">
        <v>534</v>
      </c>
      <c r="H154" s="154">
        <v>0.29166666666666669</v>
      </c>
      <c r="I154" s="154">
        <v>0.29166666666666669</v>
      </c>
      <c r="J154" s="154">
        <v>0.29166666666666669</v>
      </c>
      <c r="K154" s="154">
        <v>0.29166666666666669</v>
      </c>
      <c r="L154" s="154">
        <v>0.29166666666666669</v>
      </c>
      <c r="M154" s="154" t="s">
        <v>424</v>
      </c>
      <c r="N154" s="154" t="s">
        <v>424</v>
      </c>
      <c r="O154" s="154" t="s">
        <v>424</v>
      </c>
      <c r="P154" s="154" t="s">
        <v>424</v>
      </c>
      <c r="Q154" s="154" t="s">
        <v>424</v>
      </c>
      <c r="R154" s="154" t="s">
        <v>424</v>
      </c>
      <c r="S154" s="154" t="s">
        <v>424</v>
      </c>
      <c r="T154" s="154" t="s">
        <v>424</v>
      </c>
      <c r="U154" s="154" t="s">
        <v>424</v>
      </c>
      <c r="V154" s="154" t="s">
        <v>424</v>
      </c>
      <c r="W154" s="154" t="s">
        <v>424</v>
      </c>
      <c r="X154" s="154" t="s">
        <v>424</v>
      </c>
      <c r="Y154" s="154" t="s">
        <v>424</v>
      </c>
      <c r="Z154" s="154" t="s">
        <v>424</v>
      </c>
      <c r="AA154" s="154" t="s">
        <v>424</v>
      </c>
      <c r="AB154" s="154" t="s">
        <v>424</v>
      </c>
      <c r="AC154" s="154" t="s">
        <v>424</v>
      </c>
      <c r="AD154" s="154" t="s">
        <v>424</v>
      </c>
      <c r="AE154" s="154" t="s">
        <v>424</v>
      </c>
      <c r="AF154" s="154" t="s">
        <v>424</v>
      </c>
      <c r="AG154" s="154" t="s">
        <v>424</v>
      </c>
      <c r="AH154" s="154" t="s">
        <v>424</v>
      </c>
      <c r="AI154" s="154" t="s">
        <v>424</v>
      </c>
      <c r="AJ154" s="154" t="s">
        <v>424</v>
      </c>
      <c r="AK154" s="154" t="s">
        <v>424</v>
      </c>
      <c r="AL154" s="154" t="s">
        <v>424</v>
      </c>
      <c r="AS154">
        <v>150</v>
      </c>
    </row>
    <row r="155" spans="1:46" hidden="1" x14ac:dyDescent="0.25">
      <c r="A155">
        <v>154</v>
      </c>
      <c r="B155">
        <v>2025</v>
      </c>
      <c r="C155">
        <v>4</v>
      </c>
      <c r="D155" t="s">
        <v>250</v>
      </c>
      <c r="E155">
        <v>31</v>
      </c>
      <c r="F155">
        <v>3</v>
      </c>
      <c r="G155" t="s">
        <v>535</v>
      </c>
      <c r="H155" s="154">
        <v>0.89583333333333326</v>
      </c>
      <c r="I155" s="154">
        <v>0.85416666666666674</v>
      </c>
      <c r="J155" s="154">
        <v>0.85416666666666674</v>
      </c>
      <c r="K155" s="154">
        <v>0.75</v>
      </c>
      <c r="L155" s="154">
        <v>0.75</v>
      </c>
      <c r="M155" s="154" t="s">
        <v>424</v>
      </c>
      <c r="N155" s="154" t="s">
        <v>424</v>
      </c>
      <c r="O155" s="154" t="s">
        <v>424</v>
      </c>
      <c r="P155" s="154" t="s">
        <v>424</v>
      </c>
      <c r="Q155" s="154" t="s">
        <v>424</v>
      </c>
      <c r="R155" s="154" t="s">
        <v>424</v>
      </c>
      <c r="S155" s="154" t="s">
        <v>424</v>
      </c>
      <c r="T155" s="154" t="s">
        <v>424</v>
      </c>
      <c r="U155" s="154" t="s">
        <v>424</v>
      </c>
      <c r="V155" s="154" t="s">
        <v>424</v>
      </c>
      <c r="W155" s="154" t="s">
        <v>424</v>
      </c>
      <c r="X155" s="154" t="s">
        <v>424</v>
      </c>
      <c r="Y155" s="154" t="s">
        <v>424</v>
      </c>
      <c r="Z155" s="154" t="s">
        <v>424</v>
      </c>
      <c r="AA155" s="154" t="s">
        <v>424</v>
      </c>
      <c r="AB155" s="154" t="s">
        <v>424</v>
      </c>
      <c r="AC155" s="154" t="s">
        <v>424</v>
      </c>
      <c r="AD155" s="154" t="s">
        <v>424</v>
      </c>
      <c r="AE155" s="154" t="s">
        <v>424</v>
      </c>
      <c r="AF155" s="154" t="s">
        <v>424</v>
      </c>
      <c r="AG155" s="154" t="s">
        <v>424</v>
      </c>
      <c r="AH155" s="154" t="s">
        <v>424</v>
      </c>
      <c r="AI155" s="154" t="s">
        <v>424</v>
      </c>
      <c r="AJ155" s="154" t="s">
        <v>424</v>
      </c>
      <c r="AK155" s="154" t="s">
        <v>424</v>
      </c>
      <c r="AL155" s="154" t="s">
        <v>424</v>
      </c>
      <c r="AM155" cm="1">
        <f t="array" ref="AM155">SUM(IFERROR(IF((H155:AL155-H154:AL154)*24&gt;=11,1,""),""))</f>
        <v>5</v>
      </c>
      <c r="AO155" cm="1">
        <f t="array" ref="AO155">SUM(IFERROR(MOD((H155:AL155-H154:AL154)*24,11),""))+56</f>
        <v>64.5</v>
      </c>
      <c r="AR155" t="s">
        <v>434</v>
      </c>
      <c r="AS155">
        <v>151</v>
      </c>
    </row>
    <row r="156" spans="1:46" hidden="1" x14ac:dyDescent="0.25">
      <c r="A156">
        <v>155</v>
      </c>
      <c r="B156">
        <v>2025</v>
      </c>
      <c r="C156">
        <v>4</v>
      </c>
      <c r="D156" t="s">
        <v>250</v>
      </c>
      <c r="E156">
        <v>31</v>
      </c>
      <c r="F156">
        <v>3</v>
      </c>
      <c r="G156" t="s">
        <v>536</v>
      </c>
      <c r="H156" s="154">
        <v>821994</v>
      </c>
      <c r="I156" s="154">
        <v>822225</v>
      </c>
      <c r="J156" s="154">
        <v>822451</v>
      </c>
      <c r="K156" s="154">
        <v>822674</v>
      </c>
      <c r="L156" s="154">
        <v>863878</v>
      </c>
      <c r="M156" s="154" t="s">
        <v>424</v>
      </c>
      <c r="N156" s="154" t="s">
        <v>424</v>
      </c>
      <c r="O156" s="154" t="s">
        <v>424</v>
      </c>
      <c r="P156" s="154" t="s">
        <v>424</v>
      </c>
      <c r="Q156" s="154" t="s">
        <v>424</v>
      </c>
      <c r="R156" s="154" t="s">
        <v>424</v>
      </c>
      <c r="S156" s="154" t="s">
        <v>424</v>
      </c>
      <c r="T156" s="154" t="s">
        <v>424</v>
      </c>
      <c r="U156" s="154" t="s">
        <v>424</v>
      </c>
      <c r="V156" s="154" t="s">
        <v>424</v>
      </c>
      <c r="W156" s="154" t="s">
        <v>424</v>
      </c>
      <c r="X156" s="154" t="s">
        <v>424</v>
      </c>
      <c r="Y156" s="154" t="s">
        <v>424</v>
      </c>
      <c r="Z156" s="154" t="s">
        <v>424</v>
      </c>
      <c r="AA156" s="154" t="s">
        <v>424</v>
      </c>
      <c r="AB156" s="154" t="s">
        <v>424</v>
      </c>
      <c r="AC156" s="154" t="s">
        <v>424</v>
      </c>
      <c r="AD156" s="154" t="s">
        <v>424</v>
      </c>
      <c r="AE156" s="154" t="s">
        <v>424</v>
      </c>
      <c r="AF156" s="154" t="s">
        <v>424</v>
      </c>
      <c r="AG156" s="154" t="s">
        <v>424</v>
      </c>
      <c r="AH156" s="154" t="s">
        <v>424</v>
      </c>
      <c r="AI156" s="154" t="s">
        <v>424</v>
      </c>
      <c r="AJ156" s="154" t="s">
        <v>424</v>
      </c>
      <c r="AK156" s="154" t="s">
        <v>424</v>
      </c>
      <c r="AL156" s="154" t="s">
        <v>434</v>
      </c>
      <c r="AS156">
        <v>152</v>
      </c>
    </row>
    <row r="157" spans="1:46" hidden="1" x14ac:dyDescent="0.25">
      <c r="A157">
        <v>156</v>
      </c>
      <c r="B157">
        <v>2025</v>
      </c>
      <c r="C157">
        <v>4</v>
      </c>
      <c r="D157" t="s">
        <v>250</v>
      </c>
      <c r="E157">
        <v>31</v>
      </c>
      <c r="F157">
        <v>3</v>
      </c>
      <c r="G157" t="s">
        <v>537</v>
      </c>
      <c r="H157" s="154">
        <v>822225</v>
      </c>
      <c r="I157" s="154">
        <v>822451</v>
      </c>
      <c r="J157" s="154">
        <v>822674</v>
      </c>
      <c r="K157" s="154">
        <v>822848</v>
      </c>
      <c r="L157" s="154">
        <v>863999</v>
      </c>
      <c r="M157" s="154" t="s">
        <v>424</v>
      </c>
      <c r="N157" s="154" t="s">
        <v>424</v>
      </c>
      <c r="O157" s="154" t="s">
        <v>424</v>
      </c>
      <c r="P157" s="154" t="s">
        <v>424</v>
      </c>
      <c r="Q157" s="154" t="s">
        <v>424</v>
      </c>
      <c r="R157" s="154" t="s">
        <v>424</v>
      </c>
      <c r="S157" s="154" t="s">
        <v>424</v>
      </c>
      <c r="T157" s="154" t="s">
        <v>424</v>
      </c>
      <c r="U157" s="154" t="s">
        <v>424</v>
      </c>
      <c r="V157" s="154" t="s">
        <v>424</v>
      </c>
      <c r="W157" s="154" t="s">
        <v>424</v>
      </c>
      <c r="X157" s="154" t="s">
        <v>424</v>
      </c>
      <c r="Y157" s="154" t="s">
        <v>424</v>
      </c>
      <c r="Z157" s="154" t="s">
        <v>424</v>
      </c>
      <c r="AA157" s="154" t="s">
        <v>424</v>
      </c>
      <c r="AB157" s="154" t="s">
        <v>424</v>
      </c>
      <c r="AC157" s="154" t="s">
        <v>424</v>
      </c>
      <c r="AD157" s="154" t="s">
        <v>424</v>
      </c>
      <c r="AE157" s="154" t="s">
        <v>424</v>
      </c>
      <c r="AF157" s="154" t="s">
        <v>424</v>
      </c>
      <c r="AG157" s="154" t="s">
        <v>424</v>
      </c>
      <c r="AH157" s="154" t="s">
        <v>424</v>
      </c>
      <c r="AI157" s="154" t="s">
        <v>424</v>
      </c>
      <c r="AJ157" s="154" t="s">
        <v>424</v>
      </c>
      <c r="AK157" s="154" t="s">
        <v>424</v>
      </c>
      <c r="AL157" s="154" t="s">
        <v>424</v>
      </c>
      <c r="AP157" cm="1">
        <f t="array" ref="AP157">IF(AQ157="","",SUM(IFERROR(H157:AL157-H156:AL156,0))*AQ157/100)</f>
        <v>146.25</v>
      </c>
      <c r="AQ157">
        <f>_xlfn.XLOOKUP(D157,log_prices!M:M,log_prices!L:L,,0)</f>
        <v>15</v>
      </c>
      <c r="AS157">
        <v>153</v>
      </c>
      <c r="AT157" cm="1">
        <f t="array" ref="AT157">IF(AQ157="","",SUM(IFERROR(H157:AL157-H156:AL156,0)))</f>
        <v>975</v>
      </c>
    </row>
    <row r="158" spans="1:46" hidden="1" x14ac:dyDescent="0.25">
      <c r="A158">
        <v>157</v>
      </c>
      <c r="B158">
        <v>2025</v>
      </c>
      <c r="C158">
        <v>4</v>
      </c>
      <c r="D158" t="s">
        <v>251</v>
      </c>
      <c r="E158">
        <v>31</v>
      </c>
      <c r="F158">
        <v>3</v>
      </c>
      <c r="G158" t="s">
        <v>534</v>
      </c>
      <c r="H158" s="154">
        <v>0.29166666666666669</v>
      </c>
      <c r="I158" s="154">
        <v>0.29166666666666669</v>
      </c>
      <c r="J158" s="154">
        <v>0.29166666666666669</v>
      </c>
      <c r="K158" s="154">
        <v>0.29166666666666669</v>
      </c>
      <c r="L158" s="154">
        <v>0.29166666666666669</v>
      </c>
      <c r="M158" s="154" t="s">
        <v>424</v>
      </c>
      <c r="N158" s="154">
        <v>0.29166666666666669</v>
      </c>
      <c r="O158" s="154">
        <v>0.29166666666666669</v>
      </c>
      <c r="P158" s="154">
        <v>0.29166666666666669</v>
      </c>
      <c r="Q158" s="154">
        <v>0.29166666666666669</v>
      </c>
      <c r="R158" s="154">
        <v>0.29166666666666669</v>
      </c>
      <c r="S158" s="154">
        <v>0.29166666666666669</v>
      </c>
      <c r="T158" s="154">
        <v>0.29166666666666669</v>
      </c>
      <c r="U158" s="154">
        <v>0.29166666666666669</v>
      </c>
      <c r="V158" s="154">
        <v>0.29166666666666669</v>
      </c>
      <c r="W158" s="154">
        <v>0.29166666666666669</v>
      </c>
      <c r="X158" s="154">
        <v>0.29166666666666669</v>
      </c>
      <c r="Y158" s="154">
        <v>0.29166666666666669</v>
      </c>
      <c r="Z158" s="154">
        <v>0.29166666666666669</v>
      </c>
      <c r="AA158" s="154">
        <v>0.29166666666666669</v>
      </c>
      <c r="AB158" s="154">
        <v>0.29166666666666669</v>
      </c>
      <c r="AC158" s="154">
        <v>0.29166666666666669</v>
      </c>
      <c r="AD158" s="154">
        <v>0.29166666666666669</v>
      </c>
      <c r="AE158" s="154" t="s">
        <v>424</v>
      </c>
      <c r="AF158" s="154" t="s">
        <v>424</v>
      </c>
      <c r="AG158" s="154" t="s">
        <v>424</v>
      </c>
      <c r="AH158" s="154" t="s">
        <v>424</v>
      </c>
      <c r="AI158" s="154" t="s">
        <v>424</v>
      </c>
      <c r="AJ158" s="154" t="s">
        <v>424</v>
      </c>
      <c r="AK158" s="154" t="s">
        <v>424</v>
      </c>
      <c r="AL158" s="154" t="s">
        <v>424</v>
      </c>
      <c r="AS158">
        <v>154</v>
      </c>
    </row>
    <row r="159" spans="1:46" hidden="1" x14ac:dyDescent="0.25">
      <c r="A159">
        <v>158</v>
      </c>
      <c r="B159">
        <v>2025</v>
      </c>
      <c r="C159">
        <v>4</v>
      </c>
      <c r="D159" t="s">
        <v>251</v>
      </c>
      <c r="E159">
        <v>31</v>
      </c>
      <c r="F159">
        <v>3</v>
      </c>
      <c r="G159" t="s">
        <v>535</v>
      </c>
      <c r="H159" s="154">
        <v>0.75</v>
      </c>
      <c r="I159" s="154">
        <v>0.75</v>
      </c>
      <c r="J159" s="154">
        <v>0.75</v>
      </c>
      <c r="K159" s="154">
        <v>0.75</v>
      </c>
      <c r="L159" s="154">
        <v>0.75</v>
      </c>
      <c r="M159" s="154" t="s">
        <v>424</v>
      </c>
      <c r="N159" s="154">
        <v>0.75</v>
      </c>
      <c r="O159" s="154">
        <v>0.75</v>
      </c>
      <c r="P159" s="154">
        <v>0.75</v>
      </c>
      <c r="Q159" s="154">
        <v>0.75</v>
      </c>
      <c r="R159" s="154">
        <v>0.75</v>
      </c>
      <c r="S159" s="154">
        <v>0.75</v>
      </c>
      <c r="T159" s="154">
        <v>0.75</v>
      </c>
      <c r="U159" s="154">
        <v>0.75</v>
      </c>
      <c r="V159" s="154">
        <v>0.75</v>
      </c>
      <c r="W159" s="154">
        <v>0.75</v>
      </c>
      <c r="X159" s="154">
        <v>0.75</v>
      </c>
      <c r="Y159" s="154">
        <v>0.75</v>
      </c>
      <c r="Z159" s="154">
        <v>0.75</v>
      </c>
      <c r="AA159" s="154">
        <v>0.75</v>
      </c>
      <c r="AB159" s="154">
        <v>0.75</v>
      </c>
      <c r="AC159" s="154">
        <v>0.75</v>
      </c>
      <c r="AD159" s="154">
        <v>0.75</v>
      </c>
      <c r="AE159" s="154" t="s">
        <v>424</v>
      </c>
      <c r="AF159" s="154" t="s">
        <v>424</v>
      </c>
      <c r="AG159" s="154" t="s">
        <v>424</v>
      </c>
      <c r="AH159" s="154" t="s">
        <v>424</v>
      </c>
      <c r="AI159" s="154" t="s">
        <v>424</v>
      </c>
      <c r="AJ159" s="154" t="s">
        <v>424</v>
      </c>
      <c r="AK159" s="154" t="s">
        <v>424</v>
      </c>
      <c r="AL159" s="154" t="s">
        <v>424</v>
      </c>
      <c r="AM159" cm="1">
        <f t="array" ref="AM159">SUM(IFERROR(IF((H159:AL159-H158:AL158)*24&gt;=11,1,""),""))+9</f>
        <v>31</v>
      </c>
      <c r="AO159" cm="1">
        <f t="array" ref="AO159">SUM(IFERROR(MOD((H159:AL159-H158:AL158)*24,11),""))</f>
        <v>0</v>
      </c>
      <c r="AR159" t="s">
        <v>435</v>
      </c>
      <c r="AS159">
        <v>155</v>
      </c>
    </row>
    <row r="160" spans="1:46" hidden="1" x14ac:dyDescent="0.25">
      <c r="A160">
        <v>159</v>
      </c>
      <c r="B160">
        <v>2025</v>
      </c>
      <c r="C160">
        <v>4</v>
      </c>
      <c r="D160" t="s">
        <v>251</v>
      </c>
      <c r="E160">
        <v>31</v>
      </c>
      <c r="F160">
        <v>3</v>
      </c>
      <c r="G160" t="s">
        <v>536</v>
      </c>
      <c r="H160" s="154">
        <v>406550</v>
      </c>
      <c r="I160" s="154">
        <v>406752</v>
      </c>
      <c r="J160" s="154">
        <v>406947</v>
      </c>
      <c r="K160" s="154">
        <v>407136</v>
      </c>
      <c r="L160" s="154">
        <v>407472</v>
      </c>
      <c r="M160" s="154" t="s">
        <v>424</v>
      </c>
      <c r="N160" s="154">
        <v>407664</v>
      </c>
      <c r="O160" s="154">
        <v>407856</v>
      </c>
      <c r="P160" s="154">
        <v>408223</v>
      </c>
      <c r="Q160" s="154">
        <v>408416</v>
      </c>
      <c r="R160" s="154">
        <v>408619</v>
      </c>
      <c r="S160" s="154">
        <v>408938</v>
      </c>
      <c r="T160" s="154">
        <v>409257</v>
      </c>
      <c r="U160" s="154">
        <v>409459</v>
      </c>
      <c r="V160" s="154">
        <v>409657</v>
      </c>
      <c r="W160" s="154">
        <v>409854</v>
      </c>
      <c r="X160" s="154">
        <v>409920</v>
      </c>
      <c r="Y160" s="154">
        <v>410245</v>
      </c>
      <c r="Z160" s="154">
        <v>410428</v>
      </c>
      <c r="AA160" s="154">
        <v>410590</v>
      </c>
      <c r="AB160" s="154">
        <v>410590</v>
      </c>
      <c r="AC160" s="154">
        <v>410590</v>
      </c>
      <c r="AD160" s="154">
        <v>410590</v>
      </c>
      <c r="AE160" s="154" t="s">
        <v>424</v>
      </c>
      <c r="AF160" s="154" t="s">
        <v>424</v>
      </c>
      <c r="AG160" s="154" t="s">
        <v>424</v>
      </c>
      <c r="AH160" s="154" t="s">
        <v>424</v>
      </c>
      <c r="AI160" s="154" t="s">
        <v>424</v>
      </c>
      <c r="AJ160" s="154" t="s">
        <v>424</v>
      </c>
      <c r="AK160" s="154" t="s">
        <v>424</v>
      </c>
      <c r="AL160" s="154" t="s">
        <v>435</v>
      </c>
      <c r="AS160">
        <v>156</v>
      </c>
    </row>
    <row r="161" spans="1:46" hidden="1" x14ac:dyDescent="0.25">
      <c r="A161">
        <v>160</v>
      </c>
      <c r="B161">
        <v>2025</v>
      </c>
      <c r="C161">
        <v>4</v>
      </c>
      <c r="D161" t="s">
        <v>251</v>
      </c>
      <c r="E161">
        <v>31</v>
      </c>
      <c r="F161">
        <v>3</v>
      </c>
      <c r="G161" t="s">
        <v>537</v>
      </c>
      <c r="H161" s="154">
        <v>406752</v>
      </c>
      <c r="I161" s="154">
        <v>406947</v>
      </c>
      <c r="J161" s="154">
        <v>407136</v>
      </c>
      <c r="K161" s="154">
        <v>407472</v>
      </c>
      <c r="L161" s="154">
        <v>407664</v>
      </c>
      <c r="M161" s="154" t="s">
        <v>424</v>
      </c>
      <c r="N161" s="154">
        <v>407856</v>
      </c>
      <c r="O161" s="154">
        <v>408223</v>
      </c>
      <c r="P161" s="154">
        <v>408416</v>
      </c>
      <c r="Q161" s="154">
        <v>408619</v>
      </c>
      <c r="R161" s="154">
        <v>408938</v>
      </c>
      <c r="S161" s="154">
        <v>409257</v>
      </c>
      <c r="T161" s="154">
        <v>409459</v>
      </c>
      <c r="U161" s="154">
        <v>409657</v>
      </c>
      <c r="V161" s="154">
        <v>409854</v>
      </c>
      <c r="W161" s="154">
        <v>409920</v>
      </c>
      <c r="X161" s="154">
        <v>410245</v>
      </c>
      <c r="Y161" s="154">
        <v>410428</v>
      </c>
      <c r="Z161" s="154">
        <v>410590</v>
      </c>
      <c r="AA161" s="154">
        <v>410590</v>
      </c>
      <c r="AB161" s="154">
        <v>410590</v>
      </c>
      <c r="AC161" s="154">
        <v>410590</v>
      </c>
      <c r="AD161" s="154">
        <v>410590</v>
      </c>
      <c r="AE161" s="154" t="s">
        <v>424</v>
      </c>
      <c r="AF161" s="154" t="s">
        <v>424</v>
      </c>
      <c r="AG161" s="154" t="s">
        <v>424</v>
      </c>
      <c r="AH161" s="154" t="s">
        <v>424</v>
      </c>
      <c r="AI161" s="154" t="s">
        <v>424</v>
      </c>
      <c r="AJ161" s="154" t="s">
        <v>424</v>
      </c>
      <c r="AK161" s="154" t="s">
        <v>424</v>
      </c>
      <c r="AL161" s="154" t="s">
        <v>424</v>
      </c>
      <c r="AP161" cm="1">
        <f t="array" ref="AP161">IF(AQ161="","",SUM(IFERROR(H161:AL161-H160:AL160,0))*AQ161/100)</f>
        <v>727.2</v>
      </c>
      <c r="AQ161">
        <f>_xlfn.XLOOKUP(D161,log_prices!M:M,log_prices!L:L,,0)</f>
        <v>18</v>
      </c>
      <c r="AS161">
        <v>157</v>
      </c>
      <c r="AT161" cm="1">
        <f t="array" ref="AT161">IF(AQ161="","",SUM(IFERROR(H161:AL161-H160:AL160,0)))</f>
        <v>4040</v>
      </c>
    </row>
    <row r="162" spans="1:46" hidden="1" x14ac:dyDescent="0.25">
      <c r="A162">
        <v>161</v>
      </c>
      <c r="B162">
        <v>2025</v>
      </c>
      <c r="C162">
        <v>4</v>
      </c>
      <c r="D162" t="s">
        <v>268</v>
      </c>
      <c r="E162">
        <v>31</v>
      </c>
      <c r="F162">
        <v>3</v>
      </c>
      <c r="G162" t="s">
        <v>534</v>
      </c>
      <c r="H162" s="154">
        <v>0.29166666666666669</v>
      </c>
      <c r="I162" s="154">
        <v>0.29166666666666669</v>
      </c>
      <c r="J162" s="154">
        <v>0.29166666666666669</v>
      </c>
      <c r="K162" s="154">
        <v>0.29166666666666669</v>
      </c>
      <c r="L162" s="154">
        <v>0.29166666666666669</v>
      </c>
      <c r="M162" s="154">
        <v>0.29166666666666669</v>
      </c>
      <c r="N162" s="154">
        <v>0.29166666666666669</v>
      </c>
      <c r="O162" s="154">
        <v>0.29166666666666669</v>
      </c>
      <c r="P162" s="154">
        <v>0.29166666666666669</v>
      </c>
      <c r="Q162" s="154">
        <v>0.29166666666666669</v>
      </c>
      <c r="R162" s="154">
        <v>0.29166666666666669</v>
      </c>
      <c r="S162" s="154">
        <v>0.29166666666666669</v>
      </c>
      <c r="T162" s="154">
        <v>0.29166666666666669</v>
      </c>
      <c r="U162" s="154">
        <v>0.29166666666666669</v>
      </c>
      <c r="V162" s="154">
        <v>0.29166666666666669</v>
      </c>
      <c r="W162" s="154">
        <v>0.29166666666666669</v>
      </c>
      <c r="X162" s="154">
        <v>0.29166666666666669</v>
      </c>
      <c r="Y162" s="154">
        <v>0.29166666666666669</v>
      </c>
      <c r="Z162" s="154">
        <v>0.29166666666666669</v>
      </c>
      <c r="AA162" s="154">
        <v>0.29166666666666669</v>
      </c>
      <c r="AB162" s="154">
        <v>0.29166666666666669</v>
      </c>
      <c r="AC162" s="154">
        <v>0.29166666666666669</v>
      </c>
      <c r="AD162" s="154">
        <v>0.29166666666666669</v>
      </c>
      <c r="AE162" s="154">
        <v>0.29166666666666669</v>
      </c>
      <c r="AF162" s="154">
        <v>0.29166666666666669</v>
      </c>
      <c r="AG162" s="154">
        <v>0.29166666666666669</v>
      </c>
      <c r="AH162" s="154">
        <v>0.29166666666666669</v>
      </c>
      <c r="AI162" s="154">
        <v>0.29166666666666669</v>
      </c>
      <c r="AJ162" s="154">
        <v>0.29166666666666669</v>
      </c>
      <c r="AK162" s="154">
        <v>0.29166666666666669</v>
      </c>
      <c r="AL162" s="154" t="s">
        <v>424</v>
      </c>
      <c r="AS162">
        <v>158</v>
      </c>
    </row>
    <row r="163" spans="1:46" hidden="1" x14ac:dyDescent="0.25">
      <c r="A163">
        <v>162</v>
      </c>
      <c r="B163">
        <v>2025</v>
      </c>
      <c r="C163">
        <v>4</v>
      </c>
      <c r="D163" t="s">
        <v>268</v>
      </c>
      <c r="E163">
        <v>31</v>
      </c>
      <c r="F163">
        <v>3</v>
      </c>
      <c r="G163" t="s">
        <v>535</v>
      </c>
      <c r="H163" s="154">
        <v>0.83333333333333326</v>
      </c>
      <c r="I163" s="154">
        <v>0.75</v>
      </c>
      <c r="J163" s="154">
        <v>0.8125</v>
      </c>
      <c r="K163" s="154">
        <v>0.85416666666666674</v>
      </c>
      <c r="L163" s="154">
        <v>0.91666666666666674</v>
      </c>
      <c r="M163" s="154">
        <v>0.75</v>
      </c>
      <c r="N163" s="154">
        <v>0.875</v>
      </c>
      <c r="O163" s="154">
        <v>0.85416666666666674</v>
      </c>
      <c r="P163" s="154">
        <v>0.83333333333333326</v>
      </c>
      <c r="Q163" s="154">
        <v>0.75</v>
      </c>
      <c r="R163" s="154">
        <v>0.875</v>
      </c>
      <c r="S163" s="154">
        <v>0.75</v>
      </c>
      <c r="T163" s="154">
        <v>0.8041666666666667</v>
      </c>
      <c r="U163" s="154">
        <v>0.83333333333333326</v>
      </c>
      <c r="V163" s="154">
        <v>0.83333333333333326</v>
      </c>
      <c r="W163" s="154">
        <v>0.75</v>
      </c>
      <c r="X163" s="154">
        <v>0.83333333333333326</v>
      </c>
      <c r="Y163" s="154">
        <v>0.875</v>
      </c>
      <c r="Z163" s="154">
        <v>0.83333333333333326</v>
      </c>
      <c r="AA163" s="154">
        <v>0.95833333333333326</v>
      </c>
      <c r="AB163" s="154">
        <v>0.83333333333333326</v>
      </c>
      <c r="AC163" s="154">
        <v>0.75</v>
      </c>
      <c r="AD163" s="154">
        <v>0.75</v>
      </c>
      <c r="AE163" s="154">
        <v>0.83333333333333326</v>
      </c>
      <c r="AF163" s="154">
        <v>0.75</v>
      </c>
      <c r="AG163" s="154">
        <v>0.83333333333333326</v>
      </c>
      <c r="AH163" s="154">
        <v>0.75</v>
      </c>
      <c r="AI163" s="154">
        <v>0.875</v>
      </c>
      <c r="AJ163" s="154">
        <v>0.875</v>
      </c>
      <c r="AK163" s="154">
        <v>0.75</v>
      </c>
      <c r="AL163" s="154" t="s">
        <v>424</v>
      </c>
      <c r="AM163" cm="1">
        <f t="array" ref="AM163">SUM(IFERROR(IF((H163:AL163-H162:AL162)*24&gt;=11,1,""),""))</f>
        <v>30</v>
      </c>
      <c r="AO163" cm="1">
        <f t="array" ref="AO163">SUM(IFERROR(MOD((H163:AL163-H162:AL162)*24,11),""))</f>
        <v>49.799999999999969</v>
      </c>
      <c r="AS163">
        <v>159</v>
      </c>
    </row>
    <row r="164" spans="1:46" hidden="1" x14ac:dyDescent="0.25">
      <c r="A164">
        <v>163</v>
      </c>
      <c r="B164">
        <v>2025</v>
      </c>
      <c r="C164">
        <v>4</v>
      </c>
      <c r="D164" t="s">
        <v>268</v>
      </c>
      <c r="E164">
        <v>31</v>
      </c>
      <c r="F164">
        <v>3</v>
      </c>
      <c r="G164" t="s">
        <v>536</v>
      </c>
      <c r="H164" s="154">
        <v>22506</v>
      </c>
      <c r="I164" s="154">
        <v>22516</v>
      </c>
      <c r="J164" s="154">
        <v>22541</v>
      </c>
      <c r="K164" s="154">
        <v>22680</v>
      </c>
      <c r="L164" s="154">
        <v>22716</v>
      </c>
      <c r="M164" s="154">
        <v>22810</v>
      </c>
      <c r="N164" s="154">
        <v>22954</v>
      </c>
      <c r="O164" s="154">
        <v>23002</v>
      </c>
      <c r="P164" s="154">
        <v>23052</v>
      </c>
      <c r="Q164" s="154">
        <v>23126</v>
      </c>
      <c r="R164" s="154">
        <v>23162</v>
      </c>
      <c r="S164" s="154">
        <v>23215</v>
      </c>
      <c r="T164" s="154">
        <v>23229</v>
      </c>
      <c r="U164" s="154">
        <v>23373</v>
      </c>
      <c r="V164" s="154">
        <v>23395</v>
      </c>
      <c r="W164" s="154">
        <v>23404</v>
      </c>
      <c r="X164" s="154">
        <v>23411</v>
      </c>
      <c r="Y164" s="154">
        <v>23454</v>
      </c>
      <c r="Z164" s="154">
        <v>23504</v>
      </c>
      <c r="AA164" s="154">
        <v>23560</v>
      </c>
      <c r="AB164" s="154">
        <v>23748</v>
      </c>
      <c r="AC164" s="154">
        <v>23819</v>
      </c>
      <c r="AD164" s="154">
        <v>23824</v>
      </c>
      <c r="AE164" s="154">
        <v>23849</v>
      </c>
      <c r="AF164" s="154">
        <v>23855</v>
      </c>
      <c r="AG164" s="154">
        <v>23862</v>
      </c>
      <c r="AH164" s="154">
        <v>23874</v>
      </c>
      <c r="AI164" s="154">
        <v>23876</v>
      </c>
      <c r="AJ164" s="154">
        <v>23888</v>
      </c>
      <c r="AK164" s="154">
        <v>23987</v>
      </c>
      <c r="AL164" s="154" t="s">
        <v>424</v>
      </c>
      <c r="AS164">
        <v>160</v>
      </c>
    </row>
    <row r="165" spans="1:46" hidden="1" x14ac:dyDescent="0.25">
      <c r="A165">
        <v>164</v>
      </c>
      <c r="B165">
        <v>2025</v>
      </c>
      <c r="C165">
        <v>4</v>
      </c>
      <c r="D165" t="s">
        <v>268</v>
      </c>
      <c r="E165">
        <v>31</v>
      </c>
      <c r="F165">
        <v>3</v>
      </c>
      <c r="G165" t="s">
        <v>537</v>
      </c>
      <c r="H165" s="154">
        <v>22516</v>
      </c>
      <c r="I165" s="154">
        <v>22541</v>
      </c>
      <c r="J165" s="154">
        <v>22680</v>
      </c>
      <c r="K165" s="154">
        <v>22716</v>
      </c>
      <c r="L165" s="154">
        <v>22810</v>
      </c>
      <c r="M165" s="154">
        <v>22954</v>
      </c>
      <c r="N165" s="154">
        <v>23002</v>
      </c>
      <c r="O165" s="154">
        <v>23052</v>
      </c>
      <c r="P165" s="154">
        <v>23126</v>
      </c>
      <c r="Q165" s="154">
        <v>23162</v>
      </c>
      <c r="R165" s="154">
        <v>23215</v>
      </c>
      <c r="S165" s="154">
        <v>23229</v>
      </c>
      <c r="T165" s="154">
        <v>23373</v>
      </c>
      <c r="U165" s="154">
        <v>23395</v>
      </c>
      <c r="V165" s="154">
        <v>23404</v>
      </c>
      <c r="W165" s="154">
        <v>23411</v>
      </c>
      <c r="X165" s="154">
        <v>23454</v>
      </c>
      <c r="Y165" s="154">
        <v>23504</v>
      </c>
      <c r="Z165" s="154">
        <v>23560</v>
      </c>
      <c r="AA165" s="154">
        <v>23748</v>
      </c>
      <c r="AB165" s="154">
        <v>23819</v>
      </c>
      <c r="AC165" s="154">
        <v>23824</v>
      </c>
      <c r="AD165" s="154">
        <v>23849</v>
      </c>
      <c r="AE165" s="154">
        <v>23855</v>
      </c>
      <c r="AF165" s="154">
        <v>23862</v>
      </c>
      <c r="AG165" s="154">
        <v>23874</v>
      </c>
      <c r="AH165" s="154">
        <v>23876</v>
      </c>
      <c r="AI165" s="154">
        <v>23888</v>
      </c>
      <c r="AJ165" s="154">
        <v>23987</v>
      </c>
      <c r="AK165" s="154">
        <v>24007</v>
      </c>
      <c r="AL165" s="154" t="s">
        <v>424</v>
      </c>
      <c r="AP165" cm="1">
        <f t="array" ref="AP165">IF(AQ165="","",SUM(IFERROR(H165:AL165-H164:AL164,0))*AQ165/100)</f>
        <v>225.15</v>
      </c>
      <c r="AQ165">
        <f>_xlfn.XLOOKUP(D165,log_prices!M:M,log_prices!L:L,,0)</f>
        <v>15</v>
      </c>
      <c r="AS165">
        <v>161</v>
      </c>
      <c r="AT165" cm="1">
        <f t="array" ref="AT165">IF(AQ165="","",SUM(IFERROR(H165:AL165-H164:AL164,0)))</f>
        <v>1501</v>
      </c>
    </row>
    <row r="166" spans="1:46" hidden="1" x14ac:dyDescent="0.25">
      <c r="A166">
        <v>165</v>
      </c>
      <c r="B166">
        <v>2025</v>
      </c>
      <c r="C166">
        <v>4</v>
      </c>
      <c r="D166" t="s">
        <v>269</v>
      </c>
      <c r="E166">
        <v>31</v>
      </c>
      <c r="F166">
        <v>3</v>
      </c>
      <c r="G166" t="s">
        <v>534</v>
      </c>
      <c r="H166" s="154" t="s">
        <v>424</v>
      </c>
      <c r="I166" s="154" t="s">
        <v>424</v>
      </c>
      <c r="J166" s="154" t="s">
        <v>424</v>
      </c>
      <c r="K166" s="154" t="s">
        <v>424</v>
      </c>
      <c r="L166" s="154" t="s">
        <v>424</v>
      </c>
      <c r="M166" s="154">
        <v>0.29166666666666669</v>
      </c>
      <c r="N166" s="154">
        <v>0.29166666666666669</v>
      </c>
      <c r="O166" s="154">
        <v>0.29166666666666669</v>
      </c>
      <c r="P166" s="154">
        <v>0.29166666666666669</v>
      </c>
      <c r="Q166" s="154">
        <v>0.29166666666666669</v>
      </c>
      <c r="R166" s="154">
        <v>0.29166666666666669</v>
      </c>
      <c r="S166" s="154">
        <v>0.29166666666666669</v>
      </c>
      <c r="T166" s="154">
        <v>0.29166666666666669</v>
      </c>
      <c r="U166" s="154">
        <v>0.29166666666666669</v>
      </c>
      <c r="V166" s="154">
        <v>0.29166666666666669</v>
      </c>
      <c r="W166" s="154">
        <v>0.29166666666666669</v>
      </c>
      <c r="X166" s="154">
        <v>0.29166666666666669</v>
      </c>
      <c r="Y166" s="154">
        <v>0.29166666666666669</v>
      </c>
      <c r="Z166" s="154">
        <v>0.29166666666666669</v>
      </c>
      <c r="AA166" s="154">
        <v>0.29166666666666669</v>
      </c>
      <c r="AB166" s="154">
        <v>0.29166666666666669</v>
      </c>
      <c r="AC166" s="154">
        <v>0.29166666666666669</v>
      </c>
      <c r="AD166" s="154">
        <v>0.29166666666666669</v>
      </c>
      <c r="AE166" s="154">
        <v>0.29166666666666669</v>
      </c>
      <c r="AF166" s="154">
        <v>0.29166666666666669</v>
      </c>
      <c r="AG166" s="154">
        <v>0.29166666666666669</v>
      </c>
      <c r="AH166" s="154">
        <v>0.29166666666666669</v>
      </c>
      <c r="AI166" s="154">
        <v>0.29166666666666669</v>
      </c>
      <c r="AJ166" s="154">
        <v>0.29166666666666669</v>
      </c>
      <c r="AK166" s="154">
        <v>0.29166666666666669</v>
      </c>
      <c r="AL166" s="154" t="s">
        <v>424</v>
      </c>
      <c r="AS166">
        <v>162</v>
      </c>
    </row>
    <row r="167" spans="1:46" hidden="1" x14ac:dyDescent="0.25">
      <c r="A167">
        <v>166</v>
      </c>
      <c r="B167">
        <v>2025</v>
      </c>
      <c r="C167">
        <v>4</v>
      </c>
      <c r="D167" t="s">
        <v>269</v>
      </c>
      <c r="E167">
        <v>31</v>
      </c>
      <c r="F167">
        <v>3</v>
      </c>
      <c r="G167" t="s">
        <v>535</v>
      </c>
      <c r="H167" s="154" t="s">
        <v>424</v>
      </c>
      <c r="I167" s="154" t="s">
        <v>424</v>
      </c>
      <c r="J167" s="154" t="s">
        <v>424</v>
      </c>
      <c r="K167" s="154" t="s">
        <v>424</v>
      </c>
      <c r="L167" s="154" t="s">
        <v>424</v>
      </c>
      <c r="M167" s="154">
        <v>0.75</v>
      </c>
      <c r="N167" s="154">
        <v>0.75</v>
      </c>
      <c r="O167" s="154">
        <v>0.83333333333333326</v>
      </c>
      <c r="P167" s="154">
        <v>0.83333333333333326</v>
      </c>
      <c r="Q167" s="154">
        <v>0.83333333333333326</v>
      </c>
      <c r="R167" s="154">
        <v>0.75</v>
      </c>
      <c r="S167" s="154">
        <v>0.75</v>
      </c>
      <c r="T167" s="154">
        <v>0.83333333333333326</v>
      </c>
      <c r="U167" s="154">
        <v>0.83333333333333326</v>
      </c>
      <c r="V167" s="154">
        <v>0.75</v>
      </c>
      <c r="W167" s="154">
        <v>0.75</v>
      </c>
      <c r="X167" s="154">
        <v>0.75</v>
      </c>
      <c r="Y167" s="154">
        <v>0.75</v>
      </c>
      <c r="Z167" s="154">
        <v>0.83333333333333326</v>
      </c>
      <c r="AA167" s="154">
        <v>0.75</v>
      </c>
      <c r="AB167" s="154">
        <v>0.75</v>
      </c>
      <c r="AC167" s="154">
        <v>0.75</v>
      </c>
      <c r="AD167" s="154">
        <v>0.75</v>
      </c>
      <c r="AE167" s="154">
        <v>0.75</v>
      </c>
      <c r="AF167" s="154">
        <v>0.75</v>
      </c>
      <c r="AG167" s="154">
        <v>0.83333333333333326</v>
      </c>
      <c r="AH167" s="154">
        <v>0.75</v>
      </c>
      <c r="AI167" s="154">
        <v>0.91666666666666674</v>
      </c>
      <c r="AJ167" s="154">
        <v>0.875</v>
      </c>
      <c r="AK167" s="154">
        <v>0.75</v>
      </c>
      <c r="AL167" s="154" t="s">
        <v>424</v>
      </c>
      <c r="AM167" cm="1">
        <f t="array" ref="AM167">SUM(IFERROR(IF((H167:AL167-H166:AL166)*24&gt;=11,1,""),""))</f>
        <v>25</v>
      </c>
      <c r="AO167" cm="1">
        <f t="array" ref="AO167">SUM(IFERROR(MOD((H167:AL167-H166:AL166)*24,11),""))</f>
        <v>20.999999999999972</v>
      </c>
      <c r="AS167">
        <v>163</v>
      </c>
    </row>
    <row r="168" spans="1:46" hidden="1" x14ac:dyDescent="0.25">
      <c r="A168">
        <v>167</v>
      </c>
      <c r="B168">
        <v>2025</v>
      </c>
      <c r="C168">
        <v>4</v>
      </c>
      <c r="D168" t="s">
        <v>269</v>
      </c>
      <c r="E168">
        <v>31</v>
      </c>
      <c r="F168">
        <v>3</v>
      </c>
      <c r="G168" t="s">
        <v>536</v>
      </c>
      <c r="H168" s="154" t="s">
        <v>424</v>
      </c>
      <c r="I168" s="154" t="s">
        <v>424</v>
      </c>
      <c r="J168" s="154" t="s">
        <v>424</v>
      </c>
      <c r="K168" s="154" t="s">
        <v>424</v>
      </c>
      <c r="L168" s="154" t="s">
        <v>424</v>
      </c>
      <c r="M168" s="154">
        <v>24783</v>
      </c>
      <c r="N168" s="154">
        <v>24805</v>
      </c>
      <c r="O168" s="154">
        <v>24828</v>
      </c>
      <c r="P168" s="154">
        <v>24872</v>
      </c>
      <c r="Q168" s="154">
        <v>24912</v>
      </c>
      <c r="R168" s="154">
        <v>24939</v>
      </c>
      <c r="S168" s="154">
        <v>24976</v>
      </c>
      <c r="T168" s="154">
        <v>25005</v>
      </c>
      <c r="U168" s="154">
        <v>25045</v>
      </c>
      <c r="V168" s="154">
        <v>25072</v>
      </c>
      <c r="W168" s="154">
        <v>25087</v>
      </c>
      <c r="X168" s="154">
        <v>25099</v>
      </c>
      <c r="Y168" s="154">
        <v>25222</v>
      </c>
      <c r="Z168" s="154">
        <v>25241</v>
      </c>
      <c r="AA168" s="154">
        <v>25264</v>
      </c>
      <c r="AB168" s="154">
        <v>25315</v>
      </c>
      <c r="AC168" s="154">
        <v>25362</v>
      </c>
      <c r="AD168" s="154">
        <v>25413</v>
      </c>
      <c r="AE168" s="154">
        <v>25496</v>
      </c>
      <c r="AF168" s="154">
        <v>25508</v>
      </c>
      <c r="AG168" s="154">
        <v>25519</v>
      </c>
      <c r="AH168" s="154">
        <v>25573</v>
      </c>
      <c r="AI168" s="154">
        <v>25622</v>
      </c>
      <c r="AJ168" s="154">
        <v>25676</v>
      </c>
      <c r="AK168" s="154">
        <v>25714</v>
      </c>
      <c r="AL168" s="154" t="s">
        <v>424</v>
      </c>
      <c r="AS168">
        <v>164</v>
      </c>
    </row>
    <row r="169" spans="1:46" hidden="1" x14ac:dyDescent="0.25">
      <c r="A169">
        <v>168</v>
      </c>
      <c r="B169">
        <v>2025</v>
      </c>
      <c r="C169">
        <v>4</v>
      </c>
      <c r="D169" t="s">
        <v>269</v>
      </c>
      <c r="E169">
        <v>31</v>
      </c>
      <c r="F169">
        <v>3</v>
      </c>
      <c r="G169" t="s">
        <v>537</v>
      </c>
      <c r="H169" s="154" t="s">
        <v>424</v>
      </c>
      <c r="I169" s="154" t="s">
        <v>424</v>
      </c>
      <c r="J169" s="154" t="s">
        <v>424</v>
      </c>
      <c r="K169" s="154" t="s">
        <v>424</v>
      </c>
      <c r="L169" s="154" t="s">
        <v>424</v>
      </c>
      <c r="M169" s="154">
        <v>24805</v>
      </c>
      <c r="N169" s="154">
        <v>24828</v>
      </c>
      <c r="O169" s="154">
        <v>24872</v>
      </c>
      <c r="P169" s="154">
        <v>24912</v>
      </c>
      <c r="Q169" s="154">
        <v>24939</v>
      </c>
      <c r="R169" s="154">
        <v>24974</v>
      </c>
      <c r="S169" s="154">
        <v>25005</v>
      </c>
      <c r="T169" s="154">
        <v>25045</v>
      </c>
      <c r="U169" s="154">
        <v>25071</v>
      </c>
      <c r="V169" s="154">
        <v>25087</v>
      </c>
      <c r="W169" s="154">
        <v>25099</v>
      </c>
      <c r="X169" s="154">
        <v>25221</v>
      </c>
      <c r="Y169" s="154">
        <v>25241</v>
      </c>
      <c r="Z169" s="154">
        <v>25264</v>
      </c>
      <c r="AA169" s="154">
        <v>25315</v>
      </c>
      <c r="AB169" s="154">
        <v>25356</v>
      </c>
      <c r="AC169" s="154">
        <v>25400</v>
      </c>
      <c r="AD169" s="154">
        <v>25496</v>
      </c>
      <c r="AE169" s="154">
        <v>25508</v>
      </c>
      <c r="AF169" s="154">
        <v>25519</v>
      </c>
      <c r="AG169" s="154">
        <v>25573</v>
      </c>
      <c r="AH169" s="154">
        <v>25622</v>
      </c>
      <c r="AI169" s="154">
        <v>25676</v>
      </c>
      <c r="AJ169" s="154">
        <v>25714</v>
      </c>
      <c r="AK169" s="154">
        <v>25772</v>
      </c>
      <c r="AL169" s="154" t="s">
        <v>424</v>
      </c>
      <c r="AP169" cm="1">
        <f t="array" ref="AP169">IF(AQ169="","",SUM(IFERROR(H169:AL169-H168:AL168,0))*AQ169/100)</f>
        <v>144.9</v>
      </c>
      <c r="AQ169">
        <f>_xlfn.XLOOKUP(D169,log_prices!M:M,log_prices!L:L,,0)</f>
        <v>15</v>
      </c>
      <c r="AS169">
        <v>165</v>
      </c>
      <c r="AT169" cm="1">
        <f t="array" ref="AT169">IF(AQ169="","",SUM(IFERROR(H169:AL169-H168:AL168,0)))</f>
        <v>966</v>
      </c>
    </row>
    <row r="170" spans="1:46" hidden="1" x14ac:dyDescent="0.25">
      <c r="A170">
        <v>169</v>
      </c>
      <c r="B170">
        <v>2025</v>
      </c>
      <c r="C170">
        <v>4</v>
      </c>
      <c r="D170" t="s">
        <v>253</v>
      </c>
      <c r="E170">
        <v>31</v>
      </c>
      <c r="F170">
        <v>3</v>
      </c>
      <c r="G170" t="s">
        <v>534</v>
      </c>
      <c r="H170" s="154" t="s">
        <v>424</v>
      </c>
      <c r="I170" s="154" t="s">
        <v>424</v>
      </c>
      <c r="J170" s="154" t="s">
        <v>424</v>
      </c>
      <c r="K170" s="154" t="s">
        <v>424</v>
      </c>
      <c r="L170" s="154" t="s">
        <v>424</v>
      </c>
      <c r="M170" s="154" t="s">
        <v>424</v>
      </c>
      <c r="N170" s="154" t="s">
        <v>424</v>
      </c>
      <c r="O170" s="154" t="s">
        <v>424</v>
      </c>
      <c r="P170" s="154" t="s">
        <v>424</v>
      </c>
      <c r="Q170" s="154" t="s">
        <v>424</v>
      </c>
      <c r="R170" s="154" t="s">
        <v>424</v>
      </c>
      <c r="S170" s="154" t="s">
        <v>424</v>
      </c>
      <c r="T170" s="154" t="s">
        <v>424</v>
      </c>
      <c r="U170" s="154" t="s">
        <v>424</v>
      </c>
      <c r="V170" s="154" t="s">
        <v>424</v>
      </c>
      <c r="W170" s="154" t="s">
        <v>424</v>
      </c>
      <c r="X170" s="154" t="s">
        <v>424</v>
      </c>
      <c r="Y170" s="154" t="s">
        <v>424</v>
      </c>
      <c r="Z170" s="154" t="s">
        <v>424</v>
      </c>
      <c r="AA170" s="154" t="s">
        <v>424</v>
      </c>
      <c r="AB170" s="154" t="s">
        <v>424</v>
      </c>
      <c r="AC170" s="154" t="s">
        <v>424</v>
      </c>
      <c r="AD170" s="154" t="s">
        <v>424</v>
      </c>
      <c r="AE170" s="154">
        <v>0.29166666666666669</v>
      </c>
      <c r="AF170" s="154">
        <v>0.29166666666666669</v>
      </c>
      <c r="AG170" s="154">
        <v>0.29166666666666669</v>
      </c>
      <c r="AH170" s="154">
        <v>0.29166666666666669</v>
      </c>
      <c r="AI170" s="154">
        <v>0.29166666666666669</v>
      </c>
      <c r="AJ170" s="154">
        <v>0.29166666666666669</v>
      </c>
      <c r="AK170" s="154">
        <v>0.29166666666666669</v>
      </c>
      <c r="AL170" s="154" t="s">
        <v>424</v>
      </c>
      <c r="AS170">
        <v>166</v>
      </c>
    </row>
    <row r="171" spans="1:46" hidden="1" x14ac:dyDescent="0.25">
      <c r="A171">
        <v>170</v>
      </c>
      <c r="B171">
        <v>2025</v>
      </c>
      <c r="C171">
        <v>4</v>
      </c>
      <c r="D171" t="s">
        <v>253</v>
      </c>
      <c r="E171">
        <v>31</v>
      </c>
      <c r="F171">
        <v>3</v>
      </c>
      <c r="G171" t="s">
        <v>535</v>
      </c>
      <c r="H171" s="154" t="s">
        <v>424</v>
      </c>
      <c r="I171" s="154" t="s">
        <v>424</v>
      </c>
      <c r="J171" s="154" t="s">
        <v>424</v>
      </c>
      <c r="K171" s="154" t="s">
        <v>424</v>
      </c>
      <c r="L171" s="154" t="s">
        <v>424</v>
      </c>
      <c r="M171" s="154" t="s">
        <v>424</v>
      </c>
      <c r="N171" s="154" t="s">
        <v>424</v>
      </c>
      <c r="O171" s="154" t="s">
        <v>424</v>
      </c>
      <c r="P171" s="154" t="s">
        <v>424</v>
      </c>
      <c r="Q171" s="154" t="s">
        <v>424</v>
      </c>
      <c r="R171" s="154" t="s">
        <v>424</v>
      </c>
      <c r="S171" s="154" t="s">
        <v>424</v>
      </c>
      <c r="T171" s="154" t="s">
        <v>424</v>
      </c>
      <c r="U171" s="154" t="s">
        <v>424</v>
      </c>
      <c r="V171" s="154" t="s">
        <v>424</v>
      </c>
      <c r="W171" s="154" t="s">
        <v>424</v>
      </c>
      <c r="X171" s="154" t="s">
        <v>424</v>
      </c>
      <c r="Y171" s="154" t="s">
        <v>424</v>
      </c>
      <c r="Z171" s="154" t="s">
        <v>424</v>
      </c>
      <c r="AA171" s="154" t="s">
        <v>424</v>
      </c>
      <c r="AB171" s="154" t="s">
        <v>424</v>
      </c>
      <c r="AC171" s="154" t="s">
        <v>424</v>
      </c>
      <c r="AD171" s="154" t="s">
        <v>424</v>
      </c>
      <c r="AE171" s="154">
        <v>0.75</v>
      </c>
      <c r="AF171" s="154">
        <v>0.75</v>
      </c>
      <c r="AG171" s="154">
        <v>0.75</v>
      </c>
      <c r="AH171" s="154">
        <v>0.75</v>
      </c>
      <c r="AI171" s="154">
        <v>0.75</v>
      </c>
      <c r="AJ171" s="154">
        <v>0.75</v>
      </c>
      <c r="AK171" s="154">
        <v>0.75</v>
      </c>
      <c r="AL171" s="154" t="s">
        <v>424</v>
      </c>
      <c r="AM171" cm="1">
        <f t="array" ref="AM171">SUM(IFERROR(IF((H171:AL171-H170:AL170)*24&gt;=11,1,""),""))</f>
        <v>7</v>
      </c>
      <c r="AO171" cm="1">
        <f t="array" ref="AO171">SUM(IFERROR(MOD((H171:AL171-H170:AL170)*24,11),""))</f>
        <v>0</v>
      </c>
      <c r="AS171">
        <v>167</v>
      </c>
    </row>
    <row r="172" spans="1:46" hidden="1" x14ac:dyDescent="0.25">
      <c r="A172">
        <v>171</v>
      </c>
      <c r="B172">
        <v>2025</v>
      </c>
      <c r="C172">
        <v>4</v>
      </c>
      <c r="D172" t="s">
        <v>253</v>
      </c>
      <c r="E172">
        <v>31</v>
      </c>
      <c r="F172">
        <v>3</v>
      </c>
      <c r="G172" t="s">
        <v>536</v>
      </c>
      <c r="H172" s="154" t="s">
        <v>424</v>
      </c>
      <c r="I172" s="154" t="s">
        <v>424</v>
      </c>
      <c r="J172" s="154" t="s">
        <v>424</v>
      </c>
      <c r="K172" s="154" t="s">
        <v>424</v>
      </c>
      <c r="L172" s="154" t="s">
        <v>424</v>
      </c>
      <c r="M172" s="154" t="s">
        <v>424</v>
      </c>
      <c r="N172" s="154" t="s">
        <v>424</v>
      </c>
      <c r="O172" s="154" t="s">
        <v>424</v>
      </c>
      <c r="P172" s="154" t="s">
        <v>424</v>
      </c>
      <c r="Q172" s="154" t="s">
        <v>424</v>
      </c>
      <c r="R172" s="154" t="s">
        <v>424</v>
      </c>
      <c r="S172" s="154" t="s">
        <v>424</v>
      </c>
      <c r="T172" s="154" t="s">
        <v>424</v>
      </c>
      <c r="U172" s="154" t="s">
        <v>424</v>
      </c>
      <c r="V172" s="154" t="s">
        <v>424</v>
      </c>
      <c r="W172" s="154" t="s">
        <v>424</v>
      </c>
      <c r="X172" s="154" t="s">
        <v>424</v>
      </c>
      <c r="Y172" s="154" t="s">
        <v>424</v>
      </c>
      <c r="Z172" s="154" t="s">
        <v>424</v>
      </c>
      <c r="AA172" s="154" t="s">
        <v>424</v>
      </c>
      <c r="AB172" s="154" t="s">
        <v>424</v>
      </c>
      <c r="AC172" s="154" t="s">
        <v>424</v>
      </c>
      <c r="AD172" s="154" t="s">
        <v>424</v>
      </c>
      <c r="AE172" s="154">
        <v>826977</v>
      </c>
      <c r="AF172" s="154">
        <v>827181</v>
      </c>
      <c r="AG172" s="154">
        <v>827393</v>
      </c>
      <c r="AH172" s="154">
        <v>827595</v>
      </c>
      <c r="AI172" s="154">
        <v>827595</v>
      </c>
      <c r="AJ172" s="154">
        <v>827974</v>
      </c>
      <c r="AK172" s="154">
        <v>828182</v>
      </c>
      <c r="AL172" s="154" t="s">
        <v>424</v>
      </c>
      <c r="AS172">
        <v>168</v>
      </c>
    </row>
    <row r="173" spans="1:46" hidden="1" x14ac:dyDescent="0.25">
      <c r="A173">
        <v>172</v>
      </c>
      <c r="B173">
        <v>2025</v>
      </c>
      <c r="C173">
        <v>4</v>
      </c>
      <c r="D173" t="s">
        <v>253</v>
      </c>
      <c r="E173">
        <v>31</v>
      </c>
      <c r="F173">
        <v>3</v>
      </c>
      <c r="G173" t="s">
        <v>537</v>
      </c>
      <c r="H173" s="154" t="s">
        <v>424</v>
      </c>
      <c r="I173" s="154" t="s">
        <v>424</v>
      </c>
      <c r="J173" s="154" t="s">
        <v>424</v>
      </c>
      <c r="K173" s="154" t="s">
        <v>424</v>
      </c>
      <c r="L173" s="154" t="s">
        <v>424</v>
      </c>
      <c r="M173" s="154" t="s">
        <v>424</v>
      </c>
      <c r="N173" s="154" t="s">
        <v>424</v>
      </c>
      <c r="O173" s="154" t="s">
        <v>424</v>
      </c>
      <c r="P173" s="154" t="s">
        <v>424</v>
      </c>
      <c r="Q173" s="154" t="s">
        <v>424</v>
      </c>
      <c r="R173" s="154" t="s">
        <v>424</v>
      </c>
      <c r="S173" s="154" t="s">
        <v>424</v>
      </c>
      <c r="T173" s="154" t="s">
        <v>424</v>
      </c>
      <c r="U173" s="154" t="s">
        <v>424</v>
      </c>
      <c r="V173" s="154" t="s">
        <v>424</v>
      </c>
      <c r="W173" s="154" t="s">
        <v>424</v>
      </c>
      <c r="X173" s="154" t="s">
        <v>424</v>
      </c>
      <c r="Y173" s="154" t="s">
        <v>424</v>
      </c>
      <c r="Z173" s="154" t="s">
        <v>424</v>
      </c>
      <c r="AA173" s="154" t="s">
        <v>424</v>
      </c>
      <c r="AB173" s="154" t="s">
        <v>424</v>
      </c>
      <c r="AC173" s="154" t="s">
        <v>424</v>
      </c>
      <c r="AD173" s="154" t="s">
        <v>424</v>
      </c>
      <c r="AE173" s="154">
        <v>827181</v>
      </c>
      <c r="AF173" s="154">
        <v>827393</v>
      </c>
      <c r="AG173" s="154">
        <v>827595</v>
      </c>
      <c r="AH173" s="154">
        <v>827770</v>
      </c>
      <c r="AI173" s="154">
        <v>827974</v>
      </c>
      <c r="AJ173" s="154">
        <v>828182</v>
      </c>
      <c r="AK173" s="154">
        <v>828394</v>
      </c>
      <c r="AL173" s="154" t="s">
        <v>424</v>
      </c>
      <c r="AP173" cm="1">
        <f t="array" ref="AP173">IF(AQ173="","",SUM(IFERROR(H173:AL173-H172:AL172,0))*AQ173/100)</f>
        <v>286.56</v>
      </c>
      <c r="AQ173">
        <f>_xlfn.XLOOKUP(D173,log_prices!M:M,log_prices!L:L,,0)</f>
        <v>18</v>
      </c>
      <c r="AS173">
        <v>169</v>
      </c>
      <c r="AT173" cm="1">
        <f t="array" ref="AT173">IF(AQ173="","",SUM(IFERROR(H173:AL173-H172:AL172,0)))</f>
        <v>1592</v>
      </c>
    </row>
    <row r="174" spans="1:46" hidden="1" x14ac:dyDescent="0.25">
      <c r="A174">
        <v>173</v>
      </c>
      <c r="B174">
        <v>2025</v>
      </c>
      <c r="C174">
        <v>5</v>
      </c>
      <c r="D174" t="s">
        <v>260</v>
      </c>
      <c r="E174">
        <v>31</v>
      </c>
      <c r="F174">
        <v>4</v>
      </c>
      <c r="G174" t="s">
        <v>534</v>
      </c>
      <c r="H174" s="154">
        <v>0.29166666666666669</v>
      </c>
      <c r="I174" s="154">
        <v>0.29166666666666669</v>
      </c>
      <c r="J174" s="154">
        <v>0.29166666666666669</v>
      </c>
      <c r="K174" s="154">
        <v>0.29166666666666669</v>
      </c>
      <c r="L174" s="154">
        <v>0.29166666666666669</v>
      </c>
      <c r="M174" s="154">
        <v>0.29166666666666669</v>
      </c>
      <c r="N174" s="154">
        <v>0.29166666666666669</v>
      </c>
      <c r="O174" s="154">
        <v>0.29166666666666669</v>
      </c>
      <c r="P174" s="154">
        <v>0.29166666666666669</v>
      </c>
      <c r="Q174" s="154">
        <v>0.29166666666666669</v>
      </c>
      <c r="R174" s="154">
        <v>0.29166666666666669</v>
      </c>
      <c r="S174" s="154">
        <v>0.29166666666666669</v>
      </c>
      <c r="T174" s="154">
        <v>0.29166666666666669</v>
      </c>
      <c r="U174" s="154">
        <v>0.29166666666666669</v>
      </c>
      <c r="V174" s="154">
        <v>0.29166666666666669</v>
      </c>
      <c r="W174" s="154">
        <v>0.29166666666666669</v>
      </c>
      <c r="X174" s="154">
        <v>0.29166666666666669</v>
      </c>
      <c r="Y174" s="154">
        <v>0.29166666666666669</v>
      </c>
      <c r="Z174" s="154">
        <v>0.29166666666666669</v>
      </c>
      <c r="AA174" s="154">
        <v>0.29166666666666669</v>
      </c>
      <c r="AB174" s="154">
        <v>0.29166666666666669</v>
      </c>
      <c r="AC174" s="154">
        <v>0.29166666666666669</v>
      </c>
      <c r="AD174" s="154">
        <v>0.29166666666666669</v>
      </c>
      <c r="AE174" s="154">
        <v>0.29166666666666669</v>
      </c>
      <c r="AF174" s="154" t="s">
        <v>424</v>
      </c>
      <c r="AG174" s="154">
        <v>0.29166666666666669</v>
      </c>
      <c r="AH174" s="154">
        <v>0.29166666666666669</v>
      </c>
      <c r="AI174" s="154">
        <v>0.29166666666666669</v>
      </c>
      <c r="AJ174" s="154">
        <v>0.29166666666666669</v>
      </c>
      <c r="AK174" s="154">
        <v>0.29166666666666669</v>
      </c>
      <c r="AL174" s="154">
        <v>0.29166666666666669</v>
      </c>
      <c r="AS174">
        <v>170</v>
      </c>
    </row>
    <row r="175" spans="1:46" hidden="1" x14ac:dyDescent="0.25">
      <c r="A175">
        <v>174</v>
      </c>
      <c r="B175">
        <v>2025</v>
      </c>
      <c r="C175">
        <v>5</v>
      </c>
      <c r="D175" t="s">
        <v>260</v>
      </c>
      <c r="E175">
        <v>31</v>
      </c>
      <c r="F175">
        <v>4</v>
      </c>
      <c r="G175" t="s">
        <v>535</v>
      </c>
      <c r="H175" s="154">
        <v>0.75</v>
      </c>
      <c r="I175" s="154">
        <v>0.75</v>
      </c>
      <c r="J175" s="154">
        <v>0.75</v>
      </c>
      <c r="K175" s="154">
        <v>0.75</v>
      </c>
      <c r="L175" s="154">
        <v>0.75</v>
      </c>
      <c r="M175" s="154">
        <v>0.75</v>
      </c>
      <c r="N175" s="154">
        <v>0.75</v>
      </c>
      <c r="O175" s="154">
        <v>0.75</v>
      </c>
      <c r="P175" s="154">
        <v>0.75</v>
      </c>
      <c r="Q175" s="154">
        <v>0.75</v>
      </c>
      <c r="R175" s="154">
        <v>0.75</v>
      </c>
      <c r="S175" s="154">
        <v>0.75</v>
      </c>
      <c r="T175" s="154">
        <v>0.75</v>
      </c>
      <c r="U175" s="154">
        <v>0.75</v>
      </c>
      <c r="V175" s="154">
        <v>0.75</v>
      </c>
      <c r="W175" s="154">
        <v>0.75</v>
      </c>
      <c r="X175" s="154">
        <v>0.75</v>
      </c>
      <c r="Y175" s="154">
        <v>0.75</v>
      </c>
      <c r="Z175" s="154">
        <v>0.75</v>
      </c>
      <c r="AA175" s="154">
        <v>0.75</v>
      </c>
      <c r="AB175" s="154">
        <v>0.75</v>
      </c>
      <c r="AC175" s="154">
        <v>0.75</v>
      </c>
      <c r="AD175" s="154">
        <v>0.75</v>
      </c>
      <c r="AE175" s="154">
        <v>0.75</v>
      </c>
      <c r="AF175" s="154" t="s">
        <v>424</v>
      </c>
      <c r="AG175" s="154">
        <v>0.75</v>
      </c>
      <c r="AH175" s="154">
        <v>0.75</v>
      </c>
      <c r="AI175" s="154">
        <v>0.75</v>
      </c>
      <c r="AJ175" s="154">
        <v>0.75</v>
      </c>
      <c r="AK175" s="154">
        <v>0.75</v>
      </c>
      <c r="AL175" s="154">
        <v>0.75</v>
      </c>
      <c r="AM175" cm="1">
        <f t="array" ref="AM175">SUM(_xlfn.LET(_xlpm.r,((IFERROR(H175:AL175-H174:AL174,0))*24)/10,IF(_xlpm.r&gt;1,1,_xlpm.r)))</f>
        <v>30</v>
      </c>
      <c r="AS175">
        <v>171</v>
      </c>
    </row>
    <row r="176" spans="1:46" hidden="1" x14ac:dyDescent="0.25">
      <c r="A176">
        <v>175</v>
      </c>
      <c r="B176">
        <v>2025</v>
      </c>
      <c r="C176">
        <v>5</v>
      </c>
      <c r="D176" t="s">
        <v>260</v>
      </c>
      <c r="E176">
        <v>31</v>
      </c>
      <c r="F176">
        <v>4</v>
      </c>
      <c r="G176" t="s">
        <v>536</v>
      </c>
      <c r="H176" s="154">
        <v>784370</v>
      </c>
      <c r="I176" s="154">
        <v>784521</v>
      </c>
      <c r="J176" s="154">
        <v>784699</v>
      </c>
      <c r="K176" s="154">
        <v>784825</v>
      </c>
      <c r="L176" s="154">
        <v>785054</v>
      </c>
      <c r="M176" s="154">
        <v>785204</v>
      </c>
      <c r="N176" s="154">
        <v>785384</v>
      </c>
      <c r="O176" s="154">
        <v>785538</v>
      </c>
      <c r="P176" s="154">
        <v>785687</v>
      </c>
      <c r="Q176" s="154">
        <v>785843</v>
      </c>
      <c r="R176" s="154">
        <v>785999</v>
      </c>
      <c r="S176" s="154">
        <v>786095</v>
      </c>
      <c r="T176" s="154">
        <v>786240</v>
      </c>
      <c r="U176" s="154">
        <v>786419</v>
      </c>
      <c r="V176" s="154">
        <v>786569</v>
      </c>
      <c r="W176" s="154">
        <v>786784</v>
      </c>
      <c r="X176" s="154">
        <v>786957</v>
      </c>
      <c r="Y176" s="154">
        <v>787107</v>
      </c>
      <c r="Z176" s="154">
        <v>787554</v>
      </c>
      <c r="AA176" s="154">
        <v>787710</v>
      </c>
      <c r="AB176" s="154">
        <v>787861</v>
      </c>
      <c r="AC176" s="154">
        <v>788039</v>
      </c>
      <c r="AD176" s="154">
        <v>788191</v>
      </c>
      <c r="AE176" s="154">
        <v>788371</v>
      </c>
      <c r="AF176" s="154" t="s">
        <v>424</v>
      </c>
      <c r="AG176" s="154">
        <v>788805</v>
      </c>
      <c r="AH176" s="154">
        <v>788956</v>
      </c>
      <c r="AI176" s="154">
        <v>789108</v>
      </c>
      <c r="AJ176" s="154">
        <v>789296</v>
      </c>
      <c r="AK176" s="154">
        <v>789447</v>
      </c>
      <c r="AL176" s="154">
        <v>789624</v>
      </c>
      <c r="AS176">
        <v>172</v>
      </c>
    </row>
    <row r="177" spans="1:46" hidden="1" x14ac:dyDescent="0.25">
      <c r="A177">
        <v>176</v>
      </c>
      <c r="B177">
        <v>2025</v>
      </c>
      <c r="C177">
        <v>5</v>
      </c>
      <c r="D177" t="s">
        <v>260</v>
      </c>
      <c r="E177">
        <v>31</v>
      </c>
      <c r="F177">
        <v>4</v>
      </c>
      <c r="G177" t="s">
        <v>537</v>
      </c>
      <c r="H177" s="154">
        <v>784521</v>
      </c>
      <c r="I177" s="154">
        <v>784699</v>
      </c>
      <c r="J177" s="154">
        <v>784825</v>
      </c>
      <c r="K177" s="154">
        <v>785054</v>
      </c>
      <c r="L177" s="154">
        <v>785204</v>
      </c>
      <c r="M177" s="154">
        <v>785384</v>
      </c>
      <c r="N177" s="154">
        <v>785538</v>
      </c>
      <c r="O177" s="154">
        <v>785687</v>
      </c>
      <c r="P177" s="154">
        <v>785843</v>
      </c>
      <c r="Q177" s="154">
        <v>785999</v>
      </c>
      <c r="R177" s="154">
        <v>786095</v>
      </c>
      <c r="S177" s="154">
        <v>786240</v>
      </c>
      <c r="T177" s="154">
        <v>786419</v>
      </c>
      <c r="U177" s="154">
        <v>786569</v>
      </c>
      <c r="V177" s="154">
        <v>786784</v>
      </c>
      <c r="W177" s="154">
        <v>786957</v>
      </c>
      <c r="X177" s="154">
        <v>787107</v>
      </c>
      <c r="Y177" s="154">
        <v>787554</v>
      </c>
      <c r="Z177" s="154">
        <v>787710</v>
      </c>
      <c r="AA177" s="154">
        <v>787861</v>
      </c>
      <c r="AB177" s="154">
        <v>788039</v>
      </c>
      <c r="AC177" s="154">
        <v>788191</v>
      </c>
      <c r="AD177" s="154">
        <v>788371</v>
      </c>
      <c r="AE177" s="154">
        <v>788533</v>
      </c>
      <c r="AF177" s="154" t="s">
        <v>424</v>
      </c>
      <c r="AG177" s="154">
        <v>788956</v>
      </c>
      <c r="AH177" s="154">
        <v>789108</v>
      </c>
      <c r="AI177" s="154">
        <v>789296</v>
      </c>
      <c r="AJ177" s="154">
        <v>789447</v>
      </c>
      <c r="AK177" s="154">
        <v>789624</v>
      </c>
      <c r="AL177" s="154">
        <v>789776</v>
      </c>
      <c r="AP177" cm="1">
        <f t="array" ref="AP177">IF(AQ177="","",SUM(IFERROR(H177:AL177-H176:AL176,0))*AQ177/100)</f>
        <v>924.12</v>
      </c>
      <c r="AQ177">
        <f>_xlfn.XLOOKUP(D177,log_prices!M:M,log_prices!L:L,,0)</f>
        <v>18</v>
      </c>
      <c r="AS177">
        <v>173</v>
      </c>
      <c r="AT177" cm="1">
        <f t="array" ref="AT177">IF(AQ177="","",SUM(IFERROR(H177:AL177-H176:AL176,0)))</f>
        <v>5134</v>
      </c>
    </row>
    <row r="178" spans="1:46" hidden="1" x14ac:dyDescent="0.25">
      <c r="A178">
        <v>177</v>
      </c>
      <c r="B178">
        <v>2025</v>
      </c>
      <c r="C178">
        <v>5</v>
      </c>
      <c r="D178" t="s">
        <v>430</v>
      </c>
      <c r="E178">
        <v>31</v>
      </c>
      <c r="F178">
        <v>4</v>
      </c>
      <c r="G178" t="s">
        <v>534</v>
      </c>
      <c r="H178" s="154" t="s">
        <v>479</v>
      </c>
      <c r="I178" s="154" t="s">
        <v>479</v>
      </c>
      <c r="J178" s="154" t="s">
        <v>479</v>
      </c>
      <c r="K178" s="154" t="s">
        <v>479</v>
      </c>
      <c r="L178" s="154" t="s">
        <v>479</v>
      </c>
      <c r="M178" s="154" t="s">
        <v>479</v>
      </c>
      <c r="N178" s="154" t="s">
        <v>479</v>
      </c>
      <c r="O178" s="154" t="s">
        <v>479</v>
      </c>
      <c r="P178" s="154" t="s">
        <v>479</v>
      </c>
      <c r="Q178" s="154" t="s">
        <v>479</v>
      </c>
      <c r="R178" s="154" t="s">
        <v>479</v>
      </c>
      <c r="S178" s="154" t="s">
        <v>479</v>
      </c>
      <c r="T178" s="154" t="s">
        <v>479</v>
      </c>
      <c r="U178" s="154" t="s">
        <v>479</v>
      </c>
      <c r="V178" s="154" t="s">
        <v>479</v>
      </c>
      <c r="W178" s="154" t="s">
        <v>479</v>
      </c>
      <c r="X178" s="154" t="s">
        <v>479</v>
      </c>
      <c r="Y178" s="154" t="s">
        <v>479</v>
      </c>
      <c r="Z178" s="154" t="s">
        <v>479</v>
      </c>
      <c r="AA178" s="154" t="s">
        <v>479</v>
      </c>
      <c r="AB178" s="154" t="s">
        <v>424</v>
      </c>
      <c r="AC178" s="154" t="s">
        <v>479</v>
      </c>
      <c r="AD178" s="154" t="s">
        <v>479</v>
      </c>
      <c r="AE178" s="154" t="s">
        <v>479</v>
      </c>
      <c r="AF178" s="154" t="s">
        <v>479</v>
      </c>
      <c r="AG178" s="154" t="s">
        <v>479</v>
      </c>
      <c r="AH178" s="154" t="s">
        <v>479</v>
      </c>
      <c r="AI178" s="154" t="s">
        <v>424</v>
      </c>
      <c r="AJ178" s="154" t="s">
        <v>424</v>
      </c>
      <c r="AK178" s="154" t="s">
        <v>424</v>
      </c>
      <c r="AL178" s="154" t="s">
        <v>424</v>
      </c>
      <c r="AS178">
        <v>174</v>
      </c>
    </row>
    <row r="179" spans="1:46" hidden="1" x14ac:dyDescent="0.25">
      <c r="A179">
        <v>178</v>
      </c>
      <c r="B179">
        <v>2025</v>
      </c>
      <c r="C179">
        <v>5</v>
      </c>
      <c r="D179" t="s">
        <v>430</v>
      </c>
      <c r="E179">
        <v>31</v>
      </c>
      <c r="F179">
        <v>4</v>
      </c>
      <c r="G179" t="s">
        <v>535</v>
      </c>
      <c r="H179" s="154" t="s">
        <v>480</v>
      </c>
      <c r="I179" s="154" t="s">
        <v>480</v>
      </c>
      <c r="J179" s="154" t="s">
        <v>480</v>
      </c>
      <c r="K179" s="154" t="s">
        <v>480</v>
      </c>
      <c r="L179" s="154" t="s">
        <v>480</v>
      </c>
      <c r="M179" s="154" t="s">
        <v>480</v>
      </c>
      <c r="N179" s="154" t="s">
        <v>480</v>
      </c>
      <c r="O179" s="154" t="s">
        <v>480</v>
      </c>
      <c r="P179" s="154" t="s">
        <v>480</v>
      </c>
      <c r="Q179" s="154" t="s">
        <v>480</v>
      </c>
      <c r="R179" s="154" t="s">
        <v>480</v>
      </c>
      <c r="S179" s="154" t="s">
        <v>480</v>
      </c>
      <c r="T179" s="154" t="s">
        <v>480</v>
      </c>
      <c r="U179" s="154" t="s">
        <v>480</v>
      </c>
      <c r="V179" s="154" t="s">
        <v>480</v>
      </c>
      <c r="W179" s="154" t="s">
        <v>480</v>
      </c>
      <c r="X179" s="154" t="s">
        <v>480</v>
      </c>
      <c r="Y179" s="154" t="s">
        <v>480</v>
      </c>
      <c r="Z179" s="154" t="s">
        <v>480</v>
      </c>
      <c r="AA179" s="154" t="s">
        <v>480</v>
      </c>
      <c r="AB179" s="154" t="s">
        <v>424</v>
      </c>
      <c r="AC179" s="154" t="s">
        <v>480</v>
      </c>
      <c r="AD179" s="154" t="s">
        <v>480</v>
      </c>
      <c r="AE179" s="154" t="s">
        <v>480</v>
      </c>
      <c r="AF179" s="154" t="s">
        <v>480</v>
      </c>
      <c r="AG179" s="154" t="s">
        <v>480</v>
      </c>
      <c r="AH179" s="154" t="s">
        <v>480</v>
      </c>
      <c r="AI179" s="154" t="s">
        <v>424</v>
      </c>
      <c r="AJ179" s="154" t="s">
        <v>424</v>
      </c>
      <c r="AK179" s="154" t="s">
        <v>424</v>
      </c>
      <c r="AL179" s="154" t="s">
        <v>424</v>
      </c>
      <c r="AM179" cm="1">
        <f t="array" ref="AM179">SUM(_xlfn.LET(_xlpm.r,((IFERROR(H179:AL179-H178:AL178,0))*24)/10,IF(_xlpm.r&gt;1,1,_xlpm.r)))</f>
        <v>26</v>
      </c>
      <c r="AO179" cm="1">
        <f t="array" ref="AO179">SUM(IFERROR(MOD((H179:AL179-H178:AL178)*24,11),""))</f>
        <v>0</v>
      </c>
      <c r="AS179">
        <v>175</v>
      </c>
    </row>
    <row r="180" spans="1:46" hidden="1" x14ac:dyDescent="0.25">
      <c r="A180">
        <v>179</v>
      </c>
      <c r="B180">
        <v>2025</v>
      </c>
      <c r="C180">
        <v>5</v>
      </c>
      <c r="D180" t="s">
        <v>430</v>
      </c>
      <c r="E180">
        <v>31</v>
      </c>
      <c r="F180">
        <v>4</v>
      </c>
      <c r="G180" t="s">
        <v>536</v>
      </c>
      <c r="H180" s="154">
        <v>256451</v>
      </c>
      <c r="I180" s="154">
        <v>256525</v>
      </c>
      <c r="J180" s="154">
        <v>256655</v>
      </c>
      <c r="K180" s="154">
        <v>256725</v>
      </c>
      <c r="L180" s="154">
        <v>256740</v>
      </c>
      <c r="M180" s="154">
        <v>256745</v>
      </c>
      <c r="N180" s="154">
        <v>256745</v>
      </c>
      <c r="O180" s="154">
        <v>256745</v>
      </c>
      <c r="P180" s="154">
        <v>256745</v>
      </c>
      <c r="Q180" s="154">
        <v>238577</v>
      </c>
      <c r="R180" s="154">
        <v>238601</v>
      </c>
      <c r="S180" s="154">
        <v>238621</v>
      </c>
      <c r="T180" s="154">
        <v>238651</v>
      </c>
      <c r="U180" s="154">
        <v>238688</v>
      </c>
      <c r="V180" s="154">
        <v>238718</v>
      </c>
      <c r="W180" s="154">
        <v>238771</v>
      </c>
      <c r="X180" s="154">
        <v>238815</v>
      </c>
      <c r="Y180" s="154">
        <v>238895</v>
      </c>
      <c r="Z180" s="154">
        <v>238939</v>
      </c>
      <c r="AA180" s="154">
        <v>238971</v>
      </c>
      <c r="AB180" s="154" t="s">
        <v>424</v>
      </c>
      <c r="AC180" s="154">
        <v>239048</v>
      </c>
      <c r="AD180" s="154">
        <v>239123</v>
      </c>
      <c r="AE180" s="154">
        <v>239150</v>
      </c>
      <c r="AF180" s="154">
        <v>239223</v>
      </c>
      <c r="AG180" s="154">
        <v>239336</v>
      </c>
      <c r="AH180" s="154">
        <v>239367</v>
      </c>
      <c r="AI180" s="154" t="s">
        <v>424</v>
      </c>
      <c r="AJ180" s="154" t="s">
        <v>424</v>
      </c>
      <c r="AK180" s="154" t="s">
        <v>424</v>
      </c>
      <c r="AL180" s="154" t="s">
        <v>424</v>
      </c>
      <c r="AS180">
        <v>176</v>
      </c>
    </row>
    <row r="181" spans="1:46" hidden="1" x14ac:dyDescent="0.25">
      <c r="A181">
        <v>180</v>
      </c>
      <c r="B181">
        <v>2025</v>
      </c>
      <c r="C181">
        <v>5</v>
      </c>
      <c r="D181" t="s">
        <v>430</v>
      </c>
      <c r="E181">
        <v>31</v>
      </c>
      <c r="F181">
        <v>4</v>
      </c>
      <c r="G181" t="s">
        <v>537</v>
      </c>
      <c r="H181" s="154">
        <v>256525</v>
      </c>
      <c r="I181" s="154">
        <v>256647</v>
      </c>
      <c r="J181" s="154">
        <v>256725</v>
      </c>
      <c r="K181" s="154">
        <v>256740</v>
      </c>
      <c r="L181" s="154">
        <v>256745</v>
      </c>
      <c r="M181" s="154">
        <v>256745</v>
      </c>
      <c r="N181" s="154">
        <v>256745</v>
      </c>
      <c r="O181" s="154">
        <v>256745</v>
      </c>
      <c r="P181" s="154">
        <v>256745</v>
      </c>
      <c r="Q181" s="154">
        <v>238601</v>
      </c>
      <c r="R181" s="154">
        <v>238621</v>
      </c>
      <c r="S181" s="154">
        <v>238651</v>
      </c>
      <c r="T181" s="154">
        <v>238688</v>
      </c>
      <c r="U181" s="154">
        <v>238718</v>
      </c>
      <c r="V181" s="154">
        <v>238771</v>
      </c>
      <c r="W181" s="154">
        <v>238815</v>
      </c>
      <c r="X181" s="154">
        <v>238865</v>
      </c>
      <c r="Y181" s="154">
        <v>238935</v>
      </c>
      <c r="Z181" s="154">
        <v>238967</v>
      </c>
      <c r="AA181" s="154">
        <v>238996</v>
      </c>
      <c r="AB181" s="154" t="s">
        <v>424</v>
      </c>
      <c r="AC181" s="154">
        <v>239123</v>
      </c>
      <c r="AD181" s="154">
        <v>239150</v>
      </c>
      <c r="AE181" s="154">
        <v>239184</v>
      </c>
      <c r="AF181" s="154">
        <v>239242</v>
      </c>
      <c r="AG181" s="154">
        <v>239367</v>
      </c>
      <c r="AH181" s="154">
        <v>239410</v>
      </c>
      <c r="AI181" s="154" t="s">
        <v>424</v>
      </c>
      <c r="AJ181" s="154" t="s">
        <v>424</v>
      </c>
      <c r="AK181" s="154" t="s">
        <v>424</v>
      </c>
      <c r="AL181" s="154" t="s">
        <v>424</v>
      </c>
      <c r="AP181" cm="1">
        <f t="array" ref="AP181">IF(AQ181="","",SUM(IFERROR(H181:AL181-H180:AL180,0))*AQ181/100)</f>
        <v>134.4</v>
      </c>
      <c r="AQ181">
        <f>_xlfn.XLOOKUP(D181,log_prices!M:M,log_prices!L:L,,0)</f>
        <v>15</v>
      </c>
      <c r="AS181">
        <v>177</v>
      </c>
      <c r="AT181" cm="1">
        <f t="array" ref="AT181">IF(AQ181="","",SUM(IFERROR(H181:AL181-H180:AL180,0)))</f>
        <v>896</v>
      </c>
    </row>
    <row r="182" spans="1:46" hidden="1" x14ac:dyDescent="0.25">
      <c r="A182">
        <v>181</v>
      </c>
      <c r="B182">
        <v>2025</v>
      </c>
      <c r="C182">
        <v>5</v>
      </c>
      <c r="D182" t="s">
        <v>242</v>
      </c>
      <c r="E182">
        <v>31</v>
      </c>
      <c r="F182">
        <v>4</v>
      </c>
      <c r="G182" t="s">
        <v>534</v>
      </c>
      <c r="H182" s="154" t="s">
        <v>481</v>
      </c>
      <c r="I182" s="154" t="s">
        <v>481</v>
      </c>
      <c r="J182" s="154" t="s">
        <v>481</v>
      </c>
      <c r="K182" s="154" t="s">
        <v>481</v>
      </c>
      <c r="L182" s="154" t="s">
        <v>481</v>
      </c>
      <c r="M182" s="154" t="s">
        <v>481</v>
      </c>
      <c r="N182" s="154" t="s">
        <v>481</v>
      </c>
      <c r="O182" s="154" t="s">
        <v>481</v>
      </c>
      <c r="P182" s="154" t="s">
        <v>481</v>
      </c>
      <c r="Q182" s="154" t="s">
        <v>481</v>
      </c>
      <c r="R182" s="154" t="s">
        <v>481</v>
      </c>
      <c r="S182" s="154" t="s">
        <v>481</v>
      </c>
      <c r="T182" s="154" t="s">
        <v>481</v>
      </c>
      <c r="U182" s="154" t="s">
        <v>481</v>
      </c>
      <c r="V182" s="154" t="s">
        <v>481</v>
      </c>
      <c r="W182" s="154" t="s">
        <v>481</v>
      </c>
      <c r="X182" s="154" t="s">
        <v>481</v>
      </c>
      <c r="Y182" s="154" t="s">
        <v>481</v>
      </c>
      <c r="Z182" s="154" t="s">
        <v>481</v>
      </c>
      <c r="AA182" s="154" t="s">
        <v>481</v>
      </c>
      <c r="AB182" s="154" t="s">
        <v>481</v>
      </c>
      <c r="AC182" s="154" t="s">
        <v>481</v>
      </c>
      <c r="AD182" s="154" t="s">
        <v>481</v>
      </c>
      <c r="AE182" s="154" t="s">
        <v>481</v>
      </c>
      <c r="AF182" s="154" t="s">
        <v>481</v>
      </c>
      <c r="AG182" s="154" t="s">
        <v>481</v>
      </c>
      <c r="AH182" s="154" t="s">
        <v>481</v>
      </c>
      <c r="AI182" s="154" t="s">
        <v>481</v>
      </c>
      <c r="AJ182" s="154" t="s">
        <v>481</v>
      </c>
      <c r="AK182" s="154" t="s">
        <v>481</v>
      </c>
      <c r="AL182" s="154" t="s">
        <v>481</v>
      </c>
      <c r="AS182">
        <v>178</v>
      </c>
    </row>
    <row r="183" spans="1:46" hidden="1" x14ac:dyDescent="0.25">
      <c r="A183">
        <v>182</v>
      </c>
      <c r="B183">
        <v>2025</v>
      </c>
      <c r="C183">
        <v>5</v>
      </c>
      <c r="D183" t="s">
        <v>242</v>
      </c>
      <c r="E183">
        <v>31</v>
      </c>
      <c r="F183">
        <v>4</v>
      </c>
      <c r="G183" t="s">
        <v>535</v>
      </c>
      <c r="H183" s="154">
        <v>0.8125</v>
      </c>
      <c r="I183" s="154">
        <v>0.8125</v>
      </c>
      <c r="J183" s="154">
        <v>0.8125</v>
      </c>
      <c r="K183" s="154">
        <v>0.8125</v>
      </c>
      <c r="L183" s="154">
        <v>0.8125</v>
      </c>
      <c r="M183" s="154">
        <v>0.8125</v>
      </c>
      <c r="N183" s="154">
        <v>0.8125</v>
      </c>
      <c r="O183" s="154">
        <v>0.8125</v>
      </c>
      <c r="P183" s="154">
        <v>0.8125</v>
      </c>
      <c r="Q183" s="154">
        <v>0.8125</v>
      </c>
      <c r="R183" s="154">
        <v>0.8125</v>
      </c>
      <c r="S183" s="154">
        <v>0.8125</v>
      </c>
      <c r="T183" s="154">
        <v>0.8125</v>
      </c>
      <c r="U183" s="154">
        <v>0.8125</v>
      </c>
      <c r="V183" s="154">
        <v>0.8125</v>
      </c>
      <c r="W183" s="154">
        <v>0.8125</v>
      </c>
      <c r="X183" s="154">
        <v>0.8125</v>
      </c>
      <c r="Y183" s="154">
        <v>0.8125</v>
      </c>
      <c r="Z183" s="154">
        <v>0.8125</v>
      </c>
      <c r="AA183" s="154">
        <v>0.8125</v>
      </c>
      <c r="AB183" s="154">
        <v>0.8125</v>
      </c>
      <c r="AC183" s="154">
        <v>0.8125</v>
      </c>
      <c r="AD183" s="154">
        <v>0.8125</v>
      </c>
      <c r="AE183" s="154">
        <v>0.8125</v>
      </c>
      <c r="AF183" s="154">
        <v>0.8125</v>
      </c>
      <c r="AG183" s="154">
        <v>0.8125</v>
      </c>
      <c r="AH183" s="154">
        <v>0.8125</v>
      </c>
      <c r="AI183" s="154">
        <v>0.8125</v>
      </c>
      <c r="AJ183" s="154">
        <v>0.8125</v>
      </c>
      <c r="AK183" s="154">
        <v>0.8125</v>
      </c>
      <c r="AL183" s="154">
        <v>0.8125</v>
      </c>
      <c r="AM183" cm="1">
        <f t="array" ref="AM183">SUM(_xlfn.LET(_xlpm.r,((IFERROR(H183:AL183-H182:AL182,0))*24)/10,IF(_xlpm.r&gt;1,1,_xlpm.r)))</f>
        <v>31</v>
      </c>
      <c r="AO183" cm="1">
        <f t="array" ref="AO183">SUM(IFERROR(MOD((H183:AL183-H182:AL182)*24,11),""))</f>
        <v>93</v>
      </c>
      <c r="AS183">
        <v>179</v>
      </c>
    </row>
    <row r="184" spans="1:46" hidden="1" x14ac:dyDescent="0.25">
      <c r="A184">
        <v>183</v>
      </c>
      <c r="B184">
        <v>2025</v>
      </c>
      <c r="C184">
        <v>5</v>
      </c>
      <c r="D184" t="s">
        <v>242</v>
      </c>
      <c r="E184">
        <v>31</v>
      </c>
      <c r="F184">
        <v>4</v>
      </c>
      <c r="G184" t="s">
        <v>536</v>
      </c>
      <c r="H184" s="154">
        <v>17461</v>
      </c>
      <c r="I184" s="154">
        <v>17632</v>
      </c>
      <c r="J184" s="154">
        <v>17841</v>
      </c>
      <c r="K184" s="154">
        <v>17971</v>
      </c>
      <c r="L184" s="154">
        <v>18133</v>
      </c>
      <c r="M184" s="154">
        <v>18320</v>
      </c>
      <c r="N184" s="154">
        <v>18503</v>
      </c>
      <c r="O184" s="154">
        <v>18684</v>
      </c>
      <c r="P184" s="154">
        <v>18907</v>
      </c>
      <c r="Q184" s="154">
        <v>19066</v>
      </c>
      <c r="R184" s="154">
        <v>19250</v>
      </c>
      <c r="S184" s="154">
        <v>19391</v>
      </c>
      <c r="T184" s="154">
        <v>19571</v>
      </c>
      <c r="U184" s="154">
        <v>19740</v>
      </c>
      <c r="V184" s="154">
        <v>19893</v>
      </c>
      <c r="W184" s="154">
        <v>20053</v>
      </c>
      <c r="X184" s="154">
        <v>20253</v>
      </c>
      <c r="Y184" s="154">
        <v>20424</v>
      </c>
      <c r="Z184" s="154">
        <v>20516</v>
      </c>
      <c r="AA184" s="154">
        <v>20675</v>
      </c>
      <c r="AB184" s="154">
        <v>20882</v>
      </c>
      <c r="AC184" s="154">
        <v>21038</v>
      </c>
      <c r="AD184" s="154">
        <v>21184</v>
      </c>
      <c r="AE184" s="154">
        <v>21367</v>
      </c>
      <c r="AF184" s="154">
        <v>21557</v>
      </c>
      <c r="AG184" s="154">
        <v>21739</v>
      </c>
      <c r="AH184" s="154">
        <v>21899</v>
      </c>
      <c r="AI184" s="154">
        <v>22158</v>
      </c>
      <c r="AJ184" s="154">
        <v>22320</v>
      </c>
      <c r="AK184" s="154">
        <v>22496</v>
      </c>
      <c r="AL184" s="154">
        <v>22671</v>
      </c>
      <c r="AS184">
        <v>180</v>
      </c>
    </row>
    <row r="185" spans="1:46" hidden="1" x14ac:dyDescent="0.25">
      <c r="A185">
        <v>184</v>
      </c>
      <c r="B185">
        <v>2025</v>
      </c>
      <c r="C185">
        <v>5</v>
      </c>
      <c r="D185" t="s">
        <v>242</v>
      </c>
      <c r="E185">
        <v>31</v>
      </c>
      <c r="F185">
        <v>4</v>
      </c>
      <c r="G185" t="s">
        <v>537</v>
      </c>
      <c r="H185" s="154">
        <v>17632</v>
      </c>
      <c r="I185" s="154">
        <v>17841</v>
      </c>
      <c r="J185" s="154">
        <v>17971</v>
      </c>
      <c r="K185" s="154">
        <v>18133</v>
      </c>
      <c r="L185" s="154">
        <v>18320</v>
      </c>
      <c r="M185" s="154">
        <v>18503</v>
      </c>
      <c r="N185" s="154">
        <v>18684</v>
      </c>
      <c r="O185" s="154">
        <v>18907</v>
      </c>
      <c r="P185" s="154">
        <v>19066</v>
      </c>
      <c r="Q185" s="154">
        <v>19250</v>
      </c>
      <c r="R185" s="154">
        <v>19391</v>
      </c>
      <c r="S185" s="154">
        <v>19571</v>
      </c>
      <c r="T185" s="154">
        <v>19740</v>
      </c>
      <c r="U185" s="154">
        <v>19893</v>
      </c>
      <c r="V185" s="154">
        <v>20053</v>
      </c>
      <c r="W185" s="154">
        <v>20253</v>
      </c>
      <c r="X185" s="154">
        <v>20424</v>
      </c>
      <c r="Y185" s="154">
        <v>20516</v>
      </c>
      <c r="Z185" s="154">
        <v>20675</v>
      </c>
      <c r="AA185" s="154">
        <v>20882</v>
      </c>
      <c r="AB185" s="154">
        <v>21038</v>
      </c>
      <c r="AC185" s="154">
        <v>21184</v>
      </c>
      <c r="AD185" s="154">
        <v>21367</v>
      </c>
      <c r="AE185" s="154">
        <v>21557</v>
      </c>
      <c r="AF185" s="154">
        <v>21739</v>
      </c>
      <c r="AG185" s="154">
        <v>21899</v>
      </c>
      <c r="AH185" s="154">
        <v>22158</v>
      </c>
      <c r="AI185" s="154">
        <v>22320</v>
      </c>
      <c r="AJ185" s="154">
        <v>22496</v>
      </c>
      <c r="AK185" s="154">
        <v>22671</v>
      </c>
      <c r="AL185" s="154">
        <v>22864</v>
      </c>
      <c r="AP185" cm="1">
        <f t="array" ref="AP185">IF(AQ185="","",SUM(IFERROR(H185:AL185-H184:AL184,0))*AQ185/100)</f>
        <v>810.45</v>
      </c>
      <c r="AQ185">
        <f>_xlfn.XLOOKUP(D185,log_prices!M:M,log_prices!L:L,,0)</f>
        <v>15</v>
      </c>
      <c r="AS185">
        <v>181</v>
      </c>
      <c r="AT185" cm="1">
        <f t="array" ref="AT185">IF(AQ185="","",SUM(IFERROR(H185:AL185-H184:AL184,0)))</f>
        <v>5403</v>
      </c>
    </row>
    <row r="186" spans="1:46" hidden="1" x14ac:dyDescent="0.25">
      <c r="A186">
        <v>185</v>
      </c>
      <c r="B186">
        <v>2025</v>
      </c>
      <c r="C186">
        <v>5</v>
      </c>
      <c r="D186" t="s">
        <v>243</v>
      </c>
      <c r="E186">
        <v>31</v>
      </c>
      <c r="F186">
        <v>4</v>
      </c>
      <c r="G186" t="s">
        <v>534</v>
      </c>
      <c r="H186" s="154" t="s">
        <v>479</v>
      </c>
      <c r="I186" s="154" t="s">
        <v>479</v>
      </c>
      <c r="J186" s="154" t="s">
        <v>479</v>
      </c>
      <c r="K186" s="154" t="s">
        <v>479</v>
      </c>
      <c r="L186" s="154" t="s">
        <v>479</v>
      </c>
      <c r="M186" s="154" t="s">
        <v>479</v>
      </c>
      <c r="N186" s="154" t="s">
        <v>479</v>
      </c>
      <c r="O186" s="154" t="s">
        <v>479</v>
      </c>
      <c r="P186" s="154" t="s">
        <v>479</v>
      </c>
      <c r="Q186" s="154" t="s">
        <v>479</v>
      </c>
      <c r="R186" s="154" t="s">
        <v>479</v>
      </c>
      <c r="S186" s="154" t="s">
        <v>479</v>
      </c>
      <c r="T186" s="154" t="s">
        <v>479</v>
      </c>
      <c r="U186" s="154" t="s">
        <v>479</v>
      </c>
      <c r="V186" s="154" t="s">
        <v>479</v>
      </c>
      <c r="W186" s="154" t="s">
        <v>424</v>
      </c>
      <c r="X186" s="154" t="s">
        <v>424</v>
      </c>
      <c r="Y186" s="154" t="s">
        <v>424</v>
      </c>
      <c r="Z186" s="154" t="s">
        <v>424</v>
      </c>
      <c r="AA186" s="154" t="s">
        <v>424</v>
      </c>
      <c r="AB186" s="154" t="s">
        <v>424</v>
      </c>
      <c r="AC186" s="154" t="s">
        <v>424</v>
      </c>
      <c r="AD186" s="154" t="s">
        <v>424</v>
      </c>
      <c r="AE186" s="154" t="s">
        <v>424</v>
      </c>
      <c r="AF186" s="154" t="s">
        <v>424</v>
      </c>
      <c r="AG186" s="154" t="s">
        <v>424</v>
      </c>
      <c r="AH186" s="154" t="s">
        <v>424</v>
      </c>
      <c r="AI186" s="154" t="s">
        <v>424</v>
      </c>
      <c r="AJ186" s="154" t="s">
        <v>424</v>
      </c>
      <c r="AK186" s="154" t="s">
        <v>424</v>
      </c>
      <c r="AL186" s="154" t="s">
        <v>424</v>
      </c>
      <c r="AS186">
        <v>182</v>
      </c>
    </row>
    <row r="187" spans="1:46" hidden="1" x14ac:dyDescent="0.25">
      <c r="A187">
        <v>186</v>
      </c>
      <c r="B187">
        <v>2025</v>
      </c>
      <c r="C187">
        <v>5</v>
      </c>
      <c r="D187" t="s">
        <v>243</v>
      </c>
      <c r="E187">
        <v>31</v>
      </c>
      <c r="F187">
        <v>4</v>
      </c>
      <c r="G187" t="s">
        <v>535</v>
      </c>
      <c r="H187" s="154" t="s">
        <v>480</v>
      </c>
      <c r="I187" s="154" t="s">
        <v>480</v>
      </c>
      <c r="J187" s="154" t="s">
        <v>480</v>
      </c>
      <c r="K187" s="154" t="s">
        <v>480</v>
      </c>
      <c r="L187" s="154" t="s">
        <v>480</v>
      </c>
      <c r="M187" s="154" t="s">
        <v>480</v>
      </c>
      <c r="N187" s="154" t="s">
        <v>480</v>
      </c>
      <c r="O187" s="154" t="s">
        <v>480</v>
      </c>
      <c r="P187" s="154" t="s">
        <v>480</v>
      </c>
      <c r="Q187" s="154" t="s">
        <v>480</v>
      </c>
      <c r="R187" s="154" t="s">
        <v>480</v>
      </c>
      <c r="S187" s="154" t="s">
        <v>480</v>
      </c>
      <c r="T187" s="154" t="s">
        <v>480</v>
      </c>
      <c r="U187" s="154" t="s">
        <v>480</v>
      </c>
      <c r="V187" s="154" t="s">
        <v>480</v>
      </c>
      <c r="W187" s="154" t="s">
        <v>424</v>
      </c>
      <c r="X187" s="154" t="s">
        <v>424</v>
      </c>
      <c r="Y187" s="154" t="s">
        <v>424</v>
      </c>
      <c r="Z187" s="154" t="s">
        <v>424</v>
      </c>
      <c r="AA187" s="154" t="s">
        <v>424</v>
      </c>
      <c r="AB187" s="154" t="s">
        <v>424</v>
      </c>
      <c r="AC187" s="154" t="s">
        <v>424</v>
      </c>
      <c r="AD187" s="154" t="s">
        <v>424</v>
      </c>
      <c r="AE187" s="154" t="s">
        <v>424</v>
      </c>
      <c r="AF187" s="154" t="s">
        <v>424</v>
      </c>
      <c r="AG187" s="154" t="s">
        <v>424</v>
      </c>
      <c r="AH187" s="154" t="s">
        <v>424</v>
      </c>
      <c r="AI187" s="154" t="s">
        <v>424</v>
      </c>
      <c r="AJ187" s="154" t="s">
        <v>424</v>
      </c>
      <c r="AK187" s="154" t="s">
        <v>424</v>
      </c>
      <c r="AL187" s="154" t="s">
        <v>424</v>
      </c>
      <c r="AM187" cm="1">
        <f t="array" ref="AM187">SUM(_xlfn.LET(_xlpm.r,((IFERROR(H187:AL187-H186:AL186,0))*24)/10,IF(_xlpm.r&gt;1,1,_xlpm.r)))</f>
        <v>15</v>
      </c>
      <c r="AO187" cm="1">
        <f t="array" ref="AO187">SUM(IFERROR(MOD((H187:AL187-H186:AL186)*24,11),""))</f>
        <v>0</v>
      </c>
      <c r="AS187">
        <v>183</v>
      </c>
    </row>
    <row r="188" spans="1:46" hidden="1" x14ac:dyDescent="0.25">
      <c r="A188">
        <v>187</v>
      </c>
      <c r="B188">
        <v>2025</v>
      </c>
      <c r="C188">
        <v>5</v>
      </c>
      <c r="D188" t="s">
        <v>243</v>
      </c>
      <c r="E188">
        <v>31</v>
      </c>
      <c r="F188">
        <v>4</v>
      </c>
      <c r="G188" t="s">
        <v>536</v>
      </c>
      <c r="H188" s="154">
        <v>351379</v>
      </c>
      <c r="I188" s="154">
        <v>351407</v>
      </c>
      <c r="J188" s="154">
        <v>351429</v>
      </c>
      <c r="K188" s="154">
        <v>351451</v>
      </c>
      <c r="L188" s="154">
        <v>351473</v>
      </c>
      <c r="M188" s="154">
        <v>351503</v>
      </c>
      <c r="N188" s="154">
        <v>351525</v>
      </c>
      <c r="O188" s="154">
        <v>351551</v>
      </c>
      <c r="P188" s="154">
        <v>351595</v>
      </c>
      <c r="Q188" s="154">
        <v>351602</v>
      </c>
      <c r="R188" s="154">
        <v>351649</v>
      </c>
      <c r="S188" s="154">
        <v>351677</v>
      </c>
      <c r="T188" s="154">
        <v>351699</v>
      </c>
      <c r="U188" s="154">
        <v>351724</v>
      </c>
      <c r="V188" s="154">
        <v>351734</v>
      </c>
      <c r="W188" s="154" t="s">
        <v>424</v>
      </c>
      <c r="X188" s="154" t="s">
        <v>424</v>
      </c>
      <c r="Y188" s="154" t="s">
        <v>424</v>
      </c>
      <c r="Z188" s="154" t="s">
        <v>424</v>
      </c>
      <c r="AA188" s="154" t="s">
        <v>424</v>
      </c>
      <c r="AB188" s="154" t="s">
        <v>424</v>
      </c>
      <c r="AC188" s="154" t="s">
        <v>424</v>
      </c>
      <c r="AD188" s="154" t="s">
        <v>424</v>
      </c>
      <c r="AE188" s="154" t="s">
        <v>424</v>
      </c>
      <c r="AF188" s="154" t="s">
        <v>424</v>
      </c>
      <c r="AG188" s="154" t="s">
        <v>424</v>
      </c>
      <c r="AH188" s="154" t="s">
        <v>424</v>
      </c>
      <c r="AI188" s="154" t="s">
        <v>424</v>
      </c>
      <c r="AJ188" s="154" t="s">
        <v>424</v>
      </c>
      <c r="AK188" s="154" t="s">
        <v>424</v>
      </c>
      <c r="AL188" s="154" t="s">
        <v>424</v>
      </c>
      <c r="AS188">
        <v>184</v>
      </c>
    </row>
    <row r="189" spans="1:46" hidden="1" x14ac:dyDescent="0.25">
      <c r="A189">
        <v>188</v>
      </c>
      <c r="B189">
        <v>2025</v>
      </c>
      <c r="C189">
        <v>5</v>
      </c>
      <c r="D189" t="s">
        <v>243</v>
      </c>
      <c r="E189">
        <v>31</v>
      </c>
      <c r="F189">
        <v>4</v>
      </c>
      <c r="G189" t="s">
        <v>537</v>
      </c>
      <c r="H189" s="154">
        <v>351407</v>
      </c>
      <c r="I189" s="154">
        <v>351429</v>
      </c>
      <c r="J189" s="154">
        <v>351451</v>
      </c>
      <c r="K189" s="154">
        <v>351473</v>
      </c>
      <c r="L189" s="154">
        <v>351503</v>
      </c>
      <c r="M189" s="154">
        <v>351525</v>
      </c>
      <c r="N189" s="154">
        <v>351551</v>
      </c>
      <c r="O189" s="154">
        <v>351595</v>
      </c>
      <c r="P189" s="154">
        <v>351602</v>
      </c>
      <c r="Q189" s="154">
        <v>351649</v>
      </c>
      <c r="R189" s="154">
        <v>351677</v>
      </c>
      <c r="S189" s="154">
        <v>351699</v>
      </c>
      <c r="T189" s="154">
        <v>351724</v>
      </c>
      <c r="U189" s="154">
        <v>351734</v>
      </c>
      <c r="V189" s="154">
        <v>351741</v>
      </c>
      <c r="W189" s="154" t="s">
        <v>424</v>
      </c>
      <c r="X189" s="154" t="s">
        <v>424</v>
      </c>
      <c r="Y189" s="154" t="s">
        <v>424</v>
      </c>
      <c r="Z189" s="154" t="s">
        <v>424</v>
      </c>
      <c r="AA189" s="154" t="s">
        <v>424</v>
      </c>
      <c r="AB189" s="154" t="s">
        <v>424</v>
      </c>
      <c r="AC189" s="154" t="s">
        <v>424</v>
      </c>
      <c r="AD189" s="154" t="s">
        <v>424</v>
      </c>
      <c r="AE189" s="154" t="s">
        <v>424</v>
      </c>
      <c r="AF189" s="154" t="s">
        <v>424</v>
      </c>
      <c r="AG189" s="154" t="s">
        <v>424</v>
      </c>
      <c r="AH189" s="154" t="s">
        <v>424</v>
      </c>
      <c r="AI189" s="154" t="s">
        <v>424</v>
      </c>
      <c r="AJ189" s="154" t="s">
        <v>424</v>
      </c>
      <c r="AK189" s="154" t="s">
        <v>424</v>
      </c>
      <c r="AL189" s="154" t="s">
        <v>424</v>
      </c>
      <c r="AM189" t="str" cm="1">
        <f t="array" ref="AM189">IF(AQ189="","",SUM(IFERROR(H189:AL189-H188:AL188,0))*AQ189/100)</f>
        <v/>
      </c>
      <c r="AQ189" t="str">
        <f>_xlfn.XLOOKUP(D189,log_prices!M:M,log_prices!L:L,,0)</f>
        <v/>
      </c>
      <c r="AS189">
        <v>185</v>
      </c>
    </row>
    <row r="190" spans="1:46" hidden="1" x14ac:dyDescent="0.25">
      <c r="A190">
        <v>189</v>
      </c>
      <c r="B190">
        <v>2025</v>
      </c>
      <c r="C190">
        <v>5</v>
      </c>
      <c r="D190" t="s">
        <v>261</v>
      </c>
      <c r="E190">
        <v>31</v>
      </c>
      <c r="F190">
        <v>4</v>
      </c>
      <c r="G190" t="s">
        <v>534</v>
      </c>
      <c r="H190" s="154">
        <v>0.29166666666666669</v>
      </c>
      <c r="I190" s="154">
        <v>0.29166666666666669</v>
      </c>
      <c r="J190" s="154">
        <v>0.29166666666666669</v>
      </c>
      <c r="K190" s="154">
        <v>0.29166666666666669</v>
      </c>
      <c r="L190" s="154">
        <v>0.29166666666666669</v>
      </c>
      <c r="M190" s="154">
        <v>0.29166666666666669</v>
      </c>
      <c r="N190" s="154">
        <v>0.29166666666666669</v>
      </c>
      <c r="O190" s="154">
        <v>0.29166666666666669</v>
      </c>
      <c r="P190" s="154">
        <v>0.29166666666666669</v>
      </c>
      <c r="Q190" s="154">
        <v>0.29166666666666669</v>
      </c>
      <c r="R190" s="154">
        <v>0.29166666666666669</v>
      </c>
      <c r="S190" s="154">
        <v>0.29166666666666669</v>
      </c>
      <c r="T190" s="154">
        <v>0.29166666666666669</v>
      </c>
      <c r="U190" s="154">
        <v>0.29166666666666669</v>
      </c>
      <c r="V190" s="154">
        <v>0.29166666666666669</v>
      </c>
      <c r="W190" s="154">
        <v>0.29166666666666669</v>
      </c>
      <c r="X190" s="154">
        <v>0.29166666666666669</v>
      </c>
      <c r="Y190" s="154">
        <v>0.29166666666666669</v>
      </c>
      <c r="Z190" s="154">
        <v>0.29166666666666669</v>
      </c>
      <c r="AA190" s="154">
        <v>0.29166666666666669</v>
      </c>
      <c r="AB190" s="154">
        <v>0.29166666666666669</v>
      </c>
      <c r="AC190" s="154">
        <v>0.29166666666666669</v>
      </c>
      <c r="AD190" s="154">
        <v>0.29166666666666669</v>
      </c>
      <c r="AE190" s="154">
        <v>0.29166666666666669</v>
      </c>
      <c r="AF190" s="154">
        <v>0.29166666666666669</v>
      </c>
      <c r="AG190" s="154">
        <v>0.29166666666666669</v>
      </c>
      <c r="AH190" s="154">
        <v>0.29166666666666669</v>
      </c>
      <c r="AI190" s="154">
        <v>0.29166666666666669</v>
      </c>
      <c r="AJ190" s="154">
        <v>0.29166666666666669</v>
      </c>
      <c r="AK190" s="154">
        <v>0.29166666666666669</v>
      </c>
      <c r="AL190" s="154">
        <v>0.29166666666666702</v>
      </c>
      <c r="AS190">
        <v>186</v>
      </c>
    </row>
    <row r="191" spans="1:46" hidden="1" x14ac:dyDescent="0.25">
      <c r="A191">
        <v>190</v>
      </c>
      <c r="B191">
        <v>2025</v>
      </c>
      <c r="C191">
        <v>5</v>
      </c>
      <c r="D191" t="s">
        <v>261</v>
      </c>
      <c r="E191">
        <v>31</v>
      </c>
      <c r="F191">
        <v>4</v>
      </c>
      <c r="G191" t="s">
        <v>535</v>
      </c>
      <c r="H191" s="154">
        <v>0.75</v>
      </c>
      <c r="I191" s="154">
        <v>0.75</v>
      </c>
      <c r="J191" s="154">
        <v>0.75</v>
      </c>
      <c r="K191" s="154">
        <v>0.75</v>
      </c>
      <c r="L191" s="154">
        <v>0.75</v>
      </c>
      <c r="M191" s="154">
        <v>0.75</v>
      </c>
      <c r="N191" s="154">
        <v>0.75</v>
      </c>
      <c r="O191" s="154">
        <v>0.75</v>
      </c>
      <c r="P191" s="154">
        <v>0.75</v>
      </c>
      <c r="Q191" s="154">
        <v>0.75</v>
      </c>
      <c r="R191" s="154">
        <v>0.75</v>
      </c>
      <c r="S191" s="154">
        <v>0.75</v>
      </c>
      <c r="T191" s="154">
        <v>0.75</v>
      </c>
      <c r="U191" s="154">
        <v>0.75</v>
      </c>
      <c r="V191" s="154">
        <v>0.75</v>
      </c>
      <c r="W191" s="154">
        <v>0.75</v>
      </c>
      <c r="X191" s="154">
        <v>0.75</v>
      </c>
      <c r="Y191" s="154">
        <v>0.75</v>
      </c>
      <c r="Z191" s="154">
        <v>0.75</v>
      </c>
      <c r="AA191" s="154">
        <v>0.75</v>
      </c>
      <c r="AB191" s="154">
        <v>0.75</v>
      </c>
      <c r="AC191" s="154">
        <v>0.75</v>
      </c>
      <c r="AD191" s="154">
        <v>0.75</v>
      </c>
      <c r="AE191" s="154">
        <v>0.75</v>
      </c>
      <c r="AF191" s="154">
        <v>0.75</v>
      </c>
      <c r="AG191" s="154">
        <v>0.75</v>
      </c>
      <c r="AH191" s="154">
        <v>0.75</v>
      </c>
      <c r="AI191" s="154">
        <v>0.75</v>
      </c>
      <c r="AJ191" s="154">
        <v>0.75</v>
      </c>
      <c r="AK191" s="154">
        <v>0.75</v>
      </c>
      <c r="AL191" s="154">
        <v>0.75000000000000033</v>
      </c>
      <c r="AM191" cm="1">
        <f t="array" ref="AM191">SUM(_xlfn.LET(_xlpm.r,((IFERROR(H191:AL191-H190:AL190,0))*24)/10,IF(_xlpm.r&gt;1,1,_xlpm.r)))</f>
        <v>31</v>
      </c>
      <c r="AO191" cm="1">
        <f t="array" ref="AO191">SUM(IFERROR(MOD((H191:AL191-H190:AL190)*24,11),""))</f>
        <v>0</v>
      </c>
      <c r="AS191">
        <v>187</v>
      </c>
    </row>
    <row r="192" spans="1:46" hidden="1" x14ac:dyDescent="0.25">
      <c r="A192">
        <v>191</v>
      </c>
      <c r="B192">
        <v>2025</v>
      </c>
      <c r="C192">
        <v>5</v>
      </c>
      <c r="D192" t="s">
        <v>244</v>
      </c>
      <c r="E192">
        <v>31</v>
      </c>
      <c r="F192">
        <v>4</v>
      </c>
      <c r="G192" t="s">
        <v>534</v>
      </c>
      <c r="H192" s="154" t="s">
        <v>479</v>
      </c>
      <c r="I192" s="154" t="s">
        <v>479</v>
      </c>
      <c r="J192" s="154" t="s">
        <v>479</v>
      </c>
      <c r="K192" s="154" t="s">
        <v>479</v>
      </c>
      <c r="L192" s="154" t="s">
        <v>479</v>
      </c>
      <c r="M192" s="154" t="s">
        <v>479</v>
      </c>
      <c r="N192" s="154" t="s">
        <v>479</v>
      </c>
      <c r="O192" s="154" t="s">
        <v>482</v>
      </c>
      <c r="P192" s="154" t="s">
        <v>479</v>
      </c>
      <c r="Q192" s="154" t="s">
        <v>479</v>
      </c>
      <c r="R192" s="154" t="s">
        <v>479</v>
      </c>
      <c r="S192" s="154" t="s">
        <v>479</v>
      </c>
      <c r="T192" s="154" t="s">
        <v>479</v>
      </c>
      <c r="U192" s="154" t="s">
        <v>479</v>
      </c>
      <c r="V192" s="154" t="s">
        <v>479</v>
      </c>
      <c r="W192" s="154" t="s">
        <v>479</v>
      </c>
      <c r="X192" s="154" t="s">
        <v>479</v>
      </c>
      <c r="Y192" s="154" t="s">
        <v>479</v>
      </c>
      <c r="Z192" s="154" t="s">
        <v>483</v>
      </c>
      <c r="AA192" s="154" t="s">
        <v>483</v>
      </c>
      <c r="AB192" s="154" t="s">
        <v>479</v>
      </c>
      <c r="AC192" s="154" t="s">
        <v>479</v>
      </c>
      <c r="AD192" s="154" t="s">
        <v>479</v>
      </c>
      <c r="AE192" s="154" t="s">
        <v>479</v>
      </c>
      <c r="AF192" s="154" t="s">
        <v>484</v>
      </c>
      <c r="AG192" s="154" t="s">
        <v>479</v>
      </c>
      <c r="AH192" s="154" t="s">
        <v>479</v>
      </c>
      <c r="AI192" s="154" t="s">
        <v>479</v>
      </c>
      <c r="AJ192" s="154" t="s">
        <v>485</v>
      </c>
      <c r="AK192" s="154" t="s">
        <v>479</v>
      </c>
      <c r="AL192" s="154" t="s">
        <v>479</v>
      </c>
      <c r="AS192">
        <v>188</v>
      </c>
    </row>
    <row r="193" spans="1:46" hidden="1" x14ac:dyDescent="0.25">
      <c r="A193">
        <v>192</v>
      </c>
      <c r="B193">
        <v>2025</v>
      </c>
      <c r="C193">
        <v>5</v>
      </c>
      <c r="D193" t="s">
        <v>244</v>
      </c>
      <c r="E193">
        <v>31</v>
      </c>
      <c r="F193">
        <v>4</v>
      </c>
      <c r="G193" t="s">
        <v>535</v>
      </c>
      <c r="H193" s="154">
        <v>0.875</v>
      </c>
      <c r="I193" s="154">
        <v>0.91666666666666674</v>
      </c>
      <c r="J193" s="154">
        <v>0.95833333333333326</v>
      </c>
      <c r="K193" s="154">
        <v>0.875</v>
      </c>
      <c r="L193" s="154">
        <v>0.75</v>
      </c>
      <c r="M193" s="154">
        <v>0.75</v>
      </c>
      <c r="N193" s="154">
        <v>0.75</v>
      </c>
      <c r="O193" s="154">
        <v>0.77083333333333326</v>
      </c>
      <c r="P193" s="154">
        <v>0.9375</v>
      </c>
      <c r="Q193" s="154">
        <v>0.75</v>
      </c>
      <c r="R193" s="154">
        <v>0.75</v>
      </c>
      <c r="S193" s="154">
        <v>0.91666666666666674</v>
      </c>
      <c r="T193" s="154">
        <v>0.95833333333333326</v>
      </c>
      <c r="U193" s="154">
        <v>0.875</v>
      </c>
      <c r="V193" s="154">
        <v>0.91666666666666674</v>
      </c>
      <c r="W193" s="154">
        <v>0.75</v>
      </c>
      <c r="X193" s="154">
        <v>0.75</v>
      </c>
      <c r="Y193" s="154">
        <v>0.75</v>
      </c>
      <c r="Z193" s="154">
        <v>0.66666666666666663</v>
      </c>
      <c r="AA193" s="154">
        <v>0.75</v>
      </c>
      <c r="AB193" s="154">
        <v>0.875</v>
      </c>
      <c r="AC193" s="154">
        <v>0.75</v>
      </c>
      <c r="AD193" s="154">
        <v>0.75</v>
      </c>
      <c r="AE193" s="154">
        <v>0.91666666666666674</v>
      </c>
      <c r="AF193" s="154">
        <v>0.74652777777777768</v>
      </c>
      <c r="AG193" s="154">
        <v>0.75</v>
      </c>
      <c r="AH193" s="154">
        <v>0.75</v>
      </c>
      <c r="AI193" s="154">
        <v>0.75</v>
      </c>
      <c r="AJ193" s="154">
        <v>0.875</v>
      </c>
      <c r="AK193" s="154">
        <v>0.9375</v>
      </c>
      <c r="AL193" s="154">
        <v>0.95833333333333326</v>
      </c>
      <c r="AM193" cm="1">
        <f t="array" ref="AM193">SUM(_xlfn.LET(_xlpm.r,((IFERROR(H193:AL193-H192:AL192,0))*24)/10,IF(_xlpm.r&gt;1,1,_xlpm.r)))</f>
        <v>31</v>
      </c>
      <c r="AO193" cm="1">
        <f t="array" ref="AO193">SUM(IFERROR(MOD((H193:AL193-H192:AL192)*24,11),""))</f>
        <v>82.499999999999986</v>
      </c>
      <c r="AS193">
        <v>189</v>
      </c>
    </row>
    <row r="194" spans="1:46" hidden="1" x14ac:dyDescent="0.25">
      <c r="A194">
        <v>193</v>
      </c>
      <c r="B194">
        <v>2025</v>
      </c>
      <c r="C194">
        <v>5</v>
      </c>
      <c r="D194" t="s">
        <v>244</v>
      </c>
      <c r="E194">
        <v>31</v>
      </c>
      <c r="F194">
        <v>4</v>
      </c>
      <c r="G194" t="s">
        <v>536</v>
      </c>
      <c r="H194" s="154">
        <v>365221</v>
      </c>
      <c r="I194" s="154">
        <v>365543</v>
      </c>
      <c r="J194" s="154">
        <v>365867</v>
      </c>
      <c r="K194" s="154">
        <v>366173</v>
      </c>
      <c r="L194" s="154">
        <v>366599</v>
      </c>
      <c r="M194" s="154">
        <v>366901</v>
      </c>
      <c r="N194" s="154">
        <v>367066</v>
      </c>
      <c r="O194" s="154">
        <v>367322</v>
      </c>
      <c r="P194" s="154">
        <v>367701</v>
      </c>
      <c r="Q194" s="154">
        <v>368138</v>
      </c>
      <c r="R194" s="154">
        <v>368251</v>
      </c>
      <c r="S194" s="154">
        <v>368446</v>
      </c>
      <c r="T194" s="154">
        <v>368754</v>
      </c>
      <c r="U194" s="154">
        <v>369214</v>
      </c>
      <c r="V194" s="154">
        <v>369521</v>
      </c>
      <c r="W194" s="154">
        <v>369801</v>
      </c>
      <c r="X194" s="154">
        <v>370068</v>
      </c>
      <c r="Y194" s="154">
        <v>370094</v>
      </c>
      <c r="Z194" s="154">
        <v>370470</v>
      </c>
      <c r="AA194" s="154">
        <v>370713</v>
      </c>
      <c r="AB194" s="154">
        <v>371200</v>
      </c>
      <c r="AC194" s="154">
        <v>371549</v>
      </c>
      <c r="AD194" s="154">
        <v>371906</v>
      </c>
      <c r="AE194" s="154">
        <v>372017</v>
      </c>
      <c r="AF194" s="154">
        <v>372594</v>
      </c>
      <c r="AG194" s="154">
        <v>372700</v>
      </c>
      <c r="AH194" s="154">
        <v>372993</v>
      </c>
      <c r="AI194" s="154">
        <v>373212</v>
      </c>
      <c r="AJ194" s="154">
        <v>373322</v>
      </c>
      <c r="AK194" s="154">
        <v>373808</v>
      </c>
      <c r="AL194" s="154">
        <v>374135</v>
      </c>
      <c r="AS194">
        <v>190</v>
      </c>
    </row>
    <row r="195" spans="1:46" hidden="1" x14ac:dyDescent="0.25">
      <c r="A195">
        <v>194</v>
      </c>
      <c r="B195">
        <v>2025</v>
      </c>
      <c r="C195">
        <v>5</v>
      </c>
      <c r="D195" t="s">
        <v>244</v>
      </c>
      <c r="E195">
        <v>31</v>
      </c>
      <c r="F195">
        <v>4</v>
      </c>
      <c r="G195" t="s">
        <v>537</v>
      </c>
      <c r="H195" s="154">
        <v>365497</v>
      </c>
      <c r="I195" s="154">
        <v>365820</v>
      </c>
      <c r="J195" s="154">
        <v>366121</v>
      </c>
      <c r="K195" s="154">
        <v>366567</v>
      </c>
      <c r="L195" s="154">
        <v>366851</v>
      </c>
      <c r="M195" s="154">
        <v>367016</v>
      </c>
      <c r="N195" s="154">
        <v>367310</v>
      </c>
      <c r="O195" s="154">
        <v>367668</v>
      </c>
      <c r="P195" s="154">
        <v>368107</v>
      </c>
      <c r="Q195" s="154">
        <v>368206</v>
      </c>
      <c r="R195" s="154">
        <v>368409</v>
      </c>
      <c r="S195" s="154">
        <v>368718</v>
      </c>
      <c r="T195" s="154">
        <v>369160</v>
      </c>
      <c r="U195" s="154">
        <v>369472</v>
      </c>
      <c r="V195" s="154">
        <v>369771</v>
      </c>
      <c r="W195" s="154">
        <v>370068</v>
      </c>
      <c r="X195" s="154">
        <v>370094</v>
      </c>
      <c r="Y195" s="154">
        <v>370390</v>
      </c>
      <c r="Z195" s="154">
        <v>370705</v>
      </c>
      <c r="AA195" s="154">
        <v>371148</v>
      </c>
      <c r="AB195" s="154">
        <v>371517</v>
      </c>
      <c r="AC195" s="154">
        <v>371855</v>
      </c>
      <c r="AD195" s="154">
        <v>371968</v>
      </c>
      <c r="AE195" s="154">
        <v>372373</v>
      </c>
      <c r="AF195" s="154">
        <v>372652</v>
      </c>
      <c r="AG195" s="154">
        <v>372961</v>
      </c>
      <c r="AH195" s="154">
        <v>373181</v>
      </c>
      <c r="AI195" s="154">
        <v>373305</v>
      </c>
      <c r="AJ195" s="154">
        <v>373778</v>
      </c>
      <c r="AK195" s="154">
        <v>374107</v>
      </c>
      <c r="AL195" s="154">
        <v>374278</v>
      </c>
      <c r="AP195" cm="1">
        <f t="array" ref="AP195">IF(AQ195="","",SUM(IFERROR(H195:AL195-H194:AL194,0))*AQ195/100)</f>
        <v>932.88</v>
      </c>
      <c r="AQ195">
        <f>_xlfn.XLOOKUP(D195,log_prices!M:M,log_prices!L:L,,0)</f>
        <v>12</v>
      </c>
      <c r="AS195">
        <v>191</v>
      </c>
      <c r="AT195" cm="1">
        <f t="array" ref="AT195">IF(AQ195="","",SUM(IFERROR(H195:AL195-H194:AL194,0)))</f>
        <v>7774</v>
      </c>
    </row>
    <row r="196" spans="1:46" hidden="1" x14ac:dyDescent="0.25">
      <c r="A196">
        <v>195</v>
      </c>
      <c r="B196">
        <v>2025</v>
      </c>
      <c r="C196">
        <v>5</v>
      </c>
      <c r="D196" t="s">
        <v>265</v>
      </c>
      <c r="E196">
        <v>31</v>
      </c>
      <c r="F196">
        <v>4</v>
      </c>
      <c r="G196" t="s">
        <v>534</v>
      </c>
      <c r="H196" s="154" t="s">
        <v>479</v>
      </c>
      <c r="I196" s="154" t="s">
        <v>479</v>
      </c>
      <c r="J196" s="154" t="s">
        <v>479</v>
      </c>
      <c r="K196" s="154" t="s">
        <v>479</v>
      </c>
      <c r="L196" s="154" t="s">
        <v>479</v>
      </c>
      <c r="M196" s="154" t="s">
        <v>479</v>
      </c>
      <c r="N196" s="154" t="s">
        <v>479</v>
      </c>
      <c r="O196" s="154" t="s">
        <v>479</v>
      </c>
      <c r="P196" s="154" t="s">
        <v>479</v>
      </c>
      <c r="Q196" s="154" t="s">
        <v>479</v>
      </c>
      <c r="R196" s="154" t="s">
        <v>479</v>
      </c>
      <c r="S196" s="154" t="s">
        <v>479</v>
      </c>
      <c r="T196" s="154" t="s">
        <v>424</v>
      </c>
      <c r="U196" s="154" t="s">
        <v>479</v>
      </c>
      <c r="V196" s="154" t="s">
        <v>479</v>
      </c>
      <c r="W196" s="154" t="s">
        <v>479</v>
      </c>
      <c r="X196" s="154" t="s">
        <v>424</v>
      </c>
      <c r="Y196" s="154" t="s">
        <v>479</v>
      </c>
      <c r="Z196" s="154" t="s">
        <v>479</v>
      </c>
      <c r="AA196" s="154" t="s">
        <v>479</v>
      </c>
      <c r="AB196" s="154" t="s">
        <v>479</v>
      </c>
      <c r="AC196" s="154" t="s">
        <v>479</v>
      </c>
      <c r="AD196" s="154" t="s">
        <v>479</v>
      </c>
      <c r="AE196" s="154" t="s">
        <v>479</v>
      </c>
      <c r="AF196" s="154" t="s">
        <v>479</v>
      </c>
      <c r="AG196" s="154" t="s">
        <v>479</v>
      </c>
      <c r="AH196" s="154" t="s">
        <v>479</v>
      </c>
      <c r="AI196" s="154" t="s">
        <v>479</v>
      </c>
      <c r="AJ196" s="154" t="s">
        <v>479</v>
      </c>
      <c r="AK196" s="154" t="s">
        <v>479</v>
      </c>
      <c r="AL196" s="154" t="s">
        <v>479</v>
      </c>
      <c r="AS196">
        <v>192</v>
      </c>
    </row>
    <row r="197" spans="1:46" hidden="1" x14ac:dyDescent="0.25">
      <c r="A197">
        <v>196</v>
      </c>
      <c r="B197">
        <v>2025</v>
      </c>
      <c r="C197">
        <v>5</v>
      </c>
      <c r="D197" t="s">
        <v>265</v>
      </c>
      <c r="E197">
        <v>31</v>
      </c>
      <c r="F197">
        <v>4</v>
      </c>
      <c r="G197" t="s">
        <v>535</v>
      </c>
      <c r="H197" s="154">
        <v>0.79166666666666674</v>
      </c>
      <c r="I197" s="154">
        <v>0.83333333333333326</v>
      </c>
      <c r="J197" s="154">
        <v>0.79166666666666674</v>
      </c>
      <c r="K197" s="154">
        <v>0.875</v>
      </c>
      <c r="L197" s="154">
        <v>0.83333333333333326</v>
      </c>
      <c r="M197" s="154">
        <v>0.83333333333333326</v>
      </c>
      <c r="N197" s="154">
        <v>0.79166666666666674</v>
      </c>
      <c r="O197" s="154">
        <v>0.79166666666666674</v>
      </c>
      <c r="P197" s="154">
        <v>0.83333333333333326</v>
      </c>
      <c r="Q197" s="154">
        <v>0.91666666666666674</v>
      </c>
      <c r="R197" s="154">
        <v>0.83333333333333326</v>
      </c>
      <c r="S197" s="154">
        <v>0.79166666666666674</v>
      </c>
      <c r="T197" s="154" t="s">
        <v>424</v>
      </c>
      <c r="U197" s="154">
        <v>0.75</v>
      </c>
      <c r="V197" s="154">
        <v>0.83333333333333326</v>
      </c>
      <c r="W197" s="154">
        <v>0.875</v>
      </c>
      <c r="X197" s="154" t="s">
        <v>424</v>
      </c>
      <c r="Y197" s="154">
        <v>0.83333333333333326</v>
      </c>
      <c r="Z197" s="154">
        <v>0.75</v>
      </c>
      <c r="AA197" s="154">
        <v>0.83333333333333326</v>
      </c>
      <c r="AB197" s="154">
        <v>0.83333333333333326</v>
      </c>
      <c r="AC197" s="154">
        <v>0.95833333333333326</v>
      </c>
      <c r="AD197" s="154">
        <v>0.83333333333333326</v>
      </c>
      <c r="AE197" s="154">
        <v>0.875</v>
      </c>
      <c r="AF197" s="154">
        <v>0.79166666666666674</v>
      </c>
      <c r="AG197" s="154">
        <v>1.0833333333333333</v>
      </c>
      <c r="AH197" s="154">
        <v>1.125</v>
      </c>
      <c r="AI197" s="154">
        <v>0.83333333333333326</v>
      </c>
      <c r="AJ197" s="154">
        <v>0.95833333333333326</v>
      </c>
      <c r="AK197" s="154">
        <v>0.75</v>
      </c>
      <c r="AL197" s="154">
        <v>0.79166666666666674</v>
      </c>
      <c r="AM197" cm="1">
        <f t="array" ref="AM197">SUM(_xlfn.LET(_xlpm.r,((IFERROR(H197:AL197-H196:AL196,0))*24)/10,IF(_xlpm.r&gt;1,1,_xlpm.r)))</f>
        <v>29</v>
      </c>
      <c r="AO197" cm="1">
        <f t="array" ref="AO197">SUM(IFERROR(MOD((H197:AL197-H196:AL196)*24,11),""))</f>
        <v>68.999999999999972</v>
      </c>
      <c r="AS197">
        <v>193</v>
      </c>
    </row>
    <row r="198" spans="1:46" hidden="1" x14ac:dyDescent="0.25">
      <c r="A198">
        <v>197</v>
      </c>
      <c r="B198">
        <v>2025</v>
      </c>
      <c r="C198">
        <v>5</v>
      </c>
      <c r="D198" t="s">
        <v>265</v>
      </c>
      <c r="E198">
        <v>31</v>
      </c>
      <c r="F198">
        <v>4</v>
      </c>
      <c r="G198" t="s">
        <v>536</v>
      </c>
      <c r="H198" s="154">
        <v>808469</v>
      </c>
      <c r="I198" s="154">
        <v>808614</v>
      </c>
      <c r="J198" s="154">
        <v>808682</v>
      </c>
      <c r="K198" s="154">
        <v>808769</v>
      </c>
      <c r="L198" s="154">
        <v>808814</v>
      </c>
      <c r="M198" s="154">
        <v>808869</v>
      </c>
      <c r="N198" s="154">
        <v>808913</v>
      </c>
      <c r="O198" s="154">
        <v>808968</v>
      </c>
      <c r="P198" s="154">
        <v>809034</v>
      </c>
      <c r="Q198" s="154">
        <v>809106</v>
      </c>
      <c r="R198" s="154">
        <v>809184</v>
      </c>
      <c r="S198" s="154">
        <v>809252</v>
      </c>
      <c r="T198" s="154" t="s">
        <v>424</v>
      </c>
      <c r="U198" s="154">
        <v>809446</v>
      </c>
      <c r="V198" s="154">
        <v>809543</v>
      </c>
      <c r="W198" s="154">
        <v>809627</v>
      </c>
      <c r="X198" s="154" t="s">
        <v>424</v>
      </c>
      <c r="Y198" s="154">
        <v>809848</v>
      </c>
      <c r="Z198" s="154">
        <v>809998</v>
      </c>
      <c r="AA198" s="154">
        <v>810147</v>
      </c>
      <c r="AB198" s="154">
        <v>810245</v>
      </c>
      <c r="AC198" s="154">
        <v>810324</v>
      </c>
      <c r="AD198" s="154">
        <v>810475</v>
      </c>
      <c r="AE198" s="154">
        <v>810547</v>
      </c>
      <c r="AF198" s="154">
        <v>810617</v>
      </c>
      <c r="AG198" s="154">
        <v>810849</v>
      </c>
      <c r="AH198" s="154">
        <v>810925</v>
      </c>
      <c r="AI198" s="154">
        <v>811020</v>
      </c>
      <c r="AJ198" s="154">
        <v>811094</v>
      </c>
      <c r="AK198" s="154">
        <v>811199</v>
      </c>
      <c r="AL198" s="154">
        <v>811327</v>
      </c>
      <c r="AS198">
        <v>194</v>
      </c>
    </row>
    <row r="199" spans="1:46" hidden="1" x14ac:dyDescent="0.25">
      <c r="A199">
        <v>198</v>
      </c>
      <c r="B199">
        <v>2025</v>
      </c>
      <c r="C199">
        <v>5</v>
      </c>
      <c r="D199" t="s">
        <v>265</v>
      </c>
      <c r="E199">
        <v>31</v>
      </c>
      <c r="F199">
        <v>4</v>
      </c>
      <c r="G199" t="s">
        <v>537</v>
      </c>
      <c r="H199" s="154">
        <v>808614</v>
      </c>
      <c r="I199" s="154">
        <v>808682</v>
      </c>
      <c r="J199" s="154">
        <v>808769</v>
      </c>
      <c r="K199" s="154">
        <v>808814</v>
      </c>
      <c r="L199" s="154">
        <v>808869</v>
      </c>
      <c r="M199" s="154">
        <v>808913</v>
      </c>
      <c r="N199" s="154">
        <v>808968</v>
      </c>
      <c r="O199" s="154">
        <v>809034</v>
      </c>
      <c r="P199" s="154">
        <v>809106</v>
      </c>
      <c r="Q199" s="154">
        <v>809184</v>
      </c>
      <c r="R199" s="154">
        <v>809252</v>
      </c>
      <c r="S199" s="154">
        <v>809328</v>
      </c>
      <c r="T199" s="154" t="s">
        <v>424</v>
      </c>
      <c r="U199" s="154">
        <v>809543</v>
      </c>
      <c r="V199" s="154">
        <v>809627</v>
      </c>
      <c r="W199" s="154">
        <v>809751</v>
      </c>
      <c r="X199" s="154" t="s">
        <v>424</v>
      </c>
      <c r="Y199" s="154">
        <v>809998</v>
      </c>
      <c r="Z199" s="154">
        <v>810147</v>
      </c>
      <c r="AA199" s="154">
        <v>810245</v>
      </c>
      <c r="AB199" s="154">
        <v>810324</v>
      </c>
      <c r="AC199" s="154">
        <v>810475</v>
      </c>
      <c r="AD199" s="154">
        <v>810547</v>
      </c>
      <c r="AE199" s="154">
        <v>810617</v>
      </c>
      <c r="AF199" s="154">
        <v>810749</v>
      </c>
      <c r="AG199" s="154">
        <v>810924</v>
      </c>
      <c r="AH199" s="154">
        <v>811020</v>
      </c>
      <c r="AI199" s="154">
        <v>811094</v>
      </c>
      <c r="AJ199" s="154">
        <v>811199</v>
      </c>
      <c r="AK199" s="154">
        <v>811327</v>
      </c>
      <c r="AL199" s="154">
        <v>811432</v>
      </c>
      <c r="AP199" cm="1">
        <f t="array" ref="AP199">IF(AQ199="","",SUM(IFERROR(H199:AL199-H198:AL198,0))*AQ199/100)</f>
        <v>397.05</v>
      </c>
      <c r="AQ199">
        <v>15</v>
      </c>
      <c r="AS199">
        <v>195</v>
      </c>
      <c r="AT199" cm="1">
        <f t="array" ref="AT199">IF(AQ199="","",SUM(IFERROR(H199:AL199-H198:AL198,0)))</f>
        <v>2647</v>
      </c>
    </row>
    <row r="200" spans="1:46" hidden="1" x14ac:dyDescent="0.25">
      <c r="A200">
        <v>199</v>
      </c>
      <c r="B200">
        <v>2025</v>
      </c>
      <c r="C200">
        <v>5</v>
      </c>
      <c r="D200" t="s">
        <v>248</v>
      </c>
      <c r="E200">
        <v>31</v>
      </c>
      <c r="F200">
        <v>4</v>
      </c>
      <c r="G200" t="s">
        <v>534</v>
      </c>
      <c r="H200" s="154" t="s">
        <v>479</v>
      </c>
      <c r="I200" s="154" t="s">
        <v>479</v>
      </c>
      <c r="J200" s="154" t="s">
        <v>479</v>
      </c>
      <c r="K200" s="154" t="s">
        <v>479</v>
      </c>
      <c r="L200" s="154" t="s">
        <v>479</v>
      </c>
      <c r="M200" s="154" t="s">
        <v>479</v>
      </c>
      <c r="N200" s="154" t="s">
        <v>479</v>
      </c>
      <c r="O200" s="154" t="s">
        <v>479</v>
      </c>
      <c r="P200" s="154" t="s">
        <v>479</v>
      </c>
      <c r="Q200" s="154" t="s">
        <v>479</v>
      </c>
      <c r="R200" s="154" t="s">
        <v>479</v>
      </c>
      <c r="S200" s="154" t="s">
        <v>479</v>
      </c>
      <c r="T200" s="154" t="s">
        <v>479</v>
      </c>
      <c r="U200" s="154" t="s">
        <v>479</v>
      </c>
      <c r="V200" s="154" t="s">
        <v>479</v>
      </c>
      <c r="W200" s="154" t="s">
        <v>479</v>
      </c>
      <c r="X200" s="154" t="s">
        <v>479</v>
      </c>
      <c r="Y200" s="154" t="s">
        <v>479</v>
      </c>
      <c r="Z200" s="154" t="s">
        <v>479</v>
      </c>
      <c r="AA200" s="154" t="s">
        <v>479</v>
      </c>
      <c r="AB200" s="154" t="s">
        <v>479</v>
      </c>
      <c r="AC200" s="154" t="s">
        <v>479</v>
      </c>
      <c r="AD200" s="154" t="s">
        <v>479</v>
      </c>
      <c r="AE200" s="154" t="s">
        <v>479</v>
      </c>
      <c r="AF200" s="154" t="s">
        <v>479</v>
      </c>
      <c r="AG200" s="154" t="s">
        <v>479</v>
      </c>
      <c r="AH200" s="154" t="s">
        <v>479</v>
      </c>
      <c r="AI200" s="154" t="s">
        <v>479</v>
      </c>
      <c r="AJ200" s="154" t="s">
        <v>479</v>
      </c>
      <c r="AK200" s="154" t="s">
        <v>479</v>
      </c>
      <c r="AL200" s="154" t="s">
        <v>479</v>
      </c>
      <c r="AS200">
        <v>196</v>
      </c>
    </row>
    <row r="201" spans="1:46" hidden="1" x14ac:dyDescent="0.25">
      <c r="A201">
        <v>200</v>
      </c>
      <c r="B201">
        <v>2025</v>
      </c>
      <c r="C201">
        <v>5</v>
      </c>
      <c r="D201" t="s">
        <v>248</v>
      </c>
      <c r="E201">
        <v>31</v>
      </c>
      <c r="F201">
        <v>4</v>
      </c>
      <c r="G201" t="s">
        <v>535</v>
      </c>
      <c r="H201" s="154">
        <v>0.79166666666666674</v>
      </c>
      <c r="I201" s="154">
        <v>0.83333333333333326</v>
      </c>
      <c r="J201" s="154">
        <v>0.75</v>
      </c>
      <c r="K201" s="154">
        <v>0.75</v>
      </c>
      <c r="L201" s="154">
        <v>0.83333333333333326</v>
      </c>
      <c r="M201" s="154">
        <v>0.75</v>
      </c>
      <c r="N201" s="154">
        <v>0.83333333333333326</v>
      </c>
      <c r="O201" s="154">
        <v>0.79166666666666674</v>
      </c>
      <c r="P201" s="154">
        <v>0.83333333333333326</v>
      </c>
      <c r="Q201" s="154">
        <v>0.95833333333333326</v>
      </c>
      <c r="R201" s="154">
        <v>0.875</v>
      </c>
      <c r="S201" s="154">
        <v>0.75</v>
      </c>
      <c r="T201" s="154">
        <v>0.75</v>
      </c>
      <c r="U201" s="154">
        <v>0.83333333333333326</v>
      </c>
      <c r="V201" s="154">
        <v>0.75</v>
      </c>
      <c r="W201" s="154">
        <v>0.875</v>
      </c>
      <c r="X201" s="154">
        <v>0.83333333333333326</v>
      </c>
      <c r="Y201" s="154">
        <v>0.95833333333333326</v>
      </c>
      <c r="Z201" s="154">
        <v>0.83333333333333326</v>
      </c>
      <c r="AA201" s="154">
        <v>0.875</v>
      </c>
      <c r="AB201" s="154">
        <v>0.75</v>
      </c>
      <c r="AC201" s="154">
        <v>0.83333333333333326</v>
      </c>
      <c r="AD201" s="154">
        <v>0.875</v>
      </c>
      <c r="AE201" s="154">
        <v>0.75</v>
      </c>
      <c r="AF201" s="154">
        <v>0.75</v>
      </c>
      <c r="AG201" s="154">
        <v>0.75</v>
      </c>
      <c r="AH201" s="154">
        <v>0.75</v>
      </c>
      <c r="AI201" s="154">
        <v>0.75</v>
      </c>
      <c r="AJ201" s="154">
        <v>0.75</v>
      </c>
      <c r="AK201" s="154">
        <v>0.75</v>
      </c>
      <c r="AL201" s="154">
        <v>0.75</v>
      </c>
      <c r="AM201" cm="1">
        <f t="array" ref="AM201">SUM(_xlfn.LET(_xlpm.r,((IFERROR(H201:AL201-H200:AL200,0))*24)/10,IF(_xlpm.r&gt;1,1,_xlpm.r)))+8</f>
        <v>39</v>
      </c>
      <c r="AO201" cm="1">
        <f t="array" ref="AO201">SUM(IFERROR(MOD((H201:AL201-H200:AL200)*24,11),""))</f>
        <v>39.999999999999957</v>
      </c>
      <c r="AR201" s="168" t="s">
        <v>478</v>
      </c>
      <c r="AS201">
        <v>197</v>
      </c>
    </row>
    <row r="202" spans="1:46" hidden="1" x14ac:dyDescent="0.25">
      <c r="A202">
        <v>201</v>
      </c>
      <c r="B202">
        <v>2025</v>
      </c>
      <c r="C202">
        <v>5</v>
      </c>
      <c r="D202" t="s">
        <v>248</v>
      </c>
      <c r="E202">
        <v>31</v>
      </c>
      <c r="F202">
        <v>4</v>
      </c>
      <c r="G202" t="s">
        <v>536</v>
      </c>
      <c r="H202" s="154">
        <v>351602</v>
      </c>
      <c r="I202" s="154">
        <v>351770</v>
      </c>
      <c r="J202" s="154">
        <v>351889</v>
      </c>
      <c r="K202" s="154">
        <v>352123</v>
      </c>
      <c r="L202" s="154">
        <v>352227</v>
      </c>
      <c r="M202" s="154">
        <v>352273</v>
      </c>
      <c r="N202" s="154">
        <v>352339</v>
      </c>
      <c r="O202" s="154">
        <v>352390</v>
      </c>
      <c r="P202" s="154">
        <v>352559</v>
      </c>
      <c r="Q202" s="154">
        <v>352769</v>
      </c>
      <c r="R202" s="154">
        <v>353045</v>
      </c>
      <c r="S202" s="154">
        <v>353365</v>
      </c>
      <c r="T202" s="154">
        <v>353434</v>
      </c>
      <c r="U202" s="154">
        <v>353599</v>
      </c>
      <c r="V202" s="154">
        <v>353654</v>
      </c>
      <c r="W202" s="154">
        <v>353698</v>
      </c>
      <c r="X202" s="154">
        <v>353840</v>
      </c>
      <c r="Y202" s="154">
        <v>354070</v>
      </c>
      <c r="Z202" s="154">
        <v>354281</v>
      </c>
      <c r="AA202" s="154">
        <v>354410</v>
      </c>
      <c r="AB202" s="154">
        <v>354551</v>
      </c>
      <c r="AC202" s="154">
        <v>354746</v>
      </c>
      <c r="AD202" s="154">
        <v>354898</v>
      </c>
      <c r="AE202" s="154">
        <v>354961</v>
      </c>
      <c r="AF202" s="154">
        <v>355064</v>
      </c>
      <c r="AG202" s="154">
        <v>355133</v>
      </c>
      <c r="AH202" s="154">
        <v>355229</v>
      </c>
      <c r="AI202" s="154">
        <v>355326</v>
      </c>
      <c r="AJ202" s="154">
        <v>355392</v>
      </c>
      <c r="AK202" s="154">
        <v>355519</v>
      </c>
      <c r="AL202" s="154">
        <v>355685</v>
      </c>
      <c r="AS202">
        <v>198</v>
      </c>
    </row>
    <row r="203" spans="1:46" hidden="1" x14ac:dyDescent="0.25">
      <c r="A203">
        <v>202</v>
      </c>
      <c r="B203">
        <v>2025</v>
      </c>
      <c r="C203">
        <v>5</v>
      </c>
      <c r="D203" t="s">
        <v>248</v>
      </c>
      <c r="E203">
        <v>31</v>
      </c>
      <c r="F203">
        <v>4</v>
      </c>
      <c r="G203" t="s">
        <v>537</v>
      </c>
      <c r="H203" s="154">
        <v>351770</v>
      </c>
      <c r="I203" s="154">
        <v>351889</v>
      </c>
      <c r="J203" s="154">
        <v>352064</v>
      </c>
      <c r="K203" s="154">
        <v>352227</v>
      </c>
      <c r="L203" s="154">
        <v>352273</v>
      </c>
      <c r="M203" s="154">
        <v>352339</v>
      </c>
      <c r="N203" s="154">
        <v>352390</v>
      </c>
      <c r="O203" s="154">
        <v>352539</v>
      </c>
      <c r="P203" s="154">
        <v>352769</v>
      </c>
      <c r="Q203" s="154">
        <v>353045</v>
      </c>
      <c r="R203" s="154">
        <v>353365</v>
      </c>
      <c r="S203" s="154">
        <v>353434</v>
      </c>
      <c r="T203" s="154">
        <v>353599</v>
      </c>
      <c r="U203" s="154">
        <v>353654</v>
      </c>
      <c r="V203" s="154">
        <v>353698</v>
      </c>
      <c r="W203" s="154">
        <v>353839</v>
      </c>
      <c r="X203" s="154">
        <v>354047</v>
      </c>
      <c r="Y203" s="154">
        <v>354218</v>
      </c>
      <c r="Z203" s="154">
        <v>354410</v>
      </c>
      <c r="AA203" s="154">
        <v>354551</v>
      </c>
      <c r="AB203" s="154">
        <v>354717</v>
      </c>
      <c r="AC203" s="154">
        <v>354898</v>
      </c>
      <c r="AD203" s="154">
        <v>354961</v>
      </c>
      <c r="AE203" s="154">
        <v>355064</v>
      </c>
      <c r="AF203" s="154">
        <v>355132</v>
      </c>
      <c r="AG203" s="154">
        <v>355229</v>
      </c>
      <c r="AH203" s="154">
        <v>355326</v>
      </c>
      <c r="AI203" s="154">
        <v>355390</v>
      </c>
      <c r="AJ203" s="154">
        <v>355519</v>
      </c>
      <c r="AK203" s="154">
        <v>355685</v>
      </c>
      <c r="AL203" s="154">
        <v>355854</v>
      </c>
      <c r="AP203" cm="1">
        <f t="array" ref="AP203">IF(AQ203="","",SUM(IFERROR(H203:AL203-H202:AL202,0))*AQ203/100)</f>
        <v>608.1</v>
      </c>
      <c r="AQ203">
        <f>_xlfn.XLOOKUP(D203,log_prices!M:M,log_prices!L:L,,0)</f>
        <v>15</v>
      </c>
      <c r="AS203">
        <v>199</v>
      </c>
      <c r="AT203" cm="1">
        <f t="array" ref="AT203">IF(AQ203="","",SUM(IFERROR(H203:AL203-H202:AL202,0)))</f>
        <v>4054</v>
      </c>
    </row>
    <row r="204" spans="1:46" hidden="1" x14ac:dyDescent="0.25">
      <c r="A204">
        <v>203</v>
      </c>
      <c r="B204">
        <v>2025</v>
      </c>
      <c r="C204">
        <v>5</v>
      </c>
      <c r="D204" t="s">
        <v>249</v>
      </c>
      <c r="E204">
        <v>31</v>
      </c>
      <c r="F204">
        <v>4</v>
      </c>
      <c r="G204" t="s">
        <v>534</v>
      </c>
      <c r="H204" s="154" t="s">
        <v>479</v>
      </c>
      <c r="I204" s="154" t="s">
        <v>479</v>
      </c>
      <c r="J204" s="154" t="s">
        <v>479</v>
      </c>
      <c r="K204" s="154" t="s">
        <v>479</v>
      </c>
      <c r="L204" s="154" t="s">
        <v>479</v>
      </c>
      <c r="M204" s="154" t="s">
        <v>479</v>
      </c>
      <c r="N204" s="154" t="s">
        <v>479</v>
      </c>
      <c r="O204" s="154" t="s">
        <v>479</v>
      </c>
      <c r="P204" s="154" t="s">
        <v>479</v>
      </c>
      <c r="Q204" s="154" t="s">
        <v>479</v>
      </c>
      <c r="R204" s="154" t="s">
        <v>479</v>
      </c>
      <c r="S204" s="154" t="s">
        <v>479</v>
      </c>
      <c r="T204" s="154" t="s">
        <v>479</v>
      </c>
      <c r="U204" s="154" t="s">
        <v>479</v>
      </c>
      <c r="V204" s="154" t="s">
        <v>479</v>
      </c>
      <c r="W204" s="154" t="s">
        <v>479</v>
      </c>
      <c r="X204" s="154" t="s">
        <v>479</v>
      </c>
      <c r="Y204" s="154" t="s">
        <v>424</v>
      </c>
      <c r="Z204" s="154" t="s">
        <v>479</v>
      </c>
      <c r="AA204" s="154" t="s">
        <v>479</v>
      </c>
      <c r="AB204" s="154" t="s">
        <v>479</v>
      </c>
      <c r="AC204" s="154" t="s">
        <v>479</v>
      </c>
      <c r="AD204" s="154" t="s">
        <v>479</v>
      </c>
      <c r="AE204" s="154" t="s">
        <v>479</v>
      </c>
      <c r="AF204" s="154" t="s">
        <v>479</v>
      </c>
      <c r="AG204" s="154" t="s">
        <v>479</v>
      </c>
      <c r="AH204" s="154" t="s">
        <v>479</v>
      </c>
      <c r="AI204" s="154" t="s">
        <v>479</v>
      </c>
      <c r="AJ204" s="154" t="s">
        <v>479</v>
      </c>
      <c r="AK204" s="154" t="s">
        <v>479</v>
      </c>
      <c r="AL204" s="154" t="s">
        <v>479</v>
      </c>
      <c r="AS204">
        <v>200</v>
      </c>
    </row>
    <row r="205" spans="1:46" hidden="1" x14ac:dyDescent="0.25">
      <c r="A205">
        <v>204</v>
      </c>
      <c r="B205">
        <v>2025</v>
      </c>
      <c r="C205">
        <v>5</v>
      </c>
      <c r="D205" t="s">
        <v>249</v>
      </c>
      <c r="E205">
        <v>31</v>
      </c>
      <c r="F205">
        <v>4</v>
      </c>
      <c r="G205" t="s">
        <v>535</v>
      </c>
      <c r="H205" s="154" t="s">
        <v>480</v>
      </c>
      <c r="I205" s="154" t="s">
        <v>480</v>
      </c>
      <c r="J205" s="154" t="s">
        <v>480</v>
      </c>
      <c r="K205" s="154" t="s">
        <v>480</v>
      </c>
      <c r="L205" s="154" t="s">
        <v>480</v>
      </c>
      <c r="M205" s="154" t="s">
        <v>480</v>
      </c>
      <c r="N205" s="154" t="s">
        <v>480</v>
      </c>
      <c r="O205" s="154" t="s">
        <v>480</v>
      </c>
      <c r="P205" s="154" t="s">
        <v>480</v>
      </c>
      <c r="Q205" s="154" t="s">
        <v>480</v>
      </c>
      <c r="R205" s="154" t="s">
        <v>480</v>
      </c>
      <c r="S205" s="154" t="s">
        <v>480</v>
      </c>
      <c r="T205" s="154" t="s">
        <v>480</v>
      </c>
      <c r="U205" s="154" t="s">
        <v>480</v>
      </c>
      <c r="V205" s="154" t="s">
        <v>480</v>
      </c>
      <c r="W205" s="154" t="s">
        <v>480</v>
      </c>
      <c r="X205" s="154" t="s">
        <v>480</v>
      </c>
      <c r="Y205" s="154" t="s">
        <v>424</v>
      </c>
      <c r="Z205" s="154" t="s">
        <v>480</v>
      </c>
      <c r="AA205" s="154" t="s">
        <v>480</v>
      </c>
      <c r="AB205" s="154" t="s">
        <v>480</v>
      </c>
      <c r="AC205" s="154" t="s">
        <v>480</v>
      </c>
      <c r="AD205" s="154" t="s">
        <v>480</v>
      </c>
      <c r="AE205" s="154" t="s">
        <v>480</v>
      </c>
      <c r="AF205" s="154" t="s">
        <v>480</v>
      </c>
      <c r="AG205" s="154" t="s">
        <v>480</v>
      </c>
      <c r="AH205" s="154" t="s">
        <v>480</v>
      </c>
      <c r="AI205" s="154" t="s">
        <v>480</v>
      </c>
      <c r="AJ205" s="154" t="s">
        <v>480</v>
      </c>
      <c r="AK205" s="154" t="s">
        <v>480</v>
      </c>
      <c r="AL205" s="154" t="s">
        <v>480</v>
      </c>
      <c r="AM205" cm="1">
        <f t="array" ref="AM205">SUM(_xlfn.LET(_xlpm.r,((IFERROR(H205:AL205-H204:AL204,0))*24)/10,IF(_xlpm.r&gt;1,1,_xlpm.r)))</f>
        <v>30</v>
      </c>
      <c r="AO205" cm="1">
        <f t="array" ref="AO205">SUM(IFERROR(MOD((H205:AL205-H204:AL204)*24,11),""))</f>
        <v>0</v>
      </c>
      <c r="AS205">
        <v>201</v>
      </c>
    </row>
    <row r="206" spans="1:46" hidden="1" x14ac:dyDescent="0.25">
      <c r="A206">
        <v>205</v>
      </c>
      <c r="B206">
        <v>2025</v>
      </c>
      <c r="C206">
        <v>5</v>
      </c>
      <c r="D206" t="s">
        <v>249</v>
      </c>
      <c r="E206">
        <v>31</v>
      </c>
      <c r="F206">
        <v>4</v>
      </c>
      <c r="G206" t="s">
        <v>536</v>
      </c>
      <c r="H206" s="154">
        <v>884815</v>
      </c>
      <c r="I206" s="154">
        <v>884907</v>
      </c>
      <c r="J206" s="154">
        <v>884994</v>
      </c>
      <c r="K206" s="154">
        <v>885096</v>
      </c>
      <c r="L206" s="154">
        <v>885147</v>
      </c>
      <c r="M206" s="154">
        <v>885208</v>
      </c>
      <c r="N206" s="154">
        <v>885268</v>
      </c>
      <c r="O206" s="154">
        <v>885329</v>
      </c>
      <c r="P206" s="154">
        <v>885469</v>
      </c>
      <c r="Q206" s="154">
        <v>885568</v>
      </c>
      <c r="R206" s="154">
        <v>885630</v>
      </c>
      <c r="S206" s="154">
        <v>885719</v>
      </c>
      <c r="T206" s="154">
        <v>885852</v>
      </c>
      <c r="U206" s="154">
        <v>885950</v>
      </c>
      <c r="V206" s="154">
        <v>886035</v>
      </c>
      <c r="W206" s="154">
        <v>197360</v>
      </c>
      <c r="X206" s="154">
        <v>197417</v>
      </c>
      <c r="Y206" s="154" t="s">
        <v>424</v>
      </c>
      <c r="Z206" s="154">
        <v>197590</v>
      </c>
      <c r="AA206" s="154">
        <v>197675</v>
      </c>
      <c r="AB206" s="154">
        <v>197756</v>
      </c>
      <c r="AC206" s="154">
        <v>197838</v>
      </c>
      <c r="AD206" s="154">
        <v>197926</v>
      </c>
      <c r="AE206" s="154">
        <v>198049</v>
      </c>
      <c r="AF206" s="154">
        <v>198131</v>
      </c>
      <c r="AG206" s="154">
        <v>198218</v>
      </c>
      <c r="AH206" s="154">
        <v>198309</v>
      </c>
      <c r="AI206" s="154">
        <v>198438</v>
      </c>
      <c r="AJ206" s="154">
        <v>198522</v>
      </c>
      <c r="AK206" s="154">
        <v>198648</v>
      </c>
      <c r="AL206" s="154">
        <v>198710</v>
      </c>
      <c r="AS206">
        <v>202</v>
      </c>
    </row>
    <row r="207" spans="1:46" hidden="1" x14ac:dyDescent="0.25">
      <c r="A207">
        <v>206</v>
      </c>
      <c r="B207">
        <v>2025</v>
      </c>
      <c r="C207">
        <v>5</v>
      </c>
      <c r="D207" t="s">
        <v>249</v>
      </c>
      <c r="E207">
        <v>31</v>
      </c>
      <c r="F207">
        <v>4</v>
      </c>
      <c r="G207" t="s">
        <v>537</v>
      </c>
      <c r="H207" s="154">
        <v>884907</v>
      </c>
      <c r="I207" s="154">
        <v>884994</v>
      </c>
      <c r="J207" s="154">
        <v>885096</v>
      </c>
      <c r="K207" s="154">
        <v>885147</v>
      </c>
      <c r="L207" s="154">
        <v>885208</v>
      </c>
      <c r="M207" s="154">
        <v>885268</v>
      </c>
      <c r="N207" s="154">
        <v>885329</v>
      </c>
      <c r="O207" s="154">
        <v>885469</v>
      </c>
      <c r="P207" s="154">
        <v>885568</v>
      </c>
      <c r="Q207" s="154">
        <v>885630</v>
      </c>
      <c r="R207" s="154">
        <v>885719</v>
      </c>
      <c r="S207" s="154">
        <v>885827</v>
      </c>
      <c r="T207" s="154">
        <v>885950</v>
      </c>
      <c r="U207" s="154">
        <v>886035</v>
      </c>
      <c r="V207" s="154">
        <v>886104</v>
      </c>
      <c r="W207" s="154">
        <v>197417</v>
      </c>
      <c r="X207" s="154">
        <v>197500</v>
      </c>
      <c r="Y207" s="154" t="s">
        <v>424</v>
      </c>
      <c r="Z207" s="154">
        <v>197675</v>
      </c>
      <c r="AA207" s="154">
        <v>197756</v>
      </c>
      <c r="AB207" s="154">
        <v>197838</v>
      </c>
      <c r="AC207" s="154">
        <v>197926</v>
      </c>
      <c r="AD207" s="154">
        <v>198049</v>
      </c>
      <c r="AE207" s="154">
        <v>198131</v>
      </c>
      <c r="AF207" s="154">
        <v>198218</v>
      </c>
      <c r="AG207" s="154">
        <v>198309</v>
      </c>
      <c r="AH207" s="154">
        <v>198438</v>
      </c>
      <c r="AI207" s="154">
        <v>198522</v>
      </c>
      <c r="AJ207" s="154">
        <v>198609</v>
      </c>
      <c r="AK207" s="154">
        <v>198710</v>
      </c>
      <c r="AL207" s="154">
        <v>198800</v>
      </c>
      <c r="AP207" cm="1">
        <f t="array" ref="AP207">IF(AQ207="","",SUM(IFERROR(H207:AL207-H206:AL206,0))*AQ207/100)</f>
        <v>386.25</v>
      </c>
      <c r="AQ207">
        <f>_xlfn.XLOOKUP(D207,log_prices!M:M,log_prices!L:L,,0)</f>
        <v>15</v>
      </c>
      <c r="AS207">
        <v>203</v>
      </c>
      <c r="AT207" cm="1">
        <f t="array" ref="AT207">IF(AQ207="","",SUM(IFERROR(H207:AL207-H206:AL206,0)))</f>
        <v>2575</v>
      </c>
    </row>
    <row r="208" spans="1:46" hidden="1" x14ac:dyDescent="0.25">
      <c r="A208">
        <v>207</v>
      </c>
      <c r="B208">
        <v>2025</v>
      </c>
      <c r="C208">
        <v>5</v>
      </c>
      <c r="D208" t="s">
        <v>266</v>
      </c>
      <c r="E208">
        <v>31</v>
      </c>
      <c r="F208">
        <v>4</v>
      </c>
      <c r="G208" t="s">
        <v>534</v>
      </c>
      <c r="H208" s="154" t="s">
        <v>486</v>
      </c>
      <c r="I208" s="154" t="s">
        <v>486</v>
      </c>
      <c r="J208" s="154" t="s">
        <v>486</v>
      </c>
      <c r="K208" s="154" t="s">
        <v>486</v>
      </c>
      <c r="L208" s="154" t="s">
        <v>486</v>
      </c>
      <c r="M208" s="154" t="s">
        <v>486</v>
      </c>
      <c r="N208" s="154" t="s">
        <v>486</v>
      </c>
      <c r="O208" s="154" t="s">
        <v>486</v>
      </c>
      <c r="P208" s="154" t="s">
        <v>486</v>
      </c>
      <c r="Q208" s="154" t="s">
        <v>486</v>
      </c>
      <c r="R208" s="154" t="s">
        <v>486</v>
      </c>
      <c r="S208" s="154" t="s">
        <v>486</v>
      </c>
      <c r="T208" s="154" t="s">
        <v>486</v>
      </c>
      <c r="U208" s="154" t="s">
        <v>486</v>
      </c>
      <c r="V208" s="154" t="s">
        <v>486</v>
      </c>
      <c r="W208" s="154" t="s">
        <v>486</v>
      </c>
      <c r="X208" s="154" t="s">
        <v>486</v>
      </c>
      <c r="Y208" s="154" t="s">
        <v>486</v>
      </c>
      <c r="Z208" s="154" t="s">
        <v>486</v>
      </c>
      <c r="AA208" s="154" t="s">
        <v>486</v>
      </c>
      <c r="AB208" s="154" t="s">
        <v>486</v>
      </c>
      <c r="AC208" s="154" t="s">
        <v>486</v>
      </c>
      <c r="AD208" s="154" t="s">
        <v>486</v>
      </c>
      <c r="AE208" s="154" t="s">
        <v>486</v>
      </c>
      <c r="AF208" s="154" t="s">
        <v>486</v>
      </c>
      <c r="AG208" s="154" t="s">
        <v>486</v>
      </c>
      <c r="AH208" s="154" t="s">
        <v>486</v>
      </c>
      <c r="AI208" s="154" t="s">
        <v>486</v>
      </c>
      <c r="AJ208" s="154" t="s">
        <v>486</v>
      </c>
      <c r="AK208" s="154" t="s">
        <v>486</v>
      </c>
      <c r="AL208" s="154" t="s">
        <v>486</v>
      </c>
      <c r="AS208">
        <v>204</v>
      </c>
    </row>
    <row r="209" spans="1:46" hidden="1" x14ac:dyDescent="0.25">
      <c r="A209">
        <v>208</v>
      </c>
      <c r="B209">
        <v>2025</v>
      </c>
      <c r="C209">
        <v>5</v>
      </c>
      <c r="D209" t="s">
        <v>266</v>
      </c>
      <c r="E209">
        <v>31</v>
      </c>
      <c r="F209">
        <v>4</v>
      </c>
      <c r="G209" t="s">
        <v>535</v>
      </c>
      <c r="H209" s="154">
        <v>0.79166666666666674</v>
      </c>
      <c r="I209" s="154">
        <v>0.79166666666666674</v>
      </c>
      <c r="J209" s="154">
        <v>0.79166666666666674</v>
      </c>
      <c r="K209" s="154">
        <v>0.83333333333333326</v>
      </c>
      <c r="L209" s="154">
        <v>0.79166666666666674</v>
      </c>
      <c r="M209" s="154">
        <v>0.79166666666666674</v>
      </c>
      <c r="N209" s="154">
        <v>0.83333333333333326</v>
      </c>
      <c r="O209" s="154">
        <v>0.79166666666666674</v>
      </c>
      <c r="P209" s="154">
        <v>0.79166666666666674</v>
      </c>
      <c r="Q209" s="154">
        <v>0.79166666666666674</v>
      </c>
      <c r="R209" s="154">
        <v>0.83333333333333326</v>
      </c>
      <c r="S209" s="154">
        <v>0.79166666666666674</v>
      </c>
      <c r="T209" s="154">
        <v>0.79166666666666674</v>
      </c>
      <c r="U209" s="154">
        <v>0.79166666666666674</v>
      </c>
      <c r="V209" s="154">
        <v>0.79166666666666674</v>
      </c>
      <c r="W209" s="154">
        <v>0.79166666666666674</v>
      </c>
      <c r="X209" s="154">
        <v>0.83333333333333326</v>
      </c>
      <c r="Y209" s="154">
        <v>0.79166666666666674</v>
      </c>
      <c r="Z209" s="154">
        <v>0.79166666666666674</v>
      </c>
      <c r="AA209" s="154">
        <v>0.79166666666666674</v>
      </c>
      <c r="AB209" s="154">
        <v>0.79166666666666674</v>
      </c>
      <c r="AC209" s="154">
        <v>0.79166666666666674</v>
      </c>
      <c r="AD209" s="154">
        <v>0.83333333333333326</v>
      </c>
      <c r="AE209" s="154">
        <v>0.79166666666666674</v>
      </c>
      <c r="AF209" s="154">
        <v>0.79166666666666674</v>
      </c>
      <c r="AG209" s="154">
        <v>0.79166666666666674</v>
      </c>
      <c r="AH209" s="154">
        <v>0.79166666666666674</v>
      </c>
      <c r="AI209" s="154">
        <v>0.83333333333333326</v>
      </c>
      <c r="AJ209" s="154">
        <v>0.79166666666666674</v>
      </c>
      <c r="AK209" s="154">
        <v>0.79166666666666674</v>
      </c>
      <c r="AL209" s="154">
        <v>0.83333333333333326</v>
      </c>
      <c r="AM209" cm="1">
        <f t="array" ref="AM209">SUM(_xlfn.LET(_xlpm.r,((IFERROR(H209:AL209-H208:AL208,0))*24)/10,IF(_xlpm.r&gt;1,1,_xlpm.r)))</f>
        <v>31</v>
      </c>
      <c r="AO209" cm="1">
        <f t="array" ref="AO209">SUM(IFERROR(MOD((H209:AL209-H208:AL208)*24,11),""))</f>
        <v>99.999999999999986</v>
      </c>
      <c r="AS209">
        <v>205</v>
      </c>
    </row>
    <row r="210" spans="1:46" hidden="1" x14ac:dyDescent="0.25">
      <c r="A210">
        <v>209</v>
      </c>
      <c r="B210">
        <v>2025</v>
      </c>
      <c r="C210">
        <v>5</v>
      </c>
      <c r="D210" t="s">
        <v>266</v>
      </c>
      <c r="E210">
        <v>31</v>
      </c>
      <c r="F210">
        <v>4</v>
      </c>
      <c r="G210" t="s">
        <v>536</v>
      </c>
      <c r="H210" s="154">
        <v>3899</v>
      </c>
      <c r="I210" s="154">
        <v>4126</v>
      </c>
      <c r="J210" s="154">
        <v>4349</v>
      </c>
      <c r="K210" s="154">
        <v>4568</v>
      </c>
      <c r="L210" s="154">
        <v>4809</v>
      </c>
      <c r="M210" s="154">
        <v>5087</v>
      </c>
      <c r="N210" s="154">
        <v>5413</v>
      </c>
      <c r="O210" s="154">
        <v>5658</v>
      </c>
      <c r="P210" s="154">
        <v>5897</v>
      </c>
      <c r="Q210" s="154">
        <v>6144</v>
      </c>
      <c r="R210" s="154">
        <v>6398</v>
      </c>
      <c r="S210" s="154">
        <v>6647</v>
      </c>
      <c r="T210" s="154">
        <v>6886</v>
      </c>
      <c r="U210" s="154">
        <v>7114</v>
      </c>
      <c r="V210" s="154">
        <v>7361</v>
      </c>
      <c r="W210" s="154">
        <v>7592</v>
      </c>
      <c r="X210" s="154">
        <v>7835</v>
      </c>
      <c r="Y210" s="154">
        <v>8119</v>
      </c>
      <c r="Z210" s="154" t="s">
        <v>487</v>
      </c>
      <c r="AA210" s="154" t="s">
        <v>488</v>
      </c>
      <c r="AB210" s="154" t="s">
        <v>489</v>
      </c>
      <c r="AC210" s="154">
        <v>9064</v>
      </c>
      <c r="AD210" s="154">
        <v>9293</v>
      </c>
      <c r="AE210" s="154">
        <v>9528</v>
      </c>
      <c r="AF210" s="154">
        <v>9769</v>
      </c>
      <c r="AG210" s="154">
        <v>10007</v>
      </c>
      <c r="AH210" s="154">
        <v>10252</v>
      </c>
      <c r="AI210" s="154">
        <v>10497</v>
      </c>
      <c r="AJ210" s="154">
        <v>10733</v>
      </c>
      <c r="AK210" s="154">
        <v>10974</v>
      </c>
      <c r="AL210" s="154">
        <v>11258</v>
      </c>
      <c r="AS210">
        <v>206</v>
      </c>
    </row>
    <row r="211" spans="1:46" hidden="1" x14ac:dyDescent="0.25">
      <c r="A211">
        <v>210</v>
      </c>
      <c r="B211">
        <v>2025</v>
      </c>
      <c r="C211">
        <v>5</v>
      </c>
      <c r="D211" t="s">
        <v>266</v>
      </c>
      <c r="E211">
        <v>31</v>
      </c>
      <c r="F211">
        <v>4</v>
      </c>
      <c r="G211" t="s">
        <v>537</v>
      </c>
      <c r="H211" s="154">
        <v>4126</v>
      </c>
      <c r="I211" s="154">
        <v>4349</v>
      </c>
      <c r="J211" s="154">
        <v>4568</v>
      </c>
      <c r="K211" s="154">
        <v>4809</v>
      </c>
      <c r="L211" s="154">
        <v>5087</v>
      </c>
      <c r="M211" s="154">
        <v>5413</v>
      </c>
      <c r="N211" s="154">
        <v>5658</v>
      </c>
      <c r="O211" s="154">
        <v>5897</v>
      </c>
      <c r="P211" s="154">
        <v>6144</v>
      </c>
      <c r="Q211" s="154">
        <v>6398</v>
      </c>
      <c r="R211" s="154">
        <v>6647</v>
      </c>
      <c r="S211" s="154">
        <v>6886</v>
      </c>
      <c r="T211" s="154">
        <v>7114</v>
      </c>
      <c r="U211" s="154">
        <v>7361</v>
      </c>
      <c r="V211" s="154">
        <v>7592</v>
      </c>
      <c r="W211" s="154">
        <v>7835</v>
      </c>
      <c r="X211" s="154">
        <v>8119</v>
      </c>
      <c r="Y211" s="154">
        <v>8356</v>
      </c>
      <c r="Z211" s="154" t="s">
        <v>488</v>
      </c>
      <c r="AA211" s="154" t="s">
        <v>489</v>
      </c>
      <c r="AB211" s="154" t="s">
        <v>490</v>
      </c>
      <c r="AC211" s="154">
        <v>9293</v>
      </c>
      <c r="AD211" s="154">
        <v>9528</v>
      </c>
      <c r="AE211" s="154">
        <v>9769</v>
      </c>
      <c r="AF211" s="154">
        <v>10007</v>
      </c>
      <c r="AG211" s="154">
        <v>10252</v>
      </c>
      <c r="AH211" s="154">
        <v>10497</v>
      </c>
      <c r="AI211" s="154">
        <v>10733</v>
      </c>
      <c r="AJ211" s="154">
        <v>10974</v>
      </c>
      <c r="AK211" s="154">
        <v>11258</v>
      </c>
      <c r="AL211" s="154">
        <v>11497</v>
      </c>
      <c r="AP211" cm="1">
        <f t="array" ref="AP211">IF(AQ211="","",SUM(IFERROR(H211:AL211-H210:AL210,0))*AQ211/100)</f>
        <v>1139.6999999999998</v>
      </c>
      <c r="AQ211">
        <f>_xlfn.XLOOKUP(D211,log_prices!M:M,log_prices!L:L,,0)</f>
        <v>14.999999999999998</v>
      </c>
      <c r="AS211">
        <v>207</v>
      </c>
      <c r="AT211" cm="1">
        <f t="array" ref="AT211">IF(AQ211="","",SUM(IFERROR(H211:AL211-H210:AL210,0)))</f>
        <v>7598</v>
      </c>
    </row>
    <row r="212" spans="1:46" hidden="1" x14ac:dyDescent="0.25">
      <c r="A212">
        <v>211</v>
      </c>
      <c r="B212">
        <v>2025</v>
      </c>
      <c r="C212">
        <v>5</v>
      </c>
      <c r="D212" t="s">
        <v>267</v>
      </c>
      <c r="E212">
        <v>31</v>
      </c>
      <c r="F212">
        <v>4</v>
      </c>
      <c r="G212" t="s">
        <v>534</v>
      </c>
      <c r="H212" s="154" t="s">
        <v>479</v>
      </c>
      <c r="I212" s="154" t="s">
        <v>479</v>
      </c>
      <c r="J212" s="154" t="s">
        <v>479</v>
      </c>
      <c r="K212" s="154" t="s">
        <v>479</v>
      </c>
      <c r="L212" s="154" t="s">
        <v>479</v>
      </c>
      <c r="M212" s="154" t="s">
        <v>479</v>
      </c>
      <c r="N212" s="154" t="s">
        <v>479</v>
      </c>
      <c r="O212" s="154" t="s">
        <v>479</v>
      </c>
      <c r="P212" s="154" t="s">
        <v>479</v>
      </c>
      <c r="Q212" s="154" t="s">
        <v>479</v>
      </c>
      <c r="R212" s="154" t="s">
        <v>479</v>
      </c>
      <c r="S212" s="154" t="s">
        <v>479</v>
      </c>
      <c r="T212" s="154" t="s">
        <v>479</v>
      </c>
      <c r="U212" s="154" t="s">
        <v>479</v>
      </c>
      <c r="V212" s="154" t="s">
        <v>479</v>
      </c>
      <c r="W212" s="154" t="s">
        <v>479</v>
      </c>
      <c r="X212" s="154" t="s">
        <v>479</v>
      </c>
      <c r="Y212" s="154" t="s">
        <v>479</v>
      </c>
      <c r="Z212" s="154" t="s">
        <v>479</v>
      </c>
      <c r="AA212" s="154" t="s">
        <v>479</v>
      </c>
      <c r="AB212" s="154" t="s">
        <v>479</v>
      </c>
      <c r="AC212" s="154" t="s">
        <v>479</v>
      </c>
      <c r="AD212" s="154" t="s">
        <v>479</v>
      </c>
      <c r="AE212" s="154" t="s">
        <v>479</v>
      </c>
      <c r="AF212" s="154" t="s">
        <v>479</v>
      </c>
      <c r="AG212" s="154" t="s">
        <v>479</v>
      </c>
      <c r="AH212" s="154" t="s">
        <v>479</v>
      </c>
      <c r="AI212" s="154" t="s">
        <v>479</v>
      </c>
      <c r="AJ212" s="154" t="s">
        <v>479</v>
      </c>
      <c r="AK212" s="154" t="s">
        <v>479</v>
      </c>
      <c r="AL212" s="154" t="s">
        <v>479</v>
      </c>
      <c r="AS212">
        <v>208</v>
      </c>
    </row>
    <row r="213" spans="1:46" hidden="1" x14ac:dyDescent="0.25">
      <c r="A213">
        <v>212</v>
      </c>
      <c r="B213">
        <v>2025</v>
      </c>
      <c r="C213">
        <v>5</v>
      </c>
      <c r="D213" t="s">
        <v>267</v>
      </c>
      <c r="E213">
        <v>31</v>
      </c>
      <c r="F213">
        <v>4</v>
      </c>
      <c r="G213" t="s">
        <v>535</v>
      </c>
      <c r="H213" s="154">
        <v>0.83333333333333326</v>
      </c>
      <c r="I213" s="154">
        <v>0.83333333333333326</v>
      </c>
      <c r="J213" s="154">
        <v>0.83333333333333326</v>
      </c>
      <c r="K213" s="154">
        <v>0.83333333333333326</v>
      </c>
      <c r="L213" s="154">
        <v>0.83333333333333326</v>
      </c>
      <c r="M213" s="154">
        <v>0.83333333333333326</v>
      </c>
      <c r="N213" s="154">
        <v>0.83333333333333326</v>
      </c>
      <c r="O213" s="154">
        <v>0.83333333333333326</v>
      </c>
      <c r="P213" s="154">
        <v>0.83333333333333326</v>
      </c>
      <c r="Q213" s="154">
        <v>0.83333333333333326</v>
      </c>
      <c r="R213" s="154">
        <v>0.83333333333333326</v>
      </c>
      <c r="S213" s="154">
        <v>0.83333333333333326</v>
      </c>
      <c r="T213" s="154">
        <v>0.83333333333333326</v>
      </c>
      <c r="U213" s="154">
        <v>0.83333333333333326</v>
      </c>
      <c r="V213" s="154">
        <v>0.83333333333333326</v>
      </c>
      <c r="W213" s="154">
        <v>0.83333333333333326</v>
      </c>
      <c r="X213" s="154">
        <v>0.83333333333333326</v>
      </c>
      <c r="Y213" s="154">
        <v>0.83333333333333326</v>
      </c>
      <c r="Z213" s="154">
        <v>0.83333333333333326</v>
      </c>
      <c r="AA213" s="154">
        <v>0.83333333333333326</v>
      </c>
      <c r="AB213" s="154">
        <v>0.83333333333333326</v>
      </c>
      <c r="AC213" s="154">
        <v>0.83333333333333326</v>
      </c>
      <c r="AD213" s="154">
        <v>0.83333333333333326</v>
      </c>
      <c r="AE213" s="154">
        <v>0.83333333333333326</v>
      </c>
      <c r="AF213" s="154">
        <v>0.83333333333333326</v>
      </c>
      <c r="AG213" s="154">
        <v>0.83333333333333326</v>
      </c>
      <c r="AH213" s="154">
        <v>0.83333333333333326</v>
      </c>
      <c r="AI213" s="154">
        <v>0.83333333333333326</v>
      </c>
      <c r="AJ213" s="154">
        <v>0.83333333333333326</v>
      </c>
      <c r="AK213" s="154">
        <v>0.83333333333333326</v>
      </c>
      <c r="AL213" s="154">
        <v>0.83333333333333326</v>
      </c>
      <c r="AM213" cm="1">
        <f t="array" ref="AM213">SUM(_xlfn.LET(_xlpm.r,((IFERROR(H213:AL213-H212:AL212,0))*24)/10,IF(_xlpm.r&gt;1,1,_xlpm.r)))</f>
        <v>31</v>
      </c>
      <c r="AO213" cm="1">
        <f t="array" ref="AO213">SUM(IFERROR(MOD((H213:AL213-H212:AL212)*24,11),""))</f>
        <v>61.999999999999943</v>
      </c>
      <c r="AS213">
        <v>209</v>
      </c>
    </row>
    <row r="214" spans="1:46" hidden="1" x14ac:dyDescent="0.25">
      <c r="A214">
        <v>213</v>
      </c>
      <c r="B214">
        <v>2025</v>
      </c>
      <c r="C214">
        <v>5</v>
      </c>
      <c r="D214" t="s">
        <v>267</v>
      </c>
      <c r="E214">
        <v>31</v>
      </c>
      <c r="F214">
        <v>4</v>
      </c>
      <c r="G214" t="s">
        <v>536</v>
      </c>
      <c r="H214" s="154">
        <v>312344</v>
      </c>
      <c r="I214" s="154">
        <v>312500</v>
      </c>
      <c r="J214" s="154">
        <v>312648</v>
      </c>
      <c r="K214" s="154">
        <v>312807</v>
      </c>
      <c r="L214" s="154">
        <v>312936</v>
      </c>
      <c r="M214" s="154">
        <v>313043</v>
      </c>
      <c r="N214" s="154">
        <v>313191</v>
      </c>
      <c r="O214" s="154">
        <v>313381</v>
      </c>
      <c r="P214" s="154">
        <v>313513</v>
      </c>
      <c r="Q214" s="154">
        <v>313631</v>
      </c>
      <c r="R214" s="154">
        <v>313759</v>
      </c>
      <c r="S214" s="154">
        <v>313910</v>
      </c>
      <c r="T214" s="154">
        <v>314051</v>
      </c>
      <c r="U214" s="154">
        <v>314171</v>
      </c>
      <c r="V214" s="154">
        <v>314320</v>
      </c>
      <c r="W214" s="154">
        <v>314501</v>
      </c>
      <c r="X214" s="154">
        <v>314667</v>
      </c>
      <c r="Y214" s="154">
        <v>314879</v>
      </c>
      <c r="Z214" s="154">
        <v>315057</v>
      </c>
      <c r="AA214" s="154">
        <v>315305</v>
      </c>
      <c r="AB214" s="154">
        <v>315481</v>
      </c>
      <c r="AC214" s="154">
        <v>315583</v>
      </c>
      <c r="AD214" s="154">
        <v>315714</v>
      </c>
      <c r="AE214" s="154">
        <v>315892</v>
      </c>
      <c r="AF214" s="154">
        <v>316009</v>
      </c>
      <c r="AG214" s="154">
        <v>316178</v>
      </c>
      <c r="AH214" s="154">
        <v>316286</v>
      </c>
      <c r="AI214" s="154">
        <v>316400</v>
      </c>
      <c r="AJ214" s="154">
        <v>316518</v>
      </c>
      <c r="AK214" s="154">
        <v>316708</v>
      </c>
      <c r="AL214" s="154">
        <v>316886</v>
      </c>
      <c r="AS214">
        <v>210</v>
      </c>
    </row>
    <row r="215" spans="1:46" hidden="1" x14ac:dyDescent="0.25">
      <c r="A215">
        <v>214</v>
      </c>
      <c r="B215">
        <v>2025</v>
      </c>
      <c r="C215">
        <v>5</v>
      </c>
      <c r="D215" t="s">
        <v>267</v>
      </c>
      <c r="E215">
        <v>31</v>
      </c>
      <c r="F215">
        <v>4</v>
      </c>
      <c r="G215" t="s">
        <v>537</v>
      </c>
      <c r="H215" s="154">
        <v>312500</v>
      </c>
      <c r="I215" s="154">
        <v>312648</v>
      </c>
      <c r="J215" s="154">
        <v>312807</v>
      </c>
      <c r="K215" s="154">
        <v>312936</v>
      </c>
      <c r="L215" s="154">
        <v>313043</v>
      </c>
      <c r="M215" s="154">
        <v>313191</v>
      </c>
      <c r="N215" s="154">
        <v>313381</v>
      </c>
      <c r="O215" s="154">
        <v>313513</v>
      </c>
      <c r="P215" s="154">
        <v>313631</v>
      </c>
      <c r="Q215" s="154">
        <v>313759</v>
      </c>
      <c r="R215" s="154">
        <v>313910</v>
      </c>
      <c r="S215" s="154">
        <v>314051</v>
      </c>
      <c r="T215" s="154">
        <v>314171</v>
      </c>
      <c r="U215" s="154">
        <v>314320</v>
      </c>
      <c r="V215" s="154">
        <v>314501</v>
      </c>
      <c r="W215" s="154">
        <v>314667</v>
      </c>
      <c r="X215" s="154">
        <v>314879</v>
      </c>
      <c r="Y215" s="154">
        <v>315057</v>
      </c>
      <c r="Z215" s="154">
        <v>315305</v>
      </c>
      <c r="AA215" s="154">
        <v>315481</v>
      </c>
      <c r="AB215" s="154">
        <v>315583</v>
      </c>
      <c r="AC215" s="154">
        <v>315714</v>
      </c>
      <c r="AD215" s="154">
        <v>315892</v>
      </c>
      <c r="AE215" s="154">
        <v>316009</v>
      </c>
      <c r="AF215" s="154">
        <v>316178</v>
      </c>
      <c r="AG215" s="154">
        <v>316286</v>
      </c>
      <c r="AH215" s="154">
        <v>316400</v>
      </c>
      <c r="AI215" s="154">
        <v>316518</v>
      </c>
      <c r="AJ215" s="154">
        <v>316708</v>
      </c>
      <c r="AK215" s="154">
        <v>316886</v>
      </c>
      <c r="AL215" s="154">
        <v>317003</v>
      </c>
      <c r="AP215" cm="1">
        <f t="array" ref="AP215">IF(AQ215="","",SUM(IFERROR(H215:AL215-H214:AL214,0))*AQ215/100)</f>
        <v>698.85</v>
      </c>
      <c r="AQ215">
        <f>_xlfn.XLOOKUP(D215,log_prices!M:M,log_prices!L:L,,0)</f>
        <v>15</v>
      </c>
      <c r="AS215">
        <v>211</v>
      </c>
      <c r="AT215" cm="1">
        <f t="array" ref="AT215">IF(AQ215="","",SUM(IFERROR(H215:AL215-H214:AL214,0)))</f>
        <v>4659</v>
      </c>
    </row>
    <row r="216" spans="1:46" hidden="1" x14ac:dyDescent="0.25">
      <c r="A216">
        <v>215</v>
      </c>
      <c r="B216">
        <v>2025</v>
      </c>
      <c r="C216">
        <v>5</v>
      </c>
      <c r="D216" t="s">
        <v>268</v>
      </c>
      <c r="E216">
        <v>31</v>
      </c>
      <c r="F216">
        <v>4</v>
      </c>
      <c r="G216" t="s">
        <v>534</v>
      </c>
      <c r="H216" s="154" t="s">
        <v>479</v>
      </c>
      <c r="I216" s="154" t="s">
        <v>479</v>
      </c>
      <c r="J216" s="154" t="s">
        <v>479</v>
      </c>
      <c r="K216" s="154" t="s">
        <v>479</v>
      </c>
      <c r="L216" s="154" t="s">
        <v>479</v>
      </c>
      <c r="M216" s="154" t="s">
        <v>479</v>
      </c>
      <c r="N216" s="154" t="s">
        <v>479</v>
      </c>
      <c r="O216" s="154" t="s">
        <v>479</v>
      </c>
      <c r="P216" s="154" t="s">
        <v>479</v>
      </c>
      <c r="Q216" s="154" t="s">
        <v>479</v>
      </c>
      <c r="R216" s="154" t="s">
        <v>479</v>
      </c>
      <c r="S216" s="154" t="s">
        <v>479</v>
      </c>
      <c r="T216" s="154" t="s">
        <v>479</v>
      </c>
      <c r="U216" s="154" t="s">
        <v>479</v>
      </c>
      <c r="V216" s="154" t="s">
        <v>479</v>
      </c>
      <c r="W216" s="154" t="s">
        <v>479</v>
      </c>
      <c r="X216" s="154" t="s">
        <v>479</v>
      </c>
      <c r="Y216" s="154" t="s">
        <v>479</v>
      </c>
      <c r="Z216" s="154" t="s">
        <v>479</v>
      </c>
      <c r="AA216" s="154" t="s">
        <v>479</v>
      </c>
      <c r="AB216" s="154" t="s">
        <v>479</v>
      </c>
      <c r="AC216" s="154" t="s">
        <v>479</v>
      </c>
      <c r="AD216" s="154" t="s">
        <v>479</v>
      </c>
      <c r="AE216" s="154" t="s">
        <v>479</v>
      </c>
      <c r="AF216" s="154" t="s">
        <v>479</v>
      </c>
      <c r="AG216" s="154" t="s">
        <v>479</v>
      </c>
      <c r="AH216" s="154" t="s">
        <v>479</v>
      </c>
      <c r="AI216" s="154" t="s">
        <v>479</v>
      </c>
      <c r="AJ216" s="154" t="s">
        <v>479</v>
      </c>
      <c r="AK216" s="154" t="s">
        <v>479</v>
      </c>
      <c r="AL216" s="154" t="s">
        <v>479</v>
      </c>
      <c r="AS216">
        <v>212</v>
      </c>
    </row>
    <row r="217" spans="1:46" hidden="1" x14ac:dyDescent="0.25">
      <c r="A217">
        <v>216</v>
      </c>
      <c r="B217">
        <v>2025</v>
      </c>
      <c r="C217">
        <v>5</v>
      </c>
      <c r="D217" t="s">
        <v>268</v>
      </c>
      <c r="E217">
        <v>31</v>
      </c>
      <c r="F217">
        <v>4</v>
      </c>
      <c r="G217" t="s">
        <v>535</v>
      </c>
      <c r="H217" s="154">
        <v>0.75</v>
      </c>
      <c r="I217" s="154">
        <v>0.83333333333333326</v>
      </c>
      <c r="J217" s="154">
        <v>0.79166666666666674</v>
      </c>
      <c r="K217" s="154">
        <v>0.75</v>
      </c>
      <c r="L217" s="154">
        <v>0.75</v>
      </c>
      <c r="M217" s="154">
        <v>0.83333333333333326</v>
      </c>
      <c r="N217" s="154">
        <v>0.79166666666666674</v>
      </c>
      <c r="O217" s="154">
        <v>0.875</v>
      </c>
      <c r="P217" s="154">
        <v>0.79166666666666674</v>
      </c>
      <c r="Q217" s="154">
        <v>1</v>
      </c>
      <c r="R217" s="154">
        <v>0.75</v>
      </c>
      <c r="S217" s="154">
        <v>0.83333333333333326</v>
      </c>
      <c r="T217" s="154">
        <v>0.83333333333333326</v>
      </c>
      <c r="U217" s="154">
        <v>0.75</v>
      </c>
      <c r="V217" s="154">
        <v>0.75</v>
      </c>
      <c r="W217" s="154">
        <v>0.95833333333333326</v>
      </c>
      <c r="X217" s="154">
        <v>0.83333333333333326</v>
      </c>
      <c r="Y217" s="154">
        <v>0.875</v>
      </c>
      <c r="Z217" s="154">
        <v>0.75</v>
      </c>
      <c r="AA217" s="154">
        <v>0.79166666666666674</v>
      </c>
      <c r="AB217" s="154">
        <v>0.75</v>
      </c>
      <c r="AC217" s="154">
        <v>0.83333333333333326</v>
      </c>
      <c r="AD217" s="154">
        <v>0.75</v>
      </c>
      <c r="AE217" s="154">
        <v>0.83333333333333326</v>
      </c>
      <c r="AF217" s="154">
        <v>0.79166666666666674</v>
      </c>
      <c r="AG217" s="154">
        <v>0.75</v>
      </c>
      <c r="AH217" s="154">
        <v>0.75</v>
      </c>
      <c r="AI217" s="154">
        <v>0.75</v>
      </c>
      <c r="AJ217" s="154">
        <v>0.83333333333333326</v>
      </c>
      <c r="AK217" s="154">
        <v>0.75</v>
      </c>
      <c r="AL217" s="154">
        <v>0.75</v>
      </c>
      <c r="AM217" cm="1">
        <f t="array" ref="AM217">SUM(_xlfn.LET(_xlpm.r,((IFERROR(H217:AL217-H216:AL216,0))*24)/10,IF(_xlpm.r&gt;1,1,_xlpm.r)))</f>
        <v>31</v>
      </c>
      <c r="AO217" cm="1">
        <f t="array" ref="AO217">SUM(IFERROR(MOD((H217:AL217-H216:AL216)*24,11),""))</f>
        <v>37.999999999999972</v>
      </c>
      <c r="AS217">
        <v>213</v>
      </c>
    </row>
    <row r="218" spans="1:46" hidden="1" x14ac:dyDescent="0.25">
      <c r="A218">
        <v>217</v>
      </c>
      <c r="B218">
        <v>2025</v>
      </c>
      <c r="C218">
        <v>5</v>
      </c>
      <c r="D218" t="s">
        <v>268</v>
      </c>
      <c r="E218">
        <v>31</v>
      </c>
      <c r="F218">
        <v>4</v>
      </c>
      <c r="G218" t="s">
        <v>536</v>
      </c>
      <c r="H218" s="154">
        <v>24007</v>
      </c>
      <c r="I218" s="154">
        <v>24062</v>
      </c>
      <c r="J218" s="154">
        <v>24071</v>
      </c>
      <c r="K218" s="154">
        <v>24075</v>
      </c>
      <c r="L218" s="154">
        <v>24094</v>
      </c>
      <c r="M218" s="154">
        <v>24104</v>
      </c>
      <c r="N218" s="154">
        <v>24145</v>
      </c>
      <c r="O218" s="154">
        <v>24154</v>
      </c>
      <c r="P218" s="154">
        <v>24270</v>
      </c>
      <c r="Q218" s="154">
        <v>24276</v>
      </c>
      <c r="R218" s="154">
        <v>24373</v>
      </c>
      <c r="S218" s="154">
        <v>24376</v>
      </c>
      <c r="T218" s="154">
        <v>24397</v>
      </c>
      <c r="U218" s="154">
        <v>24422</v>
      </c>
      <c r="V218" s="154">
        <v>24434</v>
      </c>
      <c r="W218" s="154">
        <v>24440</v>
      </c>
      <c r="X218" s="154">
        <v>24580</v>
      </c>
      <c r="Y218" s="154">
        <v>24631</v>
      </c>
      <c r="Z218" s="154">
        <v>24699</v>
      </c>
      <c r="AA218" s="154">
        <v>24706</v>
      </c>
      <c r="AB218" s="154">
        <v>24712</v>
      </c>
      <c r="AC218" s="154">
        <v>24727</v>
      </c>
      <c r="AD218" s="154">
        <v>24760</v>
      </c>
      <c r="AE218" s="154">
        <v>24769</v>
      </c>
      <c r="AF218" s="154">
        <v>24785</v>
      </c>
      <c r="AG218" s="154">
        <v>24791</v>
      </c>
      <c r="AH218" s="154">
        <v>24799</v>
      </c>
      <c r="AI218" s="154">
        <v>24813</v>
      </c>
      <c r="AJ218" s="154">
        <v>24829</v>
      </c>
      <c r="AK218" s="154">
        <v>24848</v>
      </c>
      <c r="AL218" s="154">
        <v>24869</v>
      </c>
      <c r="AS218">
        <v>214</v>
      </c>
    </row>
    <row r="219" spans="1:46" hidden="1" x14ac:dyDescent="0.25">
      <c r="A219">
        <v>218</v>
      </c>
      <c r="B219">
        <v>2025</v>
      </c>
      <c r="C219">
        <v>5</v>
      </c>
      <c r="D219" t="s">
        <v>268</v>
      </c>
      <c r="E219">
        <v>31</v>
      </c>
      <c r="F219">
        <v>4</v>
      </c>
      <c r="G219" t="s">
        <v>537</v>
      </c>
      <c r="H219" s="154">
        <v>24062</v>
      </c>
      <c r="I219" s="154">
        <v>24071</v>
      </c>
      <c r="J219" s="154">
        <v>24075</v>
      </c>
      <c r="K219" s="154">
        <v>24094</v>
      </c>
      <c r="L219" s="154">
        <v>24104</v>
      </c>
      <c r="M219" s="154">
        <v>24145</v>
      </c>
      <c r="N219" s="154">
        <v>24154</v>
      </c>
      <c r="O219" s="154">
        <v>24270</v>
      </c>
      <c r="P219" s="154">
        <v>24276</v>
      </c>
      <c r="Q219" s="154">
        <v>24373</v>
      </c>
      <c r="R219" s="154">
        <v>24376</v>
      </c>
      <c r="S219" s="154">
        <v>24397</v>
      </c>
      <c r="T219" s="154">
        <v>24422</v>
      </c>
      <c r="U219" s="154">
        <v>24434</v>
      </c>
      <c r="V219" s="154">
        <v>24440</v>
      </c>
      <c r="W219" s="154">
        <v>24580</v>
      </c>
      <c r="X219" s="154">
        <v>24631</v>
      </c>
      <c r="Y219" s="154">
        <v>24699</v>
      </c>
      <c r="Z219" s="154">
        <v>24706</v>
      </c>
      <c r="AA219" s="154">
        <v>24712</v>
      </c>
      <c r="AB219" s="154">
        <v>24727</v>
      </c>
      <c r="AC219" s="154">
        <v>24760</v>
      </c>
      <c r="AD219" s="154">
        <v>24769</v>
      </c>
      <c r="AE219" s="154">
        <v>24785</v>
      </c>
      <c r="AF219" s="154">
        <v>24791</v>
      </c>
      <c r="AG219" s="154">
        <v>24799</v>
      </c>
      <c r="AH219" s="154">
        <v>24813</v>
      </c>
      <c r="AI219" s="154">
        <v>24829</v>
      </c>
      <c r="AJ219" s="154">
        <v>24848</v>
      </c>
      <c r="AK219" s="154">
        <v>24869</v>
      </c>
      <c r="AL219" s="154">
        <v>24877</v>
      </c>
      <c r="AP219" cm="1">
        <f t="array" ref="AP219">IF(AQ219="","",SUM(IFERROR(H219:AL219-H218:AL218,0))*AQ219/100)</f>
        <v>130.5</v>
      </c>
      <c r="AQ219">
        <f>_xlfn.XLOOKUP(D219,log_prices!M:M,log_prices!L:L,,0)</f>
        <v>15</v>
      </c>
      <c r="AS219">
        <v>215</v>
      </c>
      <c r="AT219" cm="1">
        <f t="array" ref="AT219">IF(AQ219="","",SUM(IFERROR(H219:AL219-H218:AL218,0)))</f>
        <v>870</v>
      </c>
    </row>
    <row r="220" spans="1:46" hidden="1" x14ac:dyDescent="0.25">
      <c r="A220">
        <v>219</v>
      </c>
      <c r="B220">
        <v>2025</v>
      </c>
      <c r="C220">
        <v>5</v>
      </c>
      <c r="D220" t="s">
        <v>269</v>
      </c>
      <c r="E220">
        <v>31</v>
      </c>
      <c r="F220">
        <v>4</v>
      </c>
      <c r="G220" t="s">
        <v>534</v>
      </c>
      <c r="H220" s="154" t="s">
        <v>479</v>
      </c>
      <c r="I220" s="154" t="s">
        <v>479</v>
      </c>
      <c r="J220" s="154" t="s">
        <v>479</v>
      </c>
      <c r="K220" s="154" t="s">
        <v>479</v>
      </c>
      <c r="L220" s="154" t="s">
        <v>479</v>
      </c>
      <c r="M220" s="154" t="s">
        <v>479</v>
      </c>
      <c r="N220" s="154" t="s">
        <v>479</v>
      </c>
      <c r="O220" s="154" t="s">
        <v>479</v>
      </c>
      <c r="P220" s="154" t="s">
        <v>479</v>
      </c>
      <c r="Q220" s="154" t="s">
        <v>479</v>
      </c>
      <c r="R220" s="154" t="s">
        <v>479</v>
      </c>
      <c r="S220" s="154" t="s">
        <v>479</v>
      </c>
      <c r="T220" s="154" t="s">
        <v>479</v>
      </c>
      <c r="U220" s="154" t="s">
        <v>479</v>
      </c>
      <c r="V220" s="154" t="s">
        <v>479</v>
      </c>
      <c r="W220" s="154" t="s">
        <v>479</v>
      </c>
      <c r="X220" s="154" t="s">
        <v>479</v>
      </c>
      <c r="Y220" s="154" t="s">
        <v>479</v>
      </c>
      <c r="Z220" s="154" t="s">
        <v>479</v>
      </c>
      <c r="AA220" s="154" t="s">
        <v>479</v>
      </c>
      <c r="AB220" s="154" t="s">
        <v>479</v>
      </c>
      <c r="AC220" s="154" t="s">
        <v>479</v>
      </c>
      <c r="AD220" s="154" t="s">
        <v>479</v>
      </c>
      <c r="AE220" s="154" t="s">
        <v>479</v>
      </c>
      <c r="AF220" s="154" t="s">
        <v>479</v>
      </c>
      <c r="AG220" s="154" t="s">
        <v>479</v>
      </c>
      <c r="AH220" s="154" t="s">
        <v>479</v>
      </c>
      <c r="AI220" s="154" t="s">
        <v>479</v>
      </c>
      <c r="AJ220" s="154" t="s">
        <v>479</v>
      </c>
      <c r="AK220" s="154" t="s">
        <v>479</v>
      </c>
      <c r="AL220" s="154" t="s">
        <v>479</v>
      </c>
      <c r="AS220">
        <v>216</v>
      </c>
    </row>
    <row r="221" spans="1:46" hidden="1" x14ac:dyDescent="0.25">
      <c r="A221">
        <v>220</v>
      </c>
      <c r="B221">
        <v>2025</v>
      </c>
      <c r="C221">
        <v>5</v>
      </c>
      <c r="D221" t="s">
        <v>269</v>
      </c>
      <c r="E221">
        <v>31</v>
      </c>
      <c r="F221">
        <v>4</v>
      </c>
      <c r="G221" t="s">
        <v>535</v>
      </c>
      <c r="H221" s="154">
        <v>0.83333333333333326</v>
      </c>
      <c r="I221" s="154">
        <v>0.75</v>
      </c>
      <c r="J221" s="154">
        <v>0.83333333333333326</v>
      </c>
      <c r="K221" s="154">
        <v>0.75</v>
      </c>
      <c r="L221" s="154">
        <v>0.83333333333333326</v>
      </c>
      <c r="M221" s="154">
        <v>0.83333333333333326</v>
      </c>
      <c r="N221" s="154">
        <v>0.75</v>
      </c>
      <c r="O221" s="154">
        <v>0.875</v>
      </c>
      <c r="P221" s="154">
        <v>0.95833333333333326</v>
      </c>
      <c r="Q221" s="154">
        <v>0.875</v>
      </c>
      <c r="R221" s="154">
        <v>0.83333333333333326</v>
      </c>
      <c r="S221" s="154">
        <v>0.83333333333333326</v>
      </c>
      <c r="T221" s="154">
        <v>0.83333333333333326</v>
      </c>
      <c r="U221" s="154">
        <v>0.75</v>
      </c>
      <c r="V221" s="154">
        <v>0.83333333333333326</v>
      </c>
      <c r="W221" s="154">
        <v>0.83333333333333326</v>
      </c>
      <c r="X221" s="154">
        <v>0.83333333333333326</v>
      </c>
      <c r="Y221" s="154">
        <v>0.83333333333333326</v>
      </c>
      <c r="Z221" s="154">
        <v>0.75</v>
      </c>
      <c r="AA221" s="154">
        <v>0.83333333333333326</v>
      </c>
      <c r="AB221" s="154">
        <v>0.75</v>
      </c>
      <c r="AC221" s="154">
        <v>0.875</v>
      </c>
      <c r="AD221" s="154">
        <v>0.75</v>
      </c>
      <c r="AE221" s="154">
        <v>0.83333333333333326</v>
      </c>
      <c r="AF221" s="154">
        <v>0.75</v>
      </c>
      <c r="AG221" s="154">
        <v>0.75</v>
      </c>
      <c r="AH221" s="154">
        <v>0.875</v>
      </c>
      <c r="AI221" s="154">
        <v>0.875</v>
      </c>
      <c r="AJ221" s="154">
        <v>0.83333333333333326</v>
      </c>
      <c r="AK221" s="154">
        <v>0.91666666666666674</v>
      </c>
      <c r="AL221" s="154">
        <v>0.75</v>
      </c>
      <c r="AM221" cm="1">
        <f t="array" ref="AM221">SUM(_xlfn.LET(_xlpm.r,((IFERROR(H221:AL221-H220:AL220,0))*24)/10,IF(_xlpm.r&gt;1,1,_xlpm.r)))</f>
        <v>31</v>
      </c>
      <c r="AO221" cm="1">
        <f t="array" ref="AO221">SUM(IFERROR(MOD((H221:AL221-H220:AL220)*24,11),""))</f>
        <v>51.999999999999957</v>
      </c>
      <c r="AS221">
        <v>217</v>
      </c>
    </row>
    <row r="222" spans="1:46" hidden="1" x14ac:dyDescent="0.25">
      <c r="A222">
        <v>221</v>
      </c>
      <c r="B222">
        <v>2025</v>
      </c>
      <c r="C222">
        <v>5</v>
      </c>
      <c r="D222" t="s">
        <v>269</v>
      </c>
      <c r="E222">
        <v>31</v>
      </c>
      <c r="F222">
        <v>4</v>
      </c>
      <c r="G222" t="s">
        <v>536</v>
      </c>
      <c r="H222" s="154">
        <v>25737</v>
      </c>
      <c r="I222" s="154">
        <v>25768</v>
      </c>
      <c r="J222" s="154">
        <v>25796</v>
      </c>
      <c r="K222" s="154">
        <v>25820</v>
      </c>
      <c r="L222" s="154">
        <v>25838</v>
      </c>
      <c r="M222" s="154">
        <v>25877</v>
      </c>
      <c r="N222" s="154">
        <v>25900</v>
      </c>
      <c r="O222" s="154">
        <v>25960</v>
      </c>
      <c r="P222" s="154">
        <v>25992</v>
      </c>
      <c r="Q222" s="154">
        <v>26022</v>
      </c>
      <c r="R222" s="154">
        <v>26043</v>
      </c>
      <c r="S222" s="154">
        <v>26077</v>
      </c>
      <c r="T222" s="154">
        <v>26113</v>
      </c>
      <c r="U222" s="154">
        <v>26147</v>
      </c>
      <c r="V222" s="154">
        <v>26177</v>
      </c>
      <c r="W222" s="154">
        <v>26201</v>
      </c>
      <c r="X222" s="154">
        <v>26235</v>
      </c>
      <c r="Y222" s="154">
        <v>26259</v>
      </c>
      <c r="Z222" s="154">
        <v>26274</v>
      </c>
      <c r="AA222" s="154">
        <v>26295</v>
      </c>
      <c r="AB222" s="154">
        <v>26321</v>
      </c>
      <c r="AC222" s="154">
        <v>26345</v>
      </c>
      <c r="AD222" s="154">
        <v>26367</v>
      </c>
      <c r="AE222" s="154">
        <v>26384</v>
      </c>
      <c r="AF222" s="154">
        <v>26410</v>
      </c>
      <c r="AG222" s="154">
        <v>26422</v>
      </c>
      <c r="AH222" s="154">
        <v>26465</v>
      </c>
      <c r="AI222" s="154">
        <v>26554</v>
      </c>
      <c r="AJ222" s="154">
        <v>26602</v>
      </c>
      <c r="AK222" s="154">
        <v>26623</v>
      </c>
      <c r="AL222" s="154">
        <v>26661</v>
      </c>
      <c r="AS222">
        <v>218</v>
      </c>
    </row>
    <row r="223" spans="1:46" hidden="1" x14ac:dyDescent="0.25">
      <c r="A223">
        <v>222</v>
      </c>
      <c r="B223">
        <v>2025</v>
      </c>
      <c r="C223">
        <v>5</v>
      </c>
      <c r="D223" t="s">
        <v>269</v>
      </c>
      <c r="E223">
        <v>31</v>
      </c>
      <c r="F223">
        <v>4</v>
      </c>
      <c r="G223" t="s">
        <v>537</v>
      </c>
      <c r="H223" s="154">
        <v>25768</v>
      </c>
      <c r="I223" s="154">
        <v>25796</v>
      </c>
      <c r="J223" s="154">
        <v>25820</v>
      </c>
      <c r="K223" s="154">
        <v>25838</v>
      </c>
      <c r="L223" s="154">
        <v>25877</v>
      </c>
      <c r="M223" s="154">
        <v>25900</v>
      </c>
      <c r="N223" s="154">
        <v>25960</v>
      </c>
      <c r="O223" s="154">
        <v>25992</v>
      </c>
      <c r="P223" s="154">
        <v>26022</v>
      </c>
      <c r="Q223" s="154">
        <v>26043</v>
      </c>
      <c r="R223" s="154">
        <v>26077</v>
      </c>
      <c r="S223" s="154">
        <v>26113</v>
      </c>
      <c r="T223" s="154">
        <v>26147</v>
      </c>
      <c r="U223" s="154">
        <v>26173</v>
      </c>
      <c r="V223" s="154">
        <v>26201</v>
      </c>
      <c r="W223" s="154">
        <v>26235</v>
      </c>
      <c r="X223" s="154">
        <v>26259</v>
      </c>
      <c r="Y223" s="154">
        <v>26274</v>
      </c>
      <c r="Z223" s="154">
        <v>26295</v>
      </c>
      <c r="AA223" s="154">
        <v>26321</v>
      </c>
      <c r="AB223" s="154">
        <v>26345</v>
      </c>
      <c r="AC223" s="154">
        <v>26367</v>
      </c>
      <c r="AD223" s="154">
        <v>26384</v>
      </c>
      <c r="AE223" s="154">
        <v>26410</v>
      </c>
      <c r="AF223" s="154">
        <v>26422</v>
      </c>
      <c r="AG223" s="154">
        <v>26465</v>
      </c>
      <c r="AH223" s="154">
        <v>26554</v>
      </c>
      <c r="AI223" s="154">
        <v>26598</v>
      </c>
      <c r="AJ223" s="154">
        <v>26623</v>
      </c>
      <c r="AK223" s="154">
        <v>26648</v>
      </c>
      <c r="AL223" s="154">
        <v>26676</v>
      </c>
      <c r="AP223" cm="1">
        <f t="array" ref="AP223">IF(AQ223="","",SUM(IFERROR(H223:AL223-H222:AL222,0))*AQ223/100)</f>
        <v>137.69999999999999</v>
      </c>
      <c r="AQ223">
        <f>_xlfn.XLOOKUP(D223,log_prices!M:M,log_prices!L:L,,0)</f>
        <v>15</v>
      </c>
      <c r="AS223">
        <v>219</v>
      </c>
      <c r="AT223" cm="1">
        <f t="array" ref="AT223">IF(AQ223="","",SUM(IFERROR(H223:AL223-H222:AL222,0)))</f>
        <v>918</v>
      </c>
    </row>
    <row r="224" spans="1:46" hidden="1" x14ac:dyDescent="0.25">
      <c r="A224">
        <v>223</v>
      </c>
      <c r="B224">
        <v>2025</v>
      </c>
      <c r="C224">
        <v>5</v>
      </c>
      <c r="D224" t="s">
        <v>253</v>
      </c>
      <c r="E224">
        <v>31</v>
      </c>
      <c r="F224">
        <v>4</v>
      </c>
      <c r="G224" t="s">
        <v>534</v>
      </c>
      <c r="H224" s="154">
        <v>0.29166666666666669</v>
      </c>
      <c r="I224" s="154">
        <v>0.29166666666666669</v>
      </c>
      <c r="J224" s="154">
        <v>0.29166666666666669</v>
      </c>
      <c r="K224" s="154" t="s">
        <v>424</v>
      </c>
      <c r="L224" s="154">
        <v>0.29166666666666669</v>
      </c>
      <c r="M224" s="154">
        <v>0.29166666666666669</v>
      </c>
      <c r="N224" s="154">
        <v>0.29166666666666669</v>
      </c>
      <c r="O224" s="154">
        <v>0.29166666666666669</v>
      </c>
      <c r="P224" s="154" t="s">
        <v>424</v>
      </c>
      <c r="Q224" s="154">
        <v>0.29166666666666669</v>
      </c>
      <c r="R224" s="154">
        <v>0.29166666666666669</v>
      </c>
      <c r="S224" s="154">
        <v>0.29166666666666669</v>
      </c>
      <c r="T224" s="154">
        <v>0.29166666666666669</v>
      </c>
      <c r="U224" s="154">
        <v>0.29166666666666669</v>
      </c>
      <c r="V224" s="154">
        <v>0.29166666666666669</v>
      </c>
      <c r="W224" s="154">
        <v>0.29166666666666669</v>
      </c>
      <c r="X224" s="154">
        <v>0.29166666666666669</v>
      </c>
      <c r="Y224" s="154">
        <v>0.29166666666666669</v>
      </c>
      <c r="Z224" s="154">
        <v>0.29166666666666669</v>
      </c>
      <c r="AA224" s="154">
        <v>0.29166666666666669</v>
      </c>
      <c r="AB224" s="154">
        <v>0.29166666666666669</v>
      </c>
      <c r="AC224" s="154">
        <v>0.29166666666666669</v>
      </c>
      <c r="AD224" s="154">
        <v>0.29166666666666669</v>
      </c>
      <c r="AE224" s="154">
        <v>0.29166666666666669</v>
      </c>
      <c r="AF224" s="154" t="s">
        <v>424</v>
      </c>
      <c r="AG224" s="154">
        <v>0.29166666666666669</v>
      </c>
      <c r="AH224" s="154">
        <v>0.29166666666666669</v>
      </c>
      <c r="AI224" s="154">
        <v>0.29166666666666669</v>
      </c>
      <c r="AJ224" s="154">
        <v>0.29166666666666669</v>
      </c>
      <c r="AK224" s="154">
        <v>0.29166666666666669</v>
      </c>
      <c r="AL224" s="154">
        <v>0.29166666666666669</v>
      </c>
      <c r="AS224">
        <v>220</v>
      </c>
    </row>
    <row r="225" spans="1:46" hidden="1" x14ac:dyDescent="0.25">
      <c r="A225">
        <v>224</v>
      </c>
      <c r="B225">
        <v>2025</v>
      </c>
      <c r="C225">
        <v>5</v>
      </c>
      <c r="D225" t="s">
        <v>253</v>
      </c>
      <c r="E225">
        <v>31</v>
      </c>
      <c r="F225">
        <v>4</v>
      </c>
      <c r="G225" t="s">
        <v>535</v>
      </c>
      <c r="H225" s="154">
        <v>0.75</v>
      </c>
      <c r="I225" s="154">
        <v>0.75</v>
      </c>
      <c r="J225" s="154">
        <v>0.75</v>
      </c>
      <c r="K225" s="154" t="s">
        <v>424</v>
      </c>
      <c r="L225" s="154">
        <v>0.75</v>
      </c>
      <c r="M225" s="154">
        <v>0.75</v>
      </c>
      <c r="N225" s="154">
        <v>0.75</v>
      </c>
      <c r="O225" s="154">
        <v>0.75</v>
      </c>
      <c r="P225" s="154" t="s">
        <v>424</v>
      </c>
      <c r="Q225" s="154">
        <v>0.75</v>
      </c>
      <c r="R225" s="154">
        <v>0.75</v>
      </c>
      <c r="S225" s="154">
        <v>0.75</v>
      </c>
      <c r="T225" s="154">
        <v>0.75</v>
      </c>
      <c r="U225" s="154">
        <v>0.75</v>
      </c>
      <c r="V225" s="154">
        <v>0.75</v>
      </c>
      <c r="W225" s="154">
        <v>0.75</v>
      </c>
      <c r="X225" s="154">
        <v>0.75</v>
      </c>
      <c r="Y225" s="154">
        <v>0.75</v>
      </c>
      <c r="Z225" s="154">
        <v>0.75</v>
      </c>
      <c r="AA225" s="154">
        <v>0.75</v>
      </c>
      <c r="AB225" s="154">
        <v>0.75</v>
      </c>
      <c r="AC225" s="154">
        <v>0.75</v>
      </c>
      <c r="AD225" s="154">
        <v>0.75</v>
      </c>
      <c r="AE225" s="154">
        <v>0.75</v>
      </c>
      <c r="AF225" s="154" t="s">
        <v>424</v>
      </c>
      <c r="AG225" s="154">
        <v>0.75</v>
      </c>
      <c r="AH225" s="154">
        <v>0.75</v>
      </c>
      <c r="AI225" s="154">
        <v>0.75</v>
      </c>
      <c r="AJ225" s="154">
        <v>0.75</v>
      </c>
      <c r="AK225" s="154">
        <v>0.75</v>
      </c>
      <c r="AL225" s="154">
        <v>0.75</v>
      </c>
      <c r="AM225" cm="1">
        <f t="array" ref="AM225">SUM(_xlfn.LET(_xlpm.r,((IFERROR(H225:AL225-H224:AL224,0))*24)/10,IF(_xlpm.r&gt;1,1,_xlpm.r)))</f>
        <v>28</v>
      </c>
      <c r="AO225" cm="1">
        <f t="array" ref="AO225">SUM(IFERROR(MOD((H225:AL225-H224:AL224)*24,11),""))</f>
        <v>0</v>
      </c>
      <c r="AS225">
        <v>221</v>
      </c>
    </row>
    <row r="226" spans="1:46" hidden="1" x14ac:dyDescent="0.25">
      <c r="A226">
        <v>225</v>
      </c>
      <c r="B226">
        <v>2025</v>
      </c>
      <c r="C226">
        <v>5</v>
      </c>
      <c r="D226" t="s">
        <v>253</v>
      </c>
      <c r="E226">
        <v>31</v>
      </c>
      <c r="F226">
        <v>4</v>
      </c>
      <c r="G226" t="s">
        <v>536</v>
      </c>
      <c r="H226" s="154">
        <v>828394</v>
      </c>
      <c r="I226" s="154">
        <v>828602</v>
      </c>
      <c r="J226" s="154">
        <v>828807</v>
      </c>
      <c r="K226" s="154" t="s">
        <v>424</v>
      </c>
      <c r="L226" s="154">
        <v>828947</v>
      </c>
      <c r="M226" s="154">
        <v>829153</v>
      </c>
      <c r="N226" s="154">
        <v>829362</v>
      </c>
      <c r="O226" s="154">
        <v>829566</v>
      </c>
      <c r="P226" s="154" t="s">
        <v>424</v>
      </c>
      <c r="Q226" s="154">
        <v>829766</v>
      </c>
      <c r="R226" s="154">
        <v>829963</v>
      </c>
      <c r="S226" s="154">
        <v>830125</v>
      </c>
      <c r="T226" s="154">
        <v>830326</v>
      </c>
      <c r="U226" s="154">
        <v>830532</v>
      </c>
      <c r="V226" s="154">
        <v>830729</v>
      </c>
      <c r="W226" s="154">
        <v>830951</v>
      </c>
      <c r="X226" s="154">
        <v>831157</v>
      </c>
      <c r="Y226" s="154">
        <v>831362</v>
      </c>
      <c r="Z226" s="154">
        <v>831563</v>
      </c>
      <c r="AA226" s="154">
        <v>831767</v>
      </c>
      <c r="AB226" s="154">
        <v>831972</v>
      </c>
      <c r="AC226" s="154">
        <v>832179</v>
      </c>
      <c r="AD226" s="154">
        <v>832381</v>
      </c>
      <c r="AE226" s="154">
        <v>832586</v>
      </c>
      <c r="AF226" s="154" t="s">
        <v>424</v>
      </c>
      <c r="AG226" s="154">
        <v>832804</v>
      </c>
      <c r="AH226" s="154">
        <v>833037</v>
      </c>
      <c r="AI226" s="154">
        <v>833241</v>
      </c>
      <c r="AJ226" s="154">
        <v>833443</v>
      </c>
      <c r="AK226" s="154">
        <v>833651</v>
      </c>
      <c r="AL226" s="154">
        <v>833856</v>
      </c>
      <c r="AS226">
        <v>222</v>
      </c>
    </row>
    <row r="227" spans="1:46" hidden="1" x14ac:dyDescent="0.25">
      <c r="A227">
        <v>226</v>
      </c>
      <c r="B227">
        <v>2025</v>
      </c>
      <c r="C227">
        <v>5</v>
      </c>
      <c r="D227" t="s">
        <v>253</v>
      </c>
      <c r="E227">
        <v>31</v>
      </c>
      <c r="F227">
        <v>4</v>
      </c>
      <c r="G227" t="s">
        <v>537</v>
      </c>
      <c r="H227" s="154">
        <v>828602</v>
      </c>
      <c r="I227" s="154">
        <v>828807</v>
      </c>
      <c r="J227" s="154">
        <v>828947</v>
      </c>
      <c r="K227" s="154" t="s">
        <v>424</v>
      </c>
      <c r="L227" s="154">
        <v>829153</v>
      </c>
      <c r="M227" s="154">
        <v>829362</v>
      </c>
      <c r="N227" s="154">
        <v>829566</v>
      </c>
      <c r="O227" s="154">
        <v>829766</v>
      </c>
      <c r="P227" s="154" t="s">
        <v>424</v>
      </c>
      <c r="Q227" s="154">
        <v>829963</v>
      </c>
      <c r="R227" s="154">
        <v>830125</v>
      </c>
      <c r="S227" s="154">
        <v>830326</v>
      </c>
      <c r="T227" s="154">
        <v>830532</v>
      </c>
      <c r="U227" s="154">
        <v>830729</v>
      </c>
      <c r="V227" s="154">
        <v>830951</v>
      </c>
      <c r="W227" s="154">
        <v>831157</v>
      </c>
      <c r="X227" s="154">
        <v>831362</v>
      </c>
      <c r="Y227" s="154">
        <v>831563</v>
      </c>
      <c r="Z227" s="154">
        <v>831767</v>
      </c>
      <c r="AA227" s="154">
        <v>831972</v>
      </c>
      <c r="AB227" s="154">
        <v>832179</v>
      </c>
      <c r="AC227" s="154">
        <v>832381</v>
      </c>
      <c r="AD227" s="154">
        <v>832586</v>
      </c>
      <c r="AE227" s="154">
        <v>832804</v>
      </c>
      <c r="AF227" s="154" t="s">
        <v>424</v>
      </c>
      <c r="AG227" s="154">
        <v>833037</v>
      </c>
      <c r="AH227" s="154">
        <v>833241</v>
      </c>
      <c r="AI227" s="154">
        <v>833443</v>
      </c>
      <c r="AJ227" s="154">
        <v>833651</v>
      </c>
      <c r="AK227" s="154">
        <v>833856</v>
      </c>
      <c r="AL227" s="154">
        <v>834069</v>
      </c>
      <c r="AP227" cm="1">
        <f t="array" ref="AP227">IF(AQ227="","",SUM(IFERROR(H227:AL227-H226:AL226,0))*AQ227/100)</f>
        <v>1021.5</v>
      </c>
      <c r="AQ227">
        <f>_xlfn.XLOOKUP(D227,log_prices!M:M,log_prices!L:L,,0)</f>
        <v>18</v>
      </c>
      <c r="AS227">
        <v>223</v>
      </c>
      <c r="AT227" cm="1">
        <f t="array" ref="AT227">IF(AQ227="","",SUM(IFERROR(H227:AL227-H226:AL226,0)))</f>
        <v>5675</v>
      </c>
    </row>
    <row r="228" spans="1:46" hidden="1" x14ac:dyDescent="0.25">
      <c r="A228">
        <v>227</v>
      </c>
      <c r="B228">
        <v>2025</v>
      </c>
      <c r="C228">
        <v>5</v>
      </c>
      <c r="D228" t="s">
        <v>270</v>
      </c>
      <c r="E228">
        <v>31</v>
      </c>
      <c r="F228">
        <v>4</v>
      </c>
      <c r="G228" t="s">
        <v>534</v>
      </c>
      <c r="H228" s="154" t="s">
        <v>424</v>
      </c>
      <c r="I228" s="154" t="s">
        <v>479</v>
      </c>
      <c r="J228" s="154" t="s">
        <v>479</v>
      </c>
      <c r="K228" s="154" t="s">
        <v>479</v>
      </c>
      <c r="L228" s="154" t="s">
        <v>479</v>
      </c>
      <c r="M228" s="154" t="s">
        <v>479</v>
      </c>
      <c r="N228" s="154" t="s">
        <v>479</v>
      </c>
      <c r="O228" s="154" t="s">
        <v>479</v>
      </c>
      <c r="P228" s="154" t="s">
        <v>479</v>
      </c>
      <c r="Q228" s="154" t="s">
        <v>479</v>
      </c>
      <c r="R228" s="154" t="s">
        <v>479</v>
      </c>
      <c r="S228" s="154" t="s">
        <v>479</v>
      </c>
      <c r="T228" s="154" t="s">
        <v>479</v>
      </c>
      <c r="U228" s="154" t="s">
        <v>479</v>
      </c>
      <c r="V228" s="154" t="s">
        <v>479</v>
      </c>
      <c r="W228" s="154" t="s">
        <v>479</v>
      </c>
      <c r="X228" s="154" t="s">
        <v>479</v>
      </c>
      <c r="Y228" s="154" t="s">
        <v>479</v>
      </c>
      <c r="Z228" s="154" t="s">
        <v>479</v>
      </c>
      <c r="AA228" s="154" t="s">
        <v>479</v>
      </c>
      <c r="AB228" s="154" t="s">
        <v>479</v>
      </c>
      <c r="AC228" s="154" t="s">
        <v>479</v>
      </c>
      <c r="AD228" s="154" t="s">
        <v>479</v>
      </c>
      <c r="AE228" s="154" t="s">
        <v>479</v>
      </c>
      <c r="AF228" s="154" t="s">
        <v>479</v>
      </c>
      <c r="AG228" s="154" t="s">
        <v>479</v>
      </c>
      <c r="AH228" s="154" t="s">
        <v>479</v>
      </c>
      <c r="AI228" s="154" t="s">
        <v>479</v>
      </c>
      <c r="AJ228" s="154" t="s">
        <v>479</v>
      </c>
      <c r="AK228" s="154" t="s">
        <v>479</v>
      </c>
      <c r="AL228" s="154" t="s">
        <v>479</v>
      </c>
      <c r="AS228">
        <v>224</v>
      </c>
    </row>
    <row r="229" spans="1:46" hidden="1" x14ac:dyDescent="0.25">
      <c r="A229">
        <v>228</v>
      </c>
      <c r="B229">
        <v>2025</v>
      </c>
      <c r="C229">
        <v>5</v>
      </c>
      <c r="D229" t="s">
        <v>270</v>
      </c>
      <c r="E229">
        <v>31</v>
      </c>
      <c r="F229">
        <v>4</v>
      </c>
      <c r="G229" t="s">
        <v>535</v>
      </c>
      <c r="H229" s="154" t="s">
        <v>424</v>
      </c>
      <c r="I229" s="154">
        <v>0.75</v>
      </c>
      <c r="J229" s="154">
        <v>0.83333333333333326</v>
      </c>
      <c r="K229" s="154">
        <v>0.75</v>
      </c>
      <c r="L229" s="154">
        <v>0.95833333333333326</v>
      </c>
      <c r="M229" s="154">
        <v>0.75</v>
      </c>
      <c r="N229" s="154">
        <v>0.95833333333333326</v>
      </c>
      <c r="O229" s="154">
        <v>0.83333333333333326</v>
      </c>
      <c r="P229" s="154">
        <v>0.79166666666666674</v>
      </c>
      <c r="Q229" s="154">
        <v>0.75</v>
      </c>
      <c r="R229" s="154">
        <v>0.75</v>
      </c>
      <c r="S229" s="154">
        <v>0.75</v>
      </c>
      <c r="T229" s="154">
        <v>0.75</v>
      </c>
      <c r="U229" s="154">
        <v>0.75</v>
      </c>
      <c r="V229" s="154">
        <v>0.83333333333333326</v>
      </c>
      <c r="W229" s="154">
        <v>0.83333333333333326</v>
      </c>
      <c r="X229" s="154">
        <v>0.75</v>
      </c>
      <c r="Y229" s="154">
        <v>0.79166666666666674</v>
      </c>
      <c r="Z229" s="154">
        <v>0.79166666666666674</v>
      </c>
      <c r="AA229" s="154">
        <v>0.83333333333333326</v>
      </c>
      <c r="AB229" s="154">
        <v>0.91666666666666674</v>
      </c>
      <c r="AC229" s="154">
        <v>0.875</v>
      </c>
      <c r="AD229" s="154">
        <v>0.875</v>
      </c>
      <c r="AE229" s="154">
        <v>1</v>
      </c>
      <c r="AF229" s="154">
        <v>0.95833333333333326</v>
      </c>
      <c r="AG229" s="154">
        <v>0.83333333333333326</v>
      </c>
      <c r="AH229" s="154">
        <v>0.79166666666666674</v>
      </c>
      <c r="AI229" s="154">
        <v>0.75</v>
      </c>
      <c r="AJ229" s="154">
        <v>0.83333333333333326</v>
      </c>
      <c r="AK229" s="154">
        <v>0.75</v>
      </c>
      <c r="AL229" s="154">
        <v>0.75</v>
      </c>
      <c r="AM229" cm="1">
        <f t="array" ref="AM229">SUM(_xlfn.LET(_xlpm.r,((IFERROR(H229:AL229-H228:AL228,0))*24)/10,IF(_xlpm.r&gt;1,1,_xlpm.r)))</f>
        <v>30</v>
      </c>
      <c r="AO229" cm="1">
        <f t="array" ref="AO229">SUM(IFERROR((H229:AL229-H228:AL228)*24-11,""))</f>
        <v>48.999999999999972</v>
      </c>
      <c r="AS229">
        <v>225</v>
      </c>
    </row>
    <row r="230" spans="1:46" hidden="1" x14ac:dyDescent="0.25">
      <c r="A230">
        <v>229</v>
      </c>
      <c r="B230">
        <v>2025</v>
      </c>
      <c r="C230">
        <v>5</v>
      </c>
      <c r="D230" t="s">
        <v>270</v>
      </c>
      <c r="E230">
        <v>31</v>
      </c>
      <c r="F230">
        <v>4</v>
      </c>
      <c r="G230" t="s">
        <v>536</v>
      </c>
      <c r="H230" s="154" t="s">
        <v>424</v>
      </c>
      <c r="I230" s="154">
        <v>262769</v>
      </c>
      <c r="J230" s="154">
        <v>262837</v>
      </c>
      <c r="K230" s="154">
        <v>262902</v>
      </c>
      <c r="L230" s="154">
        <v>262977</v>
      </c>
      <c r="M230" s="154">
        <v>263104</v>
      </c>
      <c r="N230" s="154">
        <v>263157</v>
      </c>
      <c r="O230" s="154">
        <v>263245</v>
      </c>
      <c r="P230" s="154">
        <v>263345</v>
      </c>
      <c r="Q230" s="154">
        <v>263431</v>
      </c>
      <c r="R230" s="154">
        <v>263543</v>
      </c>
      <c r="S230" s="154">
        <v>263686</v>
      </c>
      <c r="T230" s="154">
        <v>263746</v>
      </c>
      <c r="U230" s="154">
        <v>263835</v>
      </c>
      <c r="V230" s="154">
        <v>263898</v>
      </c>
      <c r="W230" s="154">
        <v>263969</v>
      </c>
      <c r="X230" s="154">
        <v>264026</v>
      </c>
      <c r="Y230" s="154">
        <v>264070</v>
      </c>
      <c r="Z230" s="154">
        <v>264097</v>
      </c>
      <c r="AA230" s="154">
        <v>264133</v>
      </c>
      <c r="AB230" s="154">
        <v>264168</v>
      </c>
      <c r="AC230" s="154">
        <v>264228</v>
      </c>
      <c r="AD230" s="154">
        <v>264302</v>
      </c>
      <c r="AE230" s="154">
        <v>264384</v>
      </c>
      <c r="AF230" s="154">
        <v>264475</v>
      </c>
      <c r="AG230" s="154">
        <v>264567</v>
      </c>
      <c r="AH230" s="154">
        <v>264640</v>
      </c>
      <c r="AI230" s="154">
        <v>264685</v>
      </c>
      <c r="AJ230" s="154">
        <v>264731</v>
      </c>
      <c r="AK230" s="154">
        <v>264775</v>
      </c>
      <c r="AL230" s="154">
        <v>264814</v>
      </c>
      <c r="AS230">
        <v>226</v>
      </c>
    </row>
    <row r="231" spans="1:46" hidden="1" x14ac:dyDescent="0.25">
      <c r="A231">
        <v>230</v>
      </c>
      <c r="B231">
        <v>2025</v>
      </c>
      <c r="C231">
        <v>5</v>
      </c>
      <c r="D231" t="s">
        <v>270</v>
      </c>
      <c r="E231">
        <v>31</v>
      </c>
      <c r="F231">
        <v>4</v>
      </c>
      <c r="G231" t="s">
        <v>537</v>
      </c>
      <c r="H231" s="154" t="s">
        <v>424</v>
      </c>
      <c r="I231" s="154">
        <v>262837</v>
      </c>
      <c r="J231" s="154">
        <v>262902</v>
      </c>
      <c r="K231" s="154">
        <v>262977</v>
      </c>
      <c r="L231" s="154">
        <v>263104</v>
      </c>
      <c r="M231" s="154">
        <v>263157</v>
      </c>
      <c r="N231" s="154">
        <v>263245</v>
      </c>
      <c r="O231" s="154">
        <v>263345</v>
      </c>
      <c r="P231" s="154">
        <v>263431</v>
      </c>
      <c r="Q231" s="154">
        <v>263543</v>
      </c>
      <c r="R231" s="154">
        <v>263686</v>
      </c>
      <c r="S231" s="154">
        <v>263746</v>
      </c>
      <c r="T231" s="154">
        <v>263835</v>
      </c>
      <c r="U231" s="154">
        <v>263898</v>
      </c>
      <c r="V231" s="154">
        <v>263969</v>
      </c>
      <c r="W231" s="154">
        <v>264026</v>
      </c>
      <c r="X231" s="154">
        <v>264070</v>
      </c>
      <c r="Y231" s="154">
        <v>264097</v>
      </c>
      <c r="Z231" s="154">
        <v>264133</v>
      </c>
      <c r="AA231" s="154">
        <v>264168</v>
      </c>
      <c r="AB231" s="154">
        <v>264228</v>
      </c>
      <c r="AC231" s="154">
        <v>264302</v>
      </c>
      <c r="AD231" s="154">
        <v>264384</v>
      </c>
      <c r="AE231" s="154">
        <v>264475</v>
      </c>
      <c r="AF231" s="154">
        <v>264567</v>
      </c>
      <c r="AG231" s="154">
        <v>264640</v>
      </c>
      <c r="AH231" s="154">
        <v>264685</v>
      </c>
      <c r="AI231" s="154">
        <v>264731</v>
      </c>
      <c r="AJ231" s="154">
        <v>264775</v>
      </c>
      <c r="AK231" s="154">
        <v>264814</v>
      </c>
      <c r="AL231" s="154">
        <v>264848</v>
      </c>
      <c r="AP231" cm="1">
        <f t="array" ref="AP231">IF(AQ231="","",SUM(IFERROR(H231:AL231-H230:AL230,0))*AQ231/100)</f>
        <v>311.85000000000002</v>
      </c>
      <c r="AQ231">
        <f>_xlfn.XLOOKUP(D231,log_prices!M:M,log_prices!L:L,,0)</f>
        <v>15</v>
      </c>
      <c r="AS231">
        <v>227</v>
      </c>
      <c r="AT231" cm="1">
        <f t="array" ref="AT231">IF(AQ231="","",SUM(IFERROR(H231:AL231-H230:AL230,0)))</f>
        <v>2079</v>
      </c>
    </row>
    <row r="232" spans="1:46" hidden="1" x14ac:dyDescent="0.25">
      <c r="A232">
        <v>231</v>
      </c>
      <c r="B232">
        <v>2025</v>
      </c>
      <c r="C232">
        <v>5</v>
      </c>
      <c r="D232" t="s">
        <v>263</v>
      </c>
      <c r="E232">
        <v>31</v>
      </c>
      <c r="F232">
        <v>4</v>
      </c>
      <c r="G232" t="s">
        <v>534</v>
      </c>
      <c r="H232" s="154" t="s">
        <v>424</v>
      </c>
      <c r="I232" s="154" t="s">
        <v>424</v>
      </c>
      <c r="J232" s="154" t="s">
        <v>424</v>
      </c>
      <c r="K232" s="154" t="s">
        <v>424</v>
      </c>
      <c r="L232" s="154" t="s">
        <v>424</v>
      </c>
      <c r="M232" s="154" t="s">
        <v>424</v>
      </c>
      <c r="N232" s="154" t="s">
        <v>424</v>
      </c>
      <c r="O232" s="154" t="s">
        <v>424</v>
      </c>
      <c r="P232" s="154" t="s">
        <v>424</v>
      </c>
      <c r="Q232" s="154" t="s">
        <v>424</v>
      </c>
      <c r="R232" s="154" t="s">
        <v>424</v>
      </c>
      <c r="S232" s="154" t="s">
        <v>424</v>
      </c>
      <c r="T232" s="154" t="s">
        <v>424</v>
      </c>
      <c r="U232" s="154" t="s">
        <v>424</v>
      </c>
      <c r="V232" s="154" t="s">
        <v>424</v>
      </c>
      <c r="W232" s="154" t="s">
        <v>424</v>
      </c>
      <c r="X232" s="154" t="s">
        <v>424</v>
      </c>
      <c r="Y232" s="154" t="s">
        <v>424</v>
      </c>
      <c r="Z232" s="154" t="s">
        <v>424</v>
      </c>
      <c r="AA232" s="154" t="s">
        <v>424</v>
      </c>
      <c r="AB232" s="154" t="s">
        <v>424</v>
      </c>
      <c r="AC232" s="154" t="s">
        <v>424</v>
      </c>
      <c r="AD232" s="154" t="s">
        <v>424</v>
      </c>
      <c r="AE232" s="154" t="s">
        <v>424</v>
      </c>
      <c r="AF232" s="154" t="s">
        <v>424</v>
      </c>
      <c r="AG232" s="154" t="s">
        <v>424</v>
      </c>
      <c r="AH232" s="154" t="s">
        <v>424</v>
      </c>
      <c r="AI232" s="154" t="s">
        <v>479</v>
      </c>
      <c r="AJ232" s="154" t="s">
        <v>479</v>
      </c>
      <c r="AK232" s="154" t="s">
        <v>479</v>
      </c>
      <c r="AL232" s="154" t="s">
        <v>479</v>
      </c>
      <c r="AS232">
        <v>228</v>
      </c>
    </row>
    <row r="233" spans="1:46" hidden="1" x14ac:dyDescent="0.25">
      <c r="A233">
        <v>232</v>
      </c>
      <c r="B233">
        <v>2025</v>
      </c>
      <c r="C233">
        <v>5</v>
      </c>
      <c r="D233" t="s">
        <v>263</v>
      </c>
      <c r="E233">
        <v>31</v>
      </c>
      <c r="F233">
        <v>4</v>
      </c>
      <c r="G233" t="s">
        <v>535</v>
      </c>
      <c r="H233" s="154" t="s">
        <v>424</v>
      </c>
      <c r="I233" s="154" t="s">
        <v>424</v>
      </c>
      <c r="J233" s="154" t="s">
        <v>424</v>
      </c>
      <c r="K233" s="154" t="s">
        <v>424</v>
      </c>
      <c r="L233" s="154" t="s">
        <v>424</v>
      </c>
      <c r="M233" s="154" t="s">
        <v>424</v>
      </c>
      <c r="N233" s="154" t="s">
        <v>424</v>
      </c>
      <c r="O233" s="154" t="s">
        <v>424</v>
      </c>
      <c r="P233" s="154" t="s">
        <v>424</v>
      </c>
      <c r="Q233" s="154" t="s">
        <v>424</v>
      </c>
      <c r="R233" s="154" t="s">
        <v>424</v>
      </c>
      <c r="S233" s="154" t="s">
        <v>424</v>
      </c>
      <c r="T233" s="154" t="s">
        <v>424</v>
      </c>
      <c r="U233" s="154" t="s">
        <v>424</v>
      </c>
      <c r="V233" s="154" t="s">
        <v>424</v>
      </c>
      <c r="W233" s="154" t="s">
        <v>424</v>
      </c>
      <c r="X233" s="154" t="s">
        <v>424</v>
      </c>
      <c r="Y233" s="154" t="s">
        <v>424</v>
      </c>
      <c r="Z233" s="154" t="s">
        <v>424</v>
      </c>
      <c r="AA233" s="154" t="s">
        <v>424</v>
      </c>
      <c r="AB233" s="154" t="s">
        <v>424</v>
      </c>
      <c r="AC233" s="154" t="s">
        <v>424</v>
      </c>
      <c r="AD233" s="154" t="s">
        <v>424</v>
      </c>
      <c r="AE233" s="154" t="s">
        <v>424</v>
      </c>
      <c r="AF233" s="154" t="s">
        <v>424</v>
      </c>
      <c r="AG233" s="154" t="s">
        <v>424</v>
      </c>
      <c r="AH233" s="154" t="s">
        <v>424</v>
      </c>
      <c r="AI233" s="154" t="s">
        <v>480</v>
      </c>
      <c r="AJ233" s="154">
        <v>0.75</v>
      </c>
      <c r="AK233" s="154" t="s">
        <v>480</v>
      </c>
      <c r="AL233" s="154" t="s">
        <v>480</v>
      </c>
      <c r="AM233" cm="1">
        <f t="array" ref="AM233">SUM(_xlfn.LET(_xlpm.r,((IFERROR(H233:AL233-H232:AL232,0))*24)/10,IF(_xlpm.r&gt;1,1,_xlpm.r)))</f>
        <v>4</v>
      </c>
      <c r="AO233" cm="1">
        <f t="array" ref="AO233">SUM(IFERROR(MOD((H233:AL233-H232:AL232)*24,11),""))</f>
        <v>0</v>
      </c>
      <c r="AS233">
        <v>229</v>
      </c>
    </row>
    <row r="234" spans="1:46" hidden="1" x14ac:dyDescent="0.25">
      <c r="A234">
        <v>233</v>
      </c>
      <c r="B234">
        <v>2025</v>
      </c>
      <c r="C234">
        <v>5</v>
      </c>
      <c r="D234" t="s">
        <v>263</v>
      </c>
      <c r="E234">
        <v>31</v>
      </c>
      <c r="F234">
        <v>4</v>
      </c>
      <c r="G234" t="s">
        <v>536</v>
      </c>
      <c r="H234" s="154" t="s">
        <v>424</v>
      </c>
      <c r="I234" s="154" t="s">
        <v>424</v>
      </c>
      <c r="J234" s="154" t="s">
        <v>424</v>
      </c>
      <c r="K234" s="154" t="s">
        <v>424</v>
      </c>
      <c r="L234" s="154" t="s">
        <v>424</v>
      </c>
      <c r="M234" s="154" t="s">
        <v>424</v>
      </c>
      <c r="N234" s="154" t="s">
        <v>424</v>
      </c>
      <c r="O234" s="154" t="s">
        <v>424</v>
      </c>
      <c r="P234" s="154" t="s">
        <v>424</v>
      </c>
      <c r="Q234" s="154" t="s">
        <v>424</v>
      </c>
      <c r="R234" s="154" t="s">
        <v>424</v>
      </c>
      <c r="S234" s="154" t="s">
        <v>424</v>
      </c>
      <c r="T234" s="154" t="s">
        <v>424</v>
      </c>
      <c r="U234" s="154" t="s">
        <v>424</v>
      </c>
      <c r="V234" s="154" t="s">
        <v>424</v>
      </c>
      <c r="W234" s="154" t="s">
        <v>424</v>
      </c>
      <c r="X234" s="154" t="s">
        <v>424</v>
      </c>
      <c r="Y234" s="154" t="s">
        <v>424</v>
      </c>
      <c r="Z234" s="154" t="s">
        <v>424</v>
      </c>
      <c r="AA234" s="154" t="s">
        <v>424</v>
      </c>
      <c r="AB234" s="154" t="s">
        <v>424</v>
      </c>
      <c r="AC234" s="154" t="s">
        <v>424</v>
      </c>
      <c r="AD234" s="154" t="s">
        <v>424</v>
      </c>
      <c r="AE234" s="154" t="s">
        <v>424</v>
      </c>
      <c r="AF234" s="154" t="s">
        <v>424</v>
      </c>
      <c r="AG234" s="154" t="s">
        <v>424</v>
      </c>
      <c r="AH234" s="154" t="s">
        <v>424</v>
      </c>
      <c r="AI234" s="154">
        <v>321621</v>
      </c>
      <c r="AJ234" s="154">
        <v>321636</v>
      </c>
      <c r="AK234" s="154">
        <v>321702</v>
      </c>
      <c r="AL234" s="154">
        <v>321748</v>
      </c>
      <c r="AS234">
        <v>230</v>
      </c>
    </row>
    <row r="235" spans="1:46" hidden="1" x14ac:dyDescent="0.25">
      <c r="A235">
        <v>234</v>
      </c>
      <c r="B235">
        <v>2025</v>
      </c>
      <c r="C235">
        <v>5</v>
      </c>
      <c r="D235" t="s">
        <v>263</v>
      </c>
      <c r="E235">
        <v>31</v>
      </c>
      <c r="F235">
        <v>4</v>
      </c>
      <c r="G235" t="s">
        <v>537</v>
      </c>
      <c r="H235" s="154" t="s">
        <v>424</v>
      </c>
      <c r="I235" s="154" t="s">
        <v>424</v>
      </c>
      <c r="J235" s="154" t="s">
        <v>424</v>
      </c>
      <c r="K235" s="154" t="s">
        <v>424</v>
      </c>
      <c r="L235" s="154" t="s">
        <v>424</v>
      </c>
      <c r="M235" s="154" t="s">
        <v>424</v>
      </c>
      <c r="N235" s="154" t="s">
        <v>424</v>
      </c>
      <c r="O235" s="154" t="s">
        <v>424</v>
      </c>
      <c r="P235" s="154" t="s">
        <v>424</v>
      </c>
      <c r="Q235" s="154" t="s">
        <v>424</v>
      </c>
      <c r="R235" s="154" t="s">
        <v>424</v>
      </c>
      <c r="S235" s="154" t="s">
        <v>424</v>
      </c>
      <c r="T235" s="154" t="s">
        <v>424</v>
      </c>
      <c r="U235" s="154" t="s">
        <v>424</v>
      </c>
      <c r="V235" s="154" t="s">
        <v>424</v>
      </c>
      <c r="W235" s="154" t="s">
        <v>424</v>
      </c>
      <c r="X235" s="154" t="s">
        <v>424</v>
      </c>
      <c r="Y235" s="154" t="s">
        <v>424</v>
      </c>
      <c r="Z235" s="154" t="s">
        <v>424</v>
      </c>
      <c r="AA235" s="154" t="s">
        <v>424</v>
      </c>
      <c r="AB235" s="154" t="s">
        <v>424</v>
      </c>
      <c r="AC235" s="154" t="s">
        <v>424</v>
      </c>
      <c r="AD235" s="154" t="s">
        <v>424</v>
      </c>
      <c r="AE235" s="154" t="s">
        <v>424</v>
      </c>
      <c r="AF235" s="154" t="s">
        <v>424</v>
      </c>
      <c r="AG235" s="154" t="s">
        <v>424</v>
      </c>
      <c r="AH235" s="154" t="s">
        <v>424</v>
      </c>
      <c r="AI235" s="154">
        <v>321636</v>
      </c>
      <c r="AJ235" s="154">
        <v>321702</v>
      </c>
      <c r="AK235" s="154">
        <v>321748</v>
      </c>
      <c r="AL235" s="154">
        <v>321779</v>
      </c>
      <c r="AP235" cm="1">
        <f t="array" ref="AP235">IF(AQ235="","",SUM(IFERROR(H235:AL235-H234:AL234,0))*AQ235/100)</f>
        <v>23.7</v>
      </c>
      <c r="AQ235">
        <f>_xlfn.XLOOKUP(D235,log_prices!M:M,log_prices!L:L,,0)</f>
        <v>15</v>
      </c>
      <c r="AS235">
        <v>231</v>
      </c>
      <c r="AT235" cm="1">
        <f t="array" ref="AT235">IF(AQ235="","",SUM(IFERROR(H235:AL235-H234:AL234,0)))</f>
        <v>158</v>
      </c>
    </row>
    <row r="236" spans="1:46" hidden="1" x14ac:dyDescent="0.25">
      <c r="A236">
        <v>235</v>
      </c>
      <c r="B236">
        <v>2025</v>
      </c>
      <c r="C236">
        <v>5</v>
      </c>
      <c r="D236" t="s">
        <v>254</v>
      </c>
      <c r="E236">
        <v>31</v>
      </c>
      <c r="F236">
        <v>4</v>
      </c>
      <c r="G236" t="s">
        <v>534</v>
      </c>
      <c r="H236" s="154" t="s">
        <v>424</v>
      </c>
      <c r="I236" s="154" t="s">
        <v>424</v>
      </c>
      <c r="J236" s="154" t="s">
        <v>424</v>
      </c>
      <c r="K236" s="154" t="s">
        <v>424</v>
      </c>
      <c r="L236" s="154" t="s">
        <v>424</v>
      </c>
      <c r="M236" s="154" t="s">
        <v>424</v>
      </c>
      <c r="N236" s="154" t="s">
        <v>424</v>
      </c>
      <c r="O236" s="154" t="s">
        <v>424</v>
      </c>
      <c r="P236" s="154" t="s">
        <v>424</v>
      </c>
      <c r="Q236" s="154" t="s">
        <v>424</v>
      </c>
      <c r="R236" s="154" t="s">
        <v>424</v>
      </c>
      <c r="S236" s="154" t="s">
        <v>424</v>
      </c>
      <c r="T236" s="154" t="s">
        <v>424</v>
      </c>
      <c r="U236" s="154" t="s">
        <v>424</v>
      </c>
      <c r="V236" s="154" t="s">
        <v>424</v>
      </c>
      <c r="W236" s="154" t="s">
        <v>424</v>
      </c>
      <c r="X236" s="154" t="s">
        <v>424</v>
      </c>
      <c r="Y236" s="154" t="s">
        <v>424</v>
      </c>
      <c r="Z236" s="154" t="s">
        <v>424</v>
      </c>
      <c r="AA236" s="154" t="s">
        <v>424</v>
      </c>
      <c r="AB236" s="154" t="s">
        <v>424</v>
      </c>
      <c r="AC236" s="154" t="s">
        <v>424</v>
      </c>
      <c r="AD236" s="154" t="s">
        <v>424</v>
      </c>
      <c r="AE236" s="154" t="s">
        <v>424</v>
      </c>
      <c r="AF236" s="154" t="s">
        <v>424</v>
      </c>
      <c r="AG236" s="154" t="s">
        <v>424</v>
      </c>
      <c r="AH236" s="154" t="s">
        <v>424</v>
      </c>
      <c r="AI236" s="154" t="s">
        <v>479</v>
      </c>
      <c r="AJ236" s="154" t="s">
        <v>479</v>
      </c>
      <c r="AK236" s="154" t="s">
        <v>479</v>
      </c>
      <c r="AL236" s="154" t="s">
        <v>479</v>
      </c>
      <c r="AS236">
        <v>232</v>
      </c>
    </row>
    <row r="237" spans="1:46" hidden="1" x14ac:dyDescent="0.25">
      <c r="A237">
        <v>236</v>
      </c>
      <c r="B237">
        <v>2025</v>
      </c>
      <c r="C237">
        <v>5</v>
      </c>
      <c r="D237" t="s">
        <v>254</v>
      </c>
      <c r="E237">
        <v>31</v>
      </c>
      <c r="F237">
        <v>4</v>
      </c>
      <c r="G237" t="s">
        <v>535</v>
      </c>
      <c r="H237" s="154" t="s">
        <v>424</v>
      </c>
      <c r="I237" s="154" t="s">
        <v>424</v>
      </c>
      <c r="J237" s="154" t="s">
        <v>424</v>
      </c>
      <c r="K237" s="154" t="s">
        <v>424</v>
      </c>
      <c r="L237" s="154" t="s">
        <v>424</v>
      </c>
      <c r="M237" s="154" t="s">
        <v>424</v>
      </c>
      <c r="N237" s="154" t="s">
        <v>424</v>
      </c>
      <c r="O237" s="154" t="s">
        <v>424</v>
      </c>
      <c r="P237" s="154" t="s">
        <v>424</v>
      </c>
      <c r="Q237" s="154" t="s">
        <v>424</v>
      </c>
      <c r="R237" s="154" t="s">
        <v>424</v>
      </c>
      <c r="S237" s="154" t="s">
        <v>424</v>
      </c>
      <c r="T237" s="154" t="s">
        <v>424</v>
      </c>
      <c r="U237" s="154" t="s">
        <v>424</v>
      </c>
      <c r="V237" s="154" t="s">
        <v>424</v>
      </c>
      <c r="W237" s="154" t="s">
        <v>424</v>
      </c>
      <c r="X237" s="154" t="s">
        <v>424</v>
      </c>
      <c r="Y237" s="154" t="s">
        <v>424</v>
      </c>
      <c r="Z237" s="154" t="s">
        <v>424</v>
      </c>
      <c r="AA237" s="154" t="s">
        <v>424</v>
      </c>
      <c r="AB237" s="154" t="s">
        <v>424</v>
      </c>
      <c r="AC237" s="154" t="s">
        <v>424</v>
      </c>
      <c r="AD237" s="154" t="s">
        <v>424</v>
      </c>
      <c r="AE237" s="154" t="s">
        <v>424</v>
      </c>
      <c r="AF237" s="154" t="s">
        <v>424</v>
      </c>
      <c r="AG237" s="154" t="s">
        <v>424</v>
      </c>
      <c r="AH237" s="154" t="s">
        <v>424</v>
      </c>
      <c r="AI237" s="154" t="s">
        <v>480</v>
      </c>
      <c r="AJ237" s="154" t="s">
        <v>480</v>
      </c>
      <c r="AK237" s="154" t="s">
        <v>480</v>
      </c>
      <c r="AL237" s="154" t="s">
        <v>480</v>
      </c>
      <c r="AM237" cm="1">
        <f t="array" ref="AM237">SUM(_xlfn.LET(_xlpm.r,((IFERROR(H237:AL237-H236:AL236,0))*24)/10,IF(_xlpm.r&gt;1,1,_xlpm.r)))</f>
        <v>4</v>
      </c>
      <c r="AO237" cm="1">
        <f t="array" ref="AO237">SUM(IFERROR(MOD((H237:AL237-H236:AL236)*24,11),""))</f>
        <v>0</v>
      </c>
      <c r="AS237">
        <v>233</v>
      </c>
    </row>
    <row r="238" spans="1:46" hidden="1" x14ac:dyDescent="0.25">
      <c r="A238">
        <v>237</v>
      </c>
      <c r="B238">
        <v>2025</v>
      </c>
      <c r="C238">
        <v>5</v>
      </c>
      <c r="D238" t="s">
        <v>254</v>
      </c>
      <c r="E238">
        <v>31</v>
      </c>
      <c r="F238">
        <v>4</v>
      </c>
      <c r="G238" t="s">
        <v>536</v>
      </c>
      <c r="H238" s="154" t="s">
        <v>424</v>
      </c>
      <c r="I238" s="154" t="s">
        <v>424</v>
      </c>
      <c r="J238" s="154" t="s">
        <v>424</v>
      </c>
      <c r="K238" s="154" t="s">
        <v>424</v>
      </c>
      <c r="L238" s="154" t="s">
        <v>424</v>
      </c>
      <c r="M238" s="154" t="s">
        <v>424</v>
      </c>
      <c r="N238" s="154" t="s">
        <v>424</v>
      </c>
      <c r="O238" s="154" t="s">
        <v>424</v>
      </c>
      <c r="P238" s="154" t="s">
        <v>424</v>
      </c>
      <c r="Q238" s="154" t="s">
        <v>424</v>
      </c>
      <c r="R238" s="154" t="s">
        <v>424</v>
      </c>
      <c r="S238" s="154" t="s">
        <v>424</v>
      </c>
      <c r="T238" s="154" t="s">
        <v>424</v>
      </c>
      <c r="U238" s="154" t="s">
        <v>424</v>
      </c>
      <c r="V238" s="154" t="s">
        <v>424</v>
      </c>
      <c r="W238" s="154" t="s">
        <v>424</v>
      </c>
      <c r="X238" s="154" t="s">
        <v>424</v>
      </c>
      <c r="Y238" s="154" t="s">
        <v>424</v>
      </c>
      <c r="Z238" s="154" t="s">
        <v>424</v>
      </c>
      <c r="AA238" s="154" t="s">
        <v>424</v>
      </c>
      <c r="AB238" s="154" t="s">
        <v>424</v>
      </c>
      <c r="AC238" s="154" t="s">
        <v>424</v>
      </c>
      <c r="AD238" s="154" t="s">
        <v>424</v>
      </c>
      <c r="AE238" s="154" t="s">
        <v>424</v>
      </c>
      <c r="AF238" s="154" t="s">
        <v>424</v>
      </c>
      <c r="AG238" s="154" t="s">
        <v>424</v>
      </c>
      <c r="AH238" s="154" t="s">
        <v>424</v>
      </c>
      <c r="AI238" s="154">
        <v>769160</v>
      </c>
      <c r="AJ238" s="154">
        <v>769526</v>
      </c>
      <c r="AK238" s="154">
        <v>769616</v>
      </c>
      <c r="AL238" s="154">
        <v>769705</v>
      </c>
      <c r="AS238">
        <v>234</v>
      </c>
    </row>
    <row r="239" spans="1:46" hidden="1" x14ac:dyDescent="0.25">
      <c r="A239">
        <v>238</v>
      </c>
      <c r="B239">
        <v>2025</v>
      </c>
      <c r="C239">
        <v>5</v>
      </c>
      <c r="D239" t="s">
        <v>254</v>
      </c>
      <c r="E239">
        <v>31</v>
      </c>
      <c r="F239">
        <v>4</v>
      </c>
      <c r="G239" t="s">
        <v>537</v>
      </c>
      <c r="H239" s="154" t="s">
        <v>424</v>
      </c>
      <c r="I239" s="154" t="s">
        <v>424</v>
      </c>
      <c r="J239" s="154" t="s">
        <v>424</v>
      </c>
      <c r="K239" s="154" t="s">
        <v>424</v>
      </c>
      <c r="L239" s="154" t="s">
        <v>424</v>
      </c>
      <c r="M239" s="154" t="s">
        <v>424</v>
      </c>
      <c r="N239" s="154" t="s">
        <v>424</v>
      </c>
      <c r="O239" s="154" t="s">
        <v>424</v>
      </c>
      <c r="P239" s="154" t="s">
        <v>424</v>
      </c>
      <c r="Q239" s="154" t="s">
        <v>424</v>
      </c>
      <c r="R239" s="154" t="s">
        <v>424</v>
      </c>
      <c r="S239" s="154" t="s">
        <v>424</v>
      </c>
      <c r="T239" s="154" t="s">
        <v>424</v>
      </c>
      <c r="U239" s="154" t="s">
        <v>424</v>
      </c>
      <c r="V239" s="154" t="s">
        <v>424</v>
      </c>
      <c r="W239" s="154" t="s">
        <v>424</v>
      </c>
      <c r="X239" s="154" t="s">
        <v>424</v>
      </c>
      <c r="Y239" s="154" t="s">
        <v>424</v>
      </c>
      <c r="Z239" s="154" t="s">
        <v>424</v>
      </c>
      <c r="AA239" s="154" t="s">
        <v>424</v>
      </c>
      <c r="AB239" s="154" t="s">
        <v>424</v>
      </c>
      <c r="AC239" s="154" t="s">
        <v>424</v>
      </c>
      <c r="AD239" s="154" t="s">
        <v>424</v>
      </c>
      <c r="AE239" s="154" t="s">
        <v>424</v>
      </c>
      <c r="AF239" s="154" t="s">
        <v>424</v>
      </c>
      <c r="AG239" s="154" t="s">
        <v>424</v>
      </c>
      <c r="AH239" s="154" t="s">
        <v>424</v>
      </c>
      <c r="AI239" s="154">
        <v>769207</v>
      </c>
      <c r="AJ239" s="154">
        <v>769615</v>
      </c>
      <c r="AK239" s="154">
        <v>769705</v>
      </c>
      <c r="AL239" s="154">
        <v>769776</v>
      </c>
      <c r="AP239" cm="1">
        <f t="array" ref="AP239">IF(AQ239="","",SUM(IFERROR(H239:AL239-H238:AL238,0))*AQ239/100)</f>
        <v>44.4</v>
      </c>
      <c r="AQ239">
        <f>_xlfn.XLOOKUP(D239,log_prices!M:M,log_prices!L:L,,0)</f>
        <v>15</v>
      </c>
      <c r="AS239">
        <v>235</v>
      </c>
      <c r="AT239" cm="1">
        <f t="array" ref="AT239">IF(AQ239="","",SUM(IFERROR(H239:AL239-H238:AL238,0)))</f>
        <v>296</v>
      </c>
    </row>
    <row r="240" spans="1:46" hidden="1" x14ac:dyDescent="0.25">
      <c r="A240">
        <v>239</v>
      </c>
      <c r="B240">
        <v>2025</v>
      </c>
      <c r="C240">
        <v>6</v>
      </c>
      <c r="D240" t="s">
        <v>256</v>
      </c>
      <c r="E240">
        <v>31</v>
      </c>
      <c r="F240">
        <v>5</v>
      </c>
      <c r="G240" t="s">
        <v>534</v>
      </c>
      <c r="H240" s="154" t="s">
        <v>481</v>
      </c>
      <c r="I240" s="154" t="s">
        <v>481</v>
      </c>
      <c r="J240" s="154" t="s">
        <v>481</v>
      </c>
      <c r="K240" s="154" t="s">
        <v>481</v>
      </c>
      <c r="L240" s="154" t="s">
        <v>481</v>
      </c>
      <c r="M240" s="154" t="s">
        <v>424</v>
      </c>
      <c r="N240" s="154" t="s">
        <v>481</v>
      </c>
      <c r="O240" s="154" t="s">
        <v>481</v>
      </c>
      <c r="P240" s="154" t="s">
        <v>481</v>
      </c>
      <c r="Q240" s="154" t="s">
        <v>481</v>
      </c>
      <c r="R240" s="154" t="s">
        <v>481</v>
      </c>
      <c r="S240" s="154" t="s">
        <v>481</v>
      </c>
      <c r="T240" s="154" t="s">
        <v>481</v>
      </c>
      <c r="U240" s="154" t="s">
        <v>481</v>
      </c>
      <c r="V240" s="154" t="s">
        <v>481</v>
      </c>
      <c r="W240" s="154" t="s">
        <v>481</v>
      </c>
      <c r="X240" s="154" t="s">
        <v>481</v>
      </c>
      <c r="Y240" s="154" t="s">
        <v>481</v>
      </c>
      <c r="Z240" s="154" t="s">
        <v>491</v>
      </c>
      <c r="AA240" s="154" t="s">
        <v>491</v>
      </c>
      <c r="AB240" s="154" t="s">
        <v>491</v>
      </c>
      <c r="AC240" s="154" t="s">
        <v>491</v>
      </c>
      <c r="AD240" s="154" t="s">
        <v>491</v>
      </c>
      <c r="AE240" s="154" t="s">
        <v>491</v>
      </c>
      <c r="AF240" s="154" t="s">
        <v>491</v>
      </c>
      <c r="AG240" s="154" t="s">
        <v>491</v>
      </c>
      <c r="AH240" s="154" t="s">
        <v>491</v>
      </c>
      <c r="AI240" s="154" t="s">
        <v>491</v>
      </c>
      <c r="AJ240" s="154" t="s">
        <v>491</v>
      </c>
      <c r="AK240" s="154" t="s">
        <v>491</v>
      </c>
      <c r="AL240" s="154" t="s">
        <v>424</v>
      </c>
      <c r="AS240">
        <v>236</v>
      </c>
    </row>
    <row r="241" spans="1:46" hidden="1" x14ac:dyDescent="0.25">
      <c r="A241">
        <v>240</v>
      </c>
      <c r="B241">
        <v>2025</v>
      </c>
      <c r="C241">
        <v>6</v>
      </c>
      <c r="D241" t="s">
        <v>256</v>
      </c>
      <c r="E241">
        <v>31</v>
      </c>
      <c r="F241">
        <v>5</v>
      </c>
      <c r="G241" t="s">
        <v>535</v>
      </c>
      <c r="H241" s="154">
        <v>0.8125</v>
      </c>
      <c r="I241" s="154">
        <v>0.8125</v>
      </c>
      <c r="J241" s="154">
        <v>0.8125</v>
      </c>
      <c r="K241" s="154">
        <v>0.8125</v>
      </c>
      <c r="L241" s="154">
        <v>0.8125</v>
      </c>
      <c r="M241" s="154" t="s">
        <v>424</v>
      </c>
      <c r="N241" s="154">
        <v>1.1458333333333333</v>
      </c>
      <c r="O241" s="154">
        <v>0.8125</v>
      </c>
      <c r="P241" s="154">
        <v>0.8125</v>
      </c>
      <c r="Q241" s="154">
        <v>0.8125</v>
      </c>
      <c r="R241" s="154">
        <v>0.8125</v>
      </c>
      <c r="S241" s="154">
        <v>0.8125</v>
      </c>
      <c r="T241" s="154">
        <v>0.8125</v>
      </c>
      <c r="U241" s="154">
        <v>0.8125</v>
      </c>
      <c r="V241" s="154">
        <v>0.8125</v>
      </c>
      <c r="W241" s="154">
        <v>0.8125</v>
      </c>
      <c r="X241" s="154">
        <v>0.8125</v>
      </c>
      <c r="Y241" s="154">
        <v>0.8125</v>
      </c>
      <c r="Z241" s="154">
        <v>0.78125</v>
      </c>
      <c r="AA241" s="154">
        <v>0.78125</v>
      </c>
      <c r="AB241" s="154">
        <v>0.78125</v>
      </c>
      <c r="AC241" s="154">
        <v>0.78125</v>
      </c>
      <c r="AD241" s="154">
        <v>0.78125</v>
      </c>
      <c r="AE241" s="154">
        <v>0.78125</v>
      </c>
      <c r="AF241" s="154">
        <v>0.78125</v>
      </c>
      <c r="AG241" s="154">
        <v>0.78125</v>
      </c>
      <c r="AH241" s="154">
        <v>0.78125</v>
      </c>
      <c r="AI241" s="154">
        <v>0.78125</v>
      </c>
      <c r="AJ241" s="154">
        <v>0.86458333333333326</v>
      </c>
      <c r="AK241" s="154">
        <v>0.86458333333333326</v>
      </c>
      <c r="AL241" s="154" t="s">
        <v>424</v>
      </c>
      <c r="AM241" cm="1">
        <f t="array" ref="AM241">SUM(_xlfn.LET(_xlpm.r,((IFERROR(H241:AL241-H240:AL240,0))*24)/10,IF(_xlpm.r&gt;1,1,_xlpm.r)))</f>
        <v>29</v>
      </c>
      <c r="AO241" cm="1">
        <f t="array" ref="AO241">SUM(IFERROR(MOD((H241:AL241-H240:AL240)*24,11),""))+11</f>
        <v>63</v>
      </c>
      <c r="AR241" s="163" t="s">
        <v>438</v>
      </c>
      <c r="AS241">
        <v>237</v>
      </c>
    </row>
    <row r="242" spans="1:46" hidden="1" x14ac:dyDescent="0.25">
      <c r="A242">
        <v>241</v>
      </c>
      <c r="B242">
        <v>2025</v>
      </c>
      <c r="C242">
        <v>6</v>
      </c>
      <c r="D242" t="s">
        <v>256</v>
      </c>
      <c r="E242">
        <v>31</v>
      </c>
      <c r="F242">
        <v>5</v>
      </c>
      <c r="G242" t="s">
        <v>536</v>
      </c>
      <c r="H242" s="154">
        <v>57651</v>
      </c>
      <c r="I242" s="154">
        <v>57801</v>
      </c>
      <c r="J242" s="154">
        <v>57953</v>
      </c>
      <c r="K242" s="154">
        <v>58104</v>
      </c>
      <c r="L242" s="154">
        <v>58254</v>
      </c>
      <c r="M242" s="154" t="s">
        <v>424</v>
      </c>
      <c r="N242" s="154">
        <v>58406</v>
      </c>
      <c r="O242" s="154">
        <v>58556</v>
      </c>
      <c r="P242" s="154">
        <v>58707</v>
      </c>
      <c r="Q242" s="154">
        <v>58857</v>
      </c>
      <c r="R242" s="154">
        <v>59008</v>
      </c>
      <c r="S242" s="154">
        <v>59158</v>
      </c>
      <c r="T242" s="154">
        <v>59309</v>
      </c>
      <c r="U242" s="154">
        <v>59459</v>
      </c>
      <c r="V242" s="154">
        <v>59606</v>
      </c>
      <c r="W242" s="154">
        <v>59752</v>
      </c>
      <c r="X242" s="154">
        <v>59902</v>
      </c>
      <c r="Y242" s="154">
        <v>60054</v>
      </c>
      <c r="Z242" s="154">
        <v>60109</v>
      </c>
      <c r="AA242" s="154">
        <v>60137</v>
      </c>
      <c r="AB242" s="154">
        <v>60164</v>
      </c>
      <c r="AC242" s="154">
        <v>60189</v>
      </c>
      <c r="AD242" s="154">
        <v>60213</v>
      </c>
      <c r="AE242" s="154">
        <v>60238</v>
      </c>
      <c r="AF242" s="154">
        <v>60248</v>
      </c>
      <c r="AG242" s="154">
        <v>60267</v>
      </c>
      <c r="AH242" s="154">
        <v>60288</v>
      </c>
      <c r="AI242" s="154">
        <v>60355</v>
      </c>
      <c r="AJ242" s="154">
        <v>42273</v>
      </c>
      <c r="AK242" s="154">
        <v>42344</v>
      </c>
      <c r="AL242" s="154" t="s">
        <v>424</v>
      </c>
      <c r="AS242">
        <v>238</v>
      </c>
    </row>
    <row r="243" spans="1:46" hidden="1" x14ac:dyDescent="0.25">
      <c r="A243">
        <v>242</v>
      </c>
      <c r="B243">
        <v>2025</v>
      </c>
      <c r="C243">
        <v>6</v>
      </c>
      <c r="D243" t="s">
        <v>256</v>
      </c>
      <c r="E243">
        <v>31</v>
      </c>
      <c r="F243">
        <v>5</v>
      </c>
      <c r="G243" t="s">
        <v>537</v>
      </c>
      <c r="H243" s="154">
        <v>57801</v>
      </c>
      <c r="I243" s="154">
        <v>57953</v>
      </c>
      <c r="J243" s="154">
        <v>58104</v>
      </c>
      <c r="K243" s="154">
        <v>58254</v>
      </c>
      <c r="L243" s="154">
        <v>58406</v>
      </c>
      <c r="M243" s="154" t="s">
        <v>424</v>
      </c>
      <c r="N243" s="154">
        <v>58556</v>
      </c>
      <c r="O243" s="154">
        <v>58707</v>
      </c>
      <c r="P243" s="154">
        <v>58857</v>
      </c>
      <c r="Q243" s="154">
        <v>59008</v>
      </c>
      <c r="R243" s="154">
        <v>59158</v>
      </c>
      <c r="S243" s="154">
        <v>59309</v>
      </c>
      <c r="T243" s="154">
        <v>59459</v>
      </c>
      <c r="U243" s="154">
        <v>59606</v>
      </c>
      <c r="V243" s="154">
        <v>59752</v>
      </c>
      <c r="W243" s="154">
        <v>59902</v>
      </c>
      <c r="X243" s="154">
        <v>60054</v>
      </c>
      <c r="Y243" s="154">
        <v>60109</v>
      </c>
      <c r="Z243" s="154">
        <v>60137</v>
      </c>
      <c r="AA243" s="154">
        <v>60164</v>
      </c>
      <c r="AB243" s="154">
        <v>60189</v>
      </c>
      <c r="AC243" s="154">
        <v>60213</v>
      </c>
      <c r="AD243" s="154">
        <v>60238</v>
      </c>
      <c r="AE243" s="154">
        <v>60248</v>
      </c>
      <c r="AF243" s="154">
        <v>60267</v>
      </c>
      <c r="AG243" s="154">
        <v>60288</v>
      </c>
      <c r="AH243" s="154">
        <v>60355</v>
      </c>
      <c r="AI243" s="154">
        <v>60450</v>
      </c>
      <c r="AJ243" s="154">
        <v>42344</v>
      </c>
      <c r="AK243" s="154">
        <v>42399</v>
      </c>
      <c r="AL243" s="154" t="s">
        <v>424</v>
      </c>
      <c r="AP243" cm="1">
        <f t="array" ref="AP243">IF(AQ243="","",SUM(IFERROR(H243:AL243-H242:AL242,0))*AQ243/100)</f>
        <v>438.75</v>
      </c>
      <c r="AQ243">
        <f>_xlfn.XLOOKUP(D243,log_prices!M:M,log_prices!L:L,,0)</f>
        <v>15</v>
      </c>
      <c r="AS243">
        <v>239</v>
      </c>
      <c r="AT243" cm="1">
        <f t="array" ref="AT243">IF(AQ243="","",SUM(IFERROR(H243:AL243-H242:AL242,0)))</f>
        <v>2925</v>
      </c>
    </row>
    <row r="244" spans="1:46" hidden="1" x14ac:dyDescent="0.25">
      <c r="A244">
        <v>243</v>
      </c>
      <c r="B244">
        <v>2025</v>
      </c>
      <c r="C244">
        <v>6</v>
      </c>
      <c r="D244" t="s">
        <v>269</v>
      </c>
      <c r="E244">
        <v>31</v>
      </c>
      <c r="F244">
        <v>5</v>
      </c>
      <c r="G244" t="s">
        <v>534</v>
      </c>
      <c r="H244" s="154" t="s">
        <v>479</v>
      </c>
      <c r="I244" s="154" t="s">
        <v>479</v>
      </c>
      <c r="J244" s="154" t="s">
        <v>479</v>
      </c>
      <c r="K244" s="154" t="s">
        <v>479</v>
      </c>
      <c r="L244" s="154" t="s">
        <v>479</v>
      </c>
      <c r="M244" s="154" t="s">
        <v>424</v>
      </c>
      <c r="N244" s="154" t="s">
        <v>479</v>
      </c>
      <c r="O244" s="154" t="s">
        <v>479</v>
      </c>
      <c r="P244" s="154" t="s">
        <v>479</v>
      </c>
      <c r="Q244" s="154" t="s">
        <v>479</v>
      </c>
      <c r="R244" s="154" t="s">
        <v>479</v>
      </c>
      <c r="S244" s="154" t="s">
        <v>479</v>
      </c>
      <c r="T244" s="154" t="s">
        <v>479</v>
      </c>
      <c r="U244" s="154" t="s">
        <v>479</v>
      </c>
      <c r="V244" s="154" t="s">
        <v>479</v>
      </c>
      <c r="W244" s="154" t="s">
        <v>479</v>
      </c>
      <c r="X244" s="154" t="s">
        <v>479</v>
      </c>
      <c r="Y244" s="154" t="s">
        <v>479</v>
      </c>
      <c r="Z244" s="154" t="s">
        <v>479</v>
      </c>
      <c r="AA244" s="154" t="s">
        <v>479</v>
      </c>
      <c r="AB244" s="154" t="s">
        <v>479</v>
      </c>
      <c r="AC244" s="154" t="s">
        <v>424</v>
      </c>
      <c r="AD244" s="154" t="s">
        <v>479</v>
      </c>
      <c r="AE244" s="154" t="s">
        <v>479</v>
      </c>
      <c r="AF244" s="154" t="s">
        <v>479</v>
      </c>
      <c r="AG244" s="154" t="s">
        <v>479</v>
      </c>
      <c r="AH244" s="154" t="s">
        <v>479</v>
      </c>
      <c r="AI244" s="154" t="s">
        <v>479</v>
      </c>
      <c r="AJ244" s="154" t="s">
        <v>479</v>
      </c>
      <c r="AK244" s="154" t="s">
        <v>479</v>
      </c>
      <c r="AL244" s="154" t="s">
        <v>424</v>
      </c>
      <c r="AS244">
        <v>240</v>
      </c>
    </row>
    <row r="245" spans="1:46" hidden="1" x14ac:dyDescent="0.25">
      <c r="A245">
        <v>244</v>
      </c>
      <c r="B245">
        <v>2025</v>
      </c>
      <c r="C245">
        <v>6</v>
      </c>
      <c r="D245" t="s">
        <v>269</v>
      </c>
      <c r="E245">
        <v>31</v>
      </c>
      <c r="F245">
        <v>5</v>
      </c>
      <c r="G245" t="s">
        <v>535</v>
      </c>
      <c r="H245" s="154">
        <v>0.83333333333333326</v>
      </c>
      <c r="I245" s="154">
        <v>0.91666666666666674</v>
      </c>
      <c r="J245" s="154">
        <v>0.75</v>
      </c>
      <c r="K245" s="154">
        <v>0.83333333333333326</v>
      </c>
      <c r="L245" s="154">
        <v>0.75</v>
      </c>
      <c r="M245" s="154" t="s">
        <v>424</v>
      </c>
      <c r="N245" s="154">
        <v>0.75</v>
      </c>
      <c r="O245" s="154">
        <v>0.75</v>
      </c>
      <c r="P245" s="154">
        <v>0.91666666666666674</v>
      </c>
      <c r="Q245" s="154">
        <v>0.91666666666666674</v>
      </c>
      <c r="R245" s="154">
        <v>0.83333333333333326</v>
      </c>
      <c r="S245" s="154">
        <v>0.83333333333333326</v>
      </c>
      <c r="T245" s="154">
        <v>0.875</v>
      </c>
      <c r="U245" s="154">
        <v>0.875</v>
      </c>
      <c r="V245" s="154">
        <v>0.875</v>
      </c>
      <c r="W245" s="154">
        <v>0.91666666666666674</v>
      </c>
      <c r="X245" s="154">
        <v>0.875</v>
      </c>
      <c r="Y245" s="154">
        <v>0.875</v>
      </c>
      <c r="Z245" s="154">
        <v>0.875</v>
      </c>
      <c r="AA245" s="154">
        <v>0.83333333333333326</v>
      </c>
      <c r="AB245" s="154">
        <v>0.83333333333333326</v>
      </c>
      <c r="AC245" s="154" t="s">
        <v>424</v>
      </c>
      <c r="AD245" s="154">
        <v>0.95833333333333326</v>
      </c>
      <c r="AE245" s="154">
        <v>0.83333333333333326</v>
      </c>
      <c r="AF245" s="154">
        <v>0.91666666666666674</v>
      </c>
      <c r="AG245" s="154">
        <v>0.875</v>
      </c>
      <c r="AH245" s="154">
        <v>1</v>
      </c>
      <c r="AI245" s="154">
        <v>0.83333333333333326</v>
      </c>
      <c r="AJ245" s="154">
        <v>1</v>
      </c>
      <c r="AK245" s="154">
        <v>0.83333333333333326</v>
      </c>
      <c r="AL245" s="154" t="s">
        <v>424</v>
      </c>
      <c r="AM245" cm="1">
        <f t="array" ref="AM245">SUM(_xlfn.LET(_xlpm.r,((IFERROR(H245:AL245-H244:AL244,0))*24)/10,IF(_xlpm.r&gt;1,1,_xlpm.r)))</f>
        <v>28</v>
      </c>
      <c r="AO245" cm="1">
        <f t="array" ref="AO245">SUM(IFERROR(MOD((H245:AL245-H244:AL244)*24,11),""))</f>
        <v>75.999999999999986</v>
      </c>
      <c r="AS245">
        <v>241</v>
      </c>
    </row>
    <row r="246" spans="1:46" hidden="1" x14ac:dyDescent="0.25">
      <c r="A246">
        <v>245</v>
      </c>
      <c r="B246">
        <v>2025</v>
      </c>
      <c r="C246">
        <v>6</v>
      </c>
      <c r="D246" t="s">
        <v>269</v>
      </c>
      <c r="E246">
        <v>31</v>
      </c>
      <c r="F246">
        <v>5</v>
      </c>
      <c r="G246" t="s">
        <v>536</v>
      </c>
      <c r="H246" s="154">
        <v>26697</v>
      </c>
      <c r="I246" s="154">
        <v>26713</v>
      </c>
      <c r="J246" s="154">
        <v>26758</v>
      </c>
      <c r="K246" s="154">
        <v>26776</v>
      </c>
      <c r="L246" s="154">
        <v>26801</v>
      </c>
      <c r="M246" s="154" t="s">
        <v>424</v>
      </c>
      <c r="N246" s="154">
        <v>27196</v>
      </c>
      <c r="O246" s="154">
        <v>27251</v>
      </c>
      <c r="P246" s="154">
        <v>27271</v>
      </c>
      <c r="Q246" s="154">
        <v>27309</v>
      </c>
      <c r="R246" s="154">
        <v>27340</v>
      </c>
      <c r="S246" s="154">
        <v>27359</v>
      </c>
      <c r="T246" s="154">
        <v>27420</v>
      </c>
      <c r="U246" s="154">
        <v>27466</v>
      </c>
      <c r="V246" s="154">
        <v>27504</v>
      </c>
      <c r="W246" s="154">
        <v>27585</v>
      </c>
      <c r="X246" s="154">
        <v>27613</v>
      </c>
      <c r="Y246" s="154">
        <v>27650</v>
      </c>
      <c r="Z246" s="154">
        <v>27686</v>
      </c>
      <c r="AA246" s="154">
        <v>27721</v>
      </c>
      <c r="AB246" s="154">
        <v>27744</v>
      </c>
      <c r="AC246" s="154" t="s">
        <v>424</v>
      </c>
      <c r="AD246" s="154">
        <v>27777</v>
      </c>
      <c r="AE246" s="154">
        <v>27827</v>
      </c>
      <c r="AF246" s="154">
        <v>27840</v>
      </c>
      <c r="AG246" s="154">
        <v>27882</v>
      </c>
      <c r="AH246" s="154">
        <v>27929</v>
      </c>
      <c r="AI246" s="154">
        <v>27955</v>
      </c>
      <c r="AJ246" s="154">
        <v>27986</v>
      </c>
      <c r="AK246" s="154">
        <v>28027</v>
      </c>
      <c r="AL246" s="154" t="s">
        <v>424</v>
      </c>
      <c r="AS246">
        <v>242</v>
      </c>
    </row>
    <row r="247" spans="1:46" hidden="1" x14ac:dyDescent="0.25">
      <c r="A247">
        <v>246</v>
      </c>
      <c r="B247">
        <v>2025</v>
      </c>
      <c r="C247">
        <v>6</v>
      </c>
      <c r="D247" t="s">
        <v>269</v>
      </c>
      <c r="E247">
        <v>31</v>
      </c>
      <c r="F247">
        <v>5</v>
      </c>
      <c r="G247" t="s">
        <v>537</v>
      </c>
      <c r="H247" s="154">
        <v>26710</v>
      </c>
      <c r="I247" s="154">
        <v>26754</v>
      </c>
      <c r="J247" s="154">
        <v>26776</v>
      </c>
      <c r="K247" s="154">
        <v>26801</v>
      </c>
      <c r="L247" s="154">
        <v>26895</v>
      </c>
      <c r="M247" s="154" t="s">
        <v>424</v>
      </c>
      <c r="N247" s="154">
        <v>27251</v>
      </c>
      <c r="O247" s="154">
        <v>27271</v>
      </c>
      <c r="P247" s="154">
        <v>27308</v>
      </c>
      <c r="Q247" s="154">
        <v>27333</v>
      </c>
      <c r="R247" s="154">
        <v>27359</v>
      </c>
      <c r="S247" s="154">
        <v>27420</v>
      </c>
      <c r="T247" s="154">
        <v>27466</v>
      </c>
      <c r="U247" s="154">
        <v>27504</v>
      </c>
      <c r="V247" s="154">
        <v>27545</v>
      </c>
      <c r="W247" s="154">
        <v>27613</v>
      </c>
      <c r="X247" s="154">
        <v>27650</v>
      </c>
      <c r="Y247" s="154">
        <v>27686</v>
      </c>
      <c r="Z247" s="154">
        <v>27721</v>
      </c>
      <c r="AA247" s="154">
        <v>27744</v>
      </c>
      <c r="AB247" s="154">
        <v>27777</v>
      </c>
      <c r="AC247" s="154" t="s">
        <v>424</v>
      </c>
      <c r="AD247" s="154">
        <v>27827</v>
      </c>
      <c r="AE247" s="154">
        <v>27840</v>
      </c>
      <c r="AF247" s="154">
        <v>27882</v>
      </c>
      <c r="AG247" s="154">
        <v>27929</v>
      </c>
      <c r="AH247" s="154">
        <v>27955</v>
      </c>
      <c r="AI247" s="154">
        <v>27986</v>
      </c>
      <c r="AJ247" s="154">
        <v>28027</v>
      </c>
      <c r="AK247" s="154">
        <v>28054</v>
      </c>
      <c r="AL247" s="154" t="s">
        <v>424</v>
      </c>
      <c r="AP247" cm="1">
        <f t="array" ref="AP247">IF(AQ247="","",SUM(IFERROR(H247:AL247-H246:AL246,0))*AQ247/100)</f>
        <v>150.15</v>
      </c>
      <c r="AQ247">
        <f>_xlfn.XLOOKUP(D247,log_prices!M:M,log_prices!L:L,,0)</f>
        <v>15</v>
      </c>
      <c r="AS247">
        <v>243</v>
      </c>
      <c r="AT247" cm="1">
        <f t="array" ref="AT247">IF(AQ247="","",SUM(IFERROR(H247:AL247-H246:AL246,0)))</f>
        <v>1001</v>
      </c>
    </row>
    <row r="248" spans="1:46" hidden="1" x14ac:dyDescent="0.25">
      <c r="A248">
        <v>247</v>
      </c>
      <c r="B248">
        <v>2025</v>
      </c>
      <c r="C248">
        <v>6</v>
      </c>
      <c r="D248" t="s">
        <v>266</v>
      </c>
      <c r="E248">
        <v>31</v>
      </c>
      <c r="F248">
        <v>5</v>
      </c>
      <c r="G248" t="s">
        <v>534</v>
      </c>
      <c r="H248" s="154" t="s">
        <v>486</v>
      </c>
      <c r="I248" s="154" t="s">
        <v>486</v>
      </c>
      <c r="J248" s="154" t="s">
        <v>486</v>
      </c>
      <c r="K248" s="154" t="s">
        <v>486</v>
      </c>
      <c r="L248" s="154" t="s">
        <v>486</v>
      </c>
      <c r="M248" s="154" t="s">
        <v>486</v>
      </c>
      <c r="N248" s="154" t="s">
        <v>424</v>
      </c>
      <c r="O248" s="154" t="s">
        <v>486</v>
      </c>
      <c r="P248" s="154" t="s">
        <v>486</v>
      </c>
      <c r="Q248" s="154" t="s">
        <v>486</v>
      </c>
      <c r="R248" s="154" t="s">
        <v>486</v>
      </c>
      <c r="S248" s="154" t="s">
        <v>486</v>
      </c>
      <c r="T248" s="154" t="s">
        <v>486</v>
      </c>
      <c r="U248" s="154" t="s">
        <v>486</v>
      </c>
      <c r="V248" s="154" t="s">
        <v>486</v>
      </c>
      <c r="W248" s="154" t="s">
        <v>486</v>
      </c>
      <c r="X248" s="154" t="s">
        <v>486</v>
      </c>
      <c r="Y248" s="154" t="s">
        <v>486</v>
      </c>
      <c r="Z248" s="154" t="s">
        <v>486</v>
      </c>
      <c r="AA248" s="154" t="s">
        <v>486</v>
      </c>
      <c r="AB248" s="154" t="s">
        <v>486</v>
      </c>
      <c r="AC248" s="154" t="s">
        <v>486</v>
      </c>
      <c r="AD248" s="154" t="s">
        <v>486</v>
      </c>
      <c r="AE248" s="154" t="s">
        <v>486</v>
      </c>
      <c r="AF248" s="154" t="s">
        <v>486</v>
      </c>
      <c r="AG248" s="154" t="s">
        <v>486</v>
      </c>
      <c r="AH248" s="154" t="s">
        <v>486</v>
      </c>
      <c r="AI248" s="154" t="s">
        <v>486</v>
      </c>
      <c r="AJ248" s="154" t="s">
        <v>486</v>
      </c>
      <c r="AK248" s="154" t="s">
        <v>486</v>
      </c>
      <c r="AL248" s="154" t="s">
        <v>424</v>
      </c>
      <c r="AS248">
        <v>244</v>
      </c>
    </row>
    <row r="249" spans="1:46" hidden="1" x14ac:dyDescent="0.25">
      <c r="A249">
        <v>248</v>
      </c>
      <c r="B249">
        <v>2025</v>
      </c>
      <c r="C249">
        <v>6</v>
      </c>
      <c r="D249" t="s">
        <v>266</v>
      </c>
      <c r="E249">
        <v>31</v>
      </c>
      <c r="F249">
        <v>5</v>
      </c>
      <c r="G249" t="s">
        <v>535</v>
      </c>
      <c r="H249" s="154">
        <v>0.79166666666666674</v>
      </c>
      <c r="I249" s="154">
        <v>0.79166666666666674</v>
      </c>
      <c r="J249" s="154">
        <v>0.79166666666666674</v>
      </c>
      <c r="K249" s="154">
        <v>0.83333333333333326</v>
      </c>
      <c r="L249" s="154">
        <v>0.79166666666666674</v>
      </c>
      <c r="M249" s="154">
        <v>1.125</v>
      </c>
      <c r="N249" s="154" t="s">
        <v>424</v>
      </c>
      <c r="O249" s="154">
        <v>1</v>
      </c>
      <c r="P249" s="154">
        <v>0.83333333333333326</v>
      </c>
      <c r="Q249" s="154">
        <v>0.79166666666666674</v>
      </c>
      <c r="R249" s="154">
        <v>0.79166666666666674</v>
      </c>
      <c r="S249" s="154">
        <v>0.79166666666666674</v>
      </c>
      <c r="T249" s="154">
        <v>0.79166666666666674</v>
      </c>
      <c r="U249" s="154">
        <v>0.79166666666666674</v>
      </c>
      <c r="V249" s="154">
        <v>0.79166666666666674</v>
      </c>
      <c r="W249" s="154">
        <v>0.79166666666666674</v>
      </c>
      <c r="X249" s="154">
        <v>0.79166666666666674</v>
      </c>
      <c r="Y249" s="154">
        <v>0.79166666666666674</v>
      </c>
      <c r="Z249" s="154">
        <v>0.79166666666666674</v>
      </c>
      <c r="AA249" s="154">
        <v>0.83333333333333326</v>
      </c>
      <c r="AB249" s="154">
        <v>0.83333333333333326</v>
      </c>
      <c r="AC249" s="154">
        <v>0.79166666666666674</v>
      </c>
      <c r="AD249" s="154">
        <v>0.79166666666666674</v>
      </c>
      <c r="AE249" s="154">
        <v>0.79166666666666674</v>
      </c>
      <c r="AF249" s="154">
        <v>0.79166666666666674</v>
      </c>
      <c r="AG249" s="154">
        <v>0.79166666666666674</v>
      </c>
      <c r="AH249" s="154">
        <v>0.83333333333333326</v>
      </c>
      <c r="AI249" s="154">
        <v>0.79166666666666674</v>
      </c>
      <c r="AJ249" s="154">
        <v>0.79166666666666674</v>
      </c>
      <c r="AK249" s="154">
        <v>0.79166666666666674</v>
      </c>
      <c r="AL249" s="154" t="s">
        <v>424</v>
      </c>
      <c r="AM249" cm="1">
        <f t="array" ref="AM249">SUM(_xlfn.LET(_xlpm.r,((IFERROR(H249:AL249-H248:AL248,0))*24)/10,IF(_xlpm.r&gt;1,1,_xlpm.r)))</f>
        <v>29</v>
      </c>
      <c r="AO249" cm="1">
        <f t="array" ref="AO249">SUM(IFERROR(MOD((H249:AL249-H248:AL248)*24,11),""))+11</f>
        <v>104.99999999999999</v>
      </c>
      <c r="AR249" s="163" t="s">
        <v>439</v>
      </c>
      <c r="AS249">
        <v>245</v>
      </c>
    </row>
    <row r="250" spans="1:46" hidden="1" x14ac:dyDescent="0.25">
      <c r="A250">
        <v>249</v>
      </c>
      <c r="B250">
        <v>2025</v>
      </c>
      <c r="C250">
        <v>6</v>
      </c>
      <c r="D250" t="s">
        <v>266</v>
      </c>
      <c r="E250">
        <v>31</v>
      </c>
      <c r="F250">
        <v>5</v>
      </c>
      <c r="G250" t="s">
        <v>536</v>
      </c>
      <c r="H250" s="154">
        <v>11497</v>
      </c>
      <c r="I250" s="154">
        <v>11780</v>
      </c>
      <c r="J250" s="154">
        <v>12095</v>
      </c>
      <c r="K250" s="154">
        <v>12358</v>
      </c>
      <c r="L250" s="154">
        <v>12637</v>
      </c>
      <c r="M250" s="154">
        <v>12895</v>
      </c>
      <c r="N250" s="154" t="s">
        <v>424</v>
      </c>
      <c r="O250" s="154">
        <v>13134</v>
      </c>
      <c r="P250" s="154">
        <v>13428</v>
      </c>
      <c r="Q250" s="154">
        <v>13692</v>
      </c>
      <c r="R250" s="154">
        <v>13935</v>
      </c>
      <c r="S250" s="154">
        <v>14186</v>
      </c>
      <c r="T250" s="154">
        <v>14431</v>
      </c>
      <c r="U250" s="154">
        <v>14658</v>
      </c>
      <c r="V250" s="154">
        <v>14907</v>
      </c>
      <c r="W250" s="154">
        <v>15168</v>
      </c>
      <c r="X250" s="154">
        <v>15416</v>
      </c>
      <c r="Y250" s="154">
        <v>15653</v>
      </c>
      <c r="Z250" s="154">
        <v>15904</v>
      </c>
      <c r="AA250" s="154">
        <v>16143</v>
      </c>
      <c r="AB250" s="154">
        <v>16382</v>
      </c>
      <c r="AC250" s="154">
        <v>16613</v>
      </c>
      <c r="AD250" s="154">
        <v>16857</v>
      </c>
      <c r="AE250" s="154">
        <v>17086</v>
      </c>
      <c r="AF250" s="154">
        <v>17280</v>
      </c>
      <c r="AG250" s="154">
        <v>17482</v>
      </c>
      <c r="AH250" s="154">
        <v>84309</v>
      </c>
      <c r="AI250" s="154">
        <v>84501</v>
      </c>
      <c r="AJ250" s="154">
        <v>84677</v>
      </c>
      <c r="AK250" s="154">
        <v>84870</v>
      </c>
      <c r="AL250" s="154" t="s">
        <v>424</v>
      </c>
      <c r="AS250">
        <v>246</v>
      </c>
    </row>
    <row r="251" spans="1:46" hidden="1" x14ac:dyDescent="0.25">
      <c r="A251">
        <v>250</v>
      </c>
      <c r="B251">
        <v>2025</v>
      </c>
      <c r="C251">
        <v>6</v>
      </c>
      <c r="D251" t="s">
        <v>266</v>
      </c>
      <c r="E251">
        <v>31</v>
      </c>
      <c r="F251">
        <v>5</v>
      </c>
      <c r="G251" t="s">
        <v>537</v>
      </c>
      <c r="H251" s="154">
        <v>11780</v>
      </c>
      <c r="I251" s="154">
        <v>12095</v>
      </c>
      <c r="J251" s="154">
        <v>12358</v>
      </c>
      <c r="K251" s="154">
        <v>12637</v>
      </c>
      <c r="L251" s="154">
        <v>12895</v>
      </c>
      <c r="M251" s="154">
        <v>13134</v>
      </c>
      <c r="N251" s="154" t="s">
        <v>424</v>
      </c>
      <c r="O251" s="154">
        <v>13428</v>
      </c>
      <c r="P251" s="154">
        <v>13692</v>
      </c>
      <c r="Q251" s="154">
        <v>13935</v>
      </c>
      <c r="R251" s="154">
        <v>14186</v>
      </c>
      <c r="S251" s="154">
        <v>14431</v>
      </c>
      <c r="T251" s="154">
        <v>14685</v>
      </c>
      <c r="U251" s="154">
        <v>14907</v>
      </c>
      <c r="V251" s="154">
        <v>15168</v>
      </c>
      <c r="W251" s="154">
        <v>15416</v>
      </c>
      <c r="X251" s="154">
        <v>15653</v>
      </c>
      <c r="Y251" s="154">
        <v>15904</v>
      </c>
      <c r="Z251" s="154">
        <v>16143</v>
      </c>
      <c r="AA251" s="154">
        <v>16382</v>
      </c>
      <c r="AB251" s="154">
        <v>16613</v>
      </c>
      <c r="AC251" s="154">
        <v>16857</v>
      </c>
      <c r="AD251" s="154">
        <v>17086</v>
      </c>
      <c r="AE251" s="154">
        <v>17280</v>
      </c>
      <c r="AF251" s="154">
        <v>17482</v>
      </c>
      <c r="AG251" s="154">
        <v>17695</v>
      </c>
      <c r="AH251" s="154">
        <v>84501</v>
      </c>
      <c r="AI251" s="154">
        <v>84677</v>
      </c>
      <c r="AJ251" s="154">
        <v>84870</v>
      </c>
      <c r="AK251" s="154">
        <v>85049</v>
      </c>
      <c r="AL251" s="154" t="s">
        <v>424</v>
      </c>
      <c r="AP251" cm="1">
        <f t="array" ref="AP251">IF(AQ251="","",SUM(IFERROR(H251:AL251-H250:AL250,0))*AQ251/100)</f>
        <v>1044.7499999999998</v>
      </c>
      <c r="AQ251">
        <f>_xlfn.XLOOKUP(D251,log_prices!M:M,log_prices!L:L,,0)</f>
        <v>14.999999999999998</v>
      </c>
      <c r="AS251">
        <v>247</v>
      </c>
      <c r="AT251" cm="1">
        <f t="array" ref="AT251">IF(AQ251="","",SUM(IFERROR(H251:AL251-H250:AL250,0)))</f>
        <v>6965</v>
      </c>
    </row>
    <row r="252" spans="1:46" hidden="1" x14ac:dyDescent="0.25">
      <c r="A252">
        <v>251</v>
      </c>
      <c r="B252">
        <v>2025</v>
      </c>
      <c r="C252">
        <v>6</v>
      </c>
      <c r="D252" t="s">
        <v>254</v>
      </c>
      <c r="E252">
        <v>31</v>
      </c>
      <c r="F252">
        <v>5</v>
      </c>
      <c r="G252" t="s">
        <v>534</v>
      </c>
      <c r="H252" s="154" t="s">
        <v>479</v>
      </c>
      <c r="I252" s="154" t="s">
        <v>479</v>
      </c>
      <c r="J252" s="154" t="s">
        <v>479</v>
      </c>
      <c r="K252" s="154" t="s">
        <v>479</v>
      </c>
      <c r="L252" s="154" t="s">
        <v>479</v>
      </c>
      <c r="M252" s="154" t="s">
        <v>424</v>
      </c>
      <c r="N252" s="154" t="s">
        <v>424</v>
      </c>
      <c r="O252" s="154" t="s">
        <v>479</v>
      </c>
      <c r="P252" s="154" t="s">
        <v>479</v>
      </c>
      <c r="Q252" s="154" t="s">
        <v>479</v>
      </c>
      <c r="R252" s="154" t="s">
        <v>479</v>
      </c>
      <c r="S252" s="154" t="s">
        <v>479</v>
      </c>
      <c r="T252" s="154" t="s">
        <v>479</v>
      </c>
      <c r="U252" s="154" t="s">
        <v>479</v>
      </c>
      <c r="V252" s="154" t="s">
        <v>479</v>
      </c>
      <c r="W252" s="154" t="s">
        <v>479</v>
      </c>
      <c r="X252" s="154" t="s">
        <v>479</v>
      </c>
      <c r="Y252" s="154" t="s">
        <v>479</v>
      </c>
      <c r="Z252" s="154" t="s">
        <v>481</v>
      </c>
      <c r="AA252" s="154" t="s">
        <v>481</v>
      </c>
      <c r="AB252" s="154" t="s">
        <v>481</v>
      </c>
      <c r="AC252" s="154" t="s">
        <v>481</v>
      </c>
      <c r="AD252" s="154" t="s">
        <v>481</v>
      </c>
      <c r="AE252" s="154" t="s">
        <v>481</v>
      </c>
      <c r="AF252" s="154" t="s">
        <v>481</v>
      </c>
      <c r="AG252" s="154" t="s">
        <v>481</v>
      </c>
      <c r="AH252" s="154" t="s">
        <v>481</v>
      </c>
      <c r="AI252" s="154" t="s">
        <v>481</v>
      </c>
      <c r="AJ252" s="154" t="s">
        <v>481</v>
      </c>
      <c r="AK252" s="154" t="s">
        <v>481</v>
      </c>
      <c r="AL252" s="154" t="s">
        <v>424</v>
      </c>
      <c r="AS252">
        <v>250</v>
      </c>
    </row>
    <row r="253" spans="1:46" hidden="1" x14ac:dyDescent="0.25">
      <c r="A253">
        <v>252</v>
      </c>
      <c r="B253">
        <v>2025</v>
      </c>
      <c r="C253">
        <v>6</v>
      </c>
      <c r="D253" t="s">
        <v>254</v>
      </c>
      <c r="E253">
        <v>31</v>
      </c>
      <c r="F253">
        <v>5</v>
      </c>
      <c r="G253" t="s">
        <v>535</v>
      </c>
      <c r="H253" s="154">
        <v>0.75</v>
      </c>
      <c r="I253" s="154">
        <v>0.75</v>
      </c>
      <c r="J253" s="154">
        <v>0.75</v>
      </c>
      <c r="K253" s="154">
        <v>0.79166666666666674</v>
      </c>
      <c r="L253" s="154">
        <v>0.75</v>
      </c>
      <c r="M253" s="154" t="s">
        <v>424</v>
      </c>
      <c r="N253" s="154" t="s">
        <v>424</v>
      </c>
      <c r="O253" s="154">
        <v>0.75</v>
      </c>
      <c r="P253" s="154">
        <v>0.75</v>
      </c>
      <c r="Q253" s="154">
        <v>0.91666666666666674</v>
      </c>
      <c r="R253" s="154">
        <v>0.83333333333333326</v>
      </c>
      <c r="S253" s="154">
        <v>0.75</v>
      </c>
      <c r="T253" s="154">
        <v>0.75</v>
      </c>
      <c r="U253" s="154">
        <v>0.75</v>
      </c>
      <c r="V253" s="154">
        <v>0.875</v>
      </c>
      <c r="W253" s="154">
        <v>0.75</v>
      </c>
      <c r="X253" s="154">
        <v>0.75</v>
      </c>
      <c r="Y253" s="154">
        <v>0.79166666666666674</v>
      </c>
      <c r="Z253" s="154">
        <v>0.8125</v>
      </c>
      <c r="AA253" s="154">
        <v>0.8125</v>
      </c>
      <c r="AB253" s="154">
        <v>0.8125</v>
      </c>
      <c r="AC253" s="154">
        <v>0.8125</v>
      </c>
      <c r="AD253" s="154">
        <v>0.8125</v>
      </c>
      <c r="AE253" s="154">
        <v>0.8125</v>
      </c>
      <c r="AF253" s="154">
        <v>0.8125</v>
      </c>
      <c r="AG253" s="154">
        <v>0.8125</v>
      </c>
      <c r="AH253" s="154">
        <v>0.8125</v>
      </c>
      <c r="AI253" s="154">
        <v>0.8125</v>
      </c>
      <c r="AJ253" s="154">
        <v>0.8125</v>
      </c>
      <c r="AK253" s="154">
        <v>0.72916666666666663</v>
      </c>
      <c r="AL253" s="154" t="s">
        <v>424</v>
      </c>
      <c r="AM253" cm="1">
        <f t="array" ref="AM253">SUM(_xlfn.LET(_xlpm.r,((IFERROR(H253:AL253-H252:AL252,0))*24)/10,IF(_xlpm.r&gt;1,1,_xlpm.r)))</f>
        <v>28</v>
      </c>
      <c r="AO253" cm="1">
        <f t="array" ref="AO253">SUM(IFERROR(MOD((H253:AL253-H252:AL252)*24,11),""))</f>
        <v>44.999999999999993</v>
      </c>
      <c r="AS253">
        <v>251</v>
      </c>
    </row>
    <row r="254" spans="1:46" hidden="1" x14ac:dyDescent="0.25">
      <c r="A254">
        <v>253</v>
      </c>
      <c r="B254">
        <v>2025</v>
      </c>
      <c r="C254">
        <v>6</v>
      </c>
      <c r="D254" t="s">
        <v>254</v>
      </c>
      <c r="E254">
        <v>31</v>
      </c>
      <c r="F254">
        <v>5</v>
      </c>
      <c r="G254" t="s">
        <v>536</v>
      </c>
      <c r="H254" s="154">
        <v>769836</v>
      </c>
      <c r="I254" s="154">
        <v>770031</v>
      </c>
      <c r="J254" s="154">
        <v>770073</v>
      </c>
      <c r="K254" s="154">
        <v>770145</v>
      </c>
      <c r="L254" s="154">
        <v>770185</v>
      </c>
      <c r="M254" s="154" t="s">
        <v>424</v>
      </c>
      <c r="N254" s="154" t="s">
        <v>424</v>
      </c>
      <c r="O254" s="154">
        <v>770880</v>
      </c>
      <c r="P254" s="154">
        <v>771037</v>
      </c>
      <c r="Q254" s="154">
        <v>771125</v>
      </c>
      <c r="R254" s="154">
        <v>771205</v>
      </c>
      <c r="S254" s="154">
        <v>771261</v>
      </c>
      <c r="T254" s="154">
        <v>771376</v>
      </c>
      <c r="U254" s="154">
        <v>771426</v>
      </c>
      <c r="V254" s="154">
        <v>771485</v>
      </c>
      <c r="W254" s="154">
        <v>771582</v>
      </c>
      <c r="X254" s="154">
        <v>771686</v>
      </c>
      <c r="Y254" s="154">
        <v>771917</v>
      </c>
      <c r="Z254" s="154">
        <v>772093</v>
      </c>
      <c r="AA254" s="154">
        <v>772240</v>
      </c>
      <c r="AB254" s="154">
        <v>772458</v>
      </c>
      <c r="AC254" s="154">
        <v>772721</v>
      </c>
      <c r="AD254" s="154">
        <v>772917</v>
      </c>
      <c r="AE254" s="154">
        <v>773150</v>
      </c>
      <c r="AF254" s="154">
        <v>773363</v>
      </c>
      <c r="AG254" s="154">
        <v>773598</v>
      </c>
      <c r="AH254" s="154">
        <v>773888</v>
      </c>
      <c r="AI254" s="154">
        <v>774074</v>
      </c>
      <c r="AJ254" s="154">
        <v>774562</v>
      </c>
      <c r="AK254" s="154">
        <v>774742</v>
      </c>
      <c r="AL254" s="154" t="s">
        <v>424</v>
      </c>
      <c r="AS254">
        <v>252</v>
      </c>
    </row>
    <row r="255" spans="1:46" hidden="1" x14ac:dyDescent="0.25">
      <c r="A255">
        <v>254</v>
      </c>
      <c r="B255">
        <v>2025</v>
      </c>
      <c r="C255">
        <v>6</v>
      </c>
      <c r="D255" t="s">
        <v>254</v>
      </c>
      <c r="E255">
        <v>31</v>
      </c>
      <c r="F255">
        <v>5</v>
      </c>
      <c r="G255" t="s">
        <v>537</v>
      </c>
      <c r="H255" s="154">
        <v>770031</v>
      </c>
      <c r="I255" s="154">
        <v>770073</v>
      </c>
      <c r="J255" s="154">
        <v>770144</v>
      </c>
      <c r="K255" s="154">
        <v>770185</v>
      </c>
      <c r="L255" s="154">
        <v>770284</v>
      </c>
      <c r="M255" s="154" t="s">
        <v>424</v>
      </c>
      <c r="N255" s="154" t="s">
        <v>424</v>
      </c>
      <c r="O255" s="154">
        <v>770916</v>
      </c>
      <c r="P255" s="154">
        <v>771125</v>
      </c>
      <c r="Q255" s="154">
        <v>771205</v>
      </c>
      <c r="R255" s="154">
        <v>771261</v>
      </c>
      <c r="S255" s="154">
        <v>771376</v>
      </c>
      <c r="T255" s="154">
        <v>771426</v>
      </c>
      <c r="U255" s="154">
        <v>771485</v>
      </c>
      <c r="V255" s="154">
        <v>771582</v>
      </c>
      <c r="W255" s="154">
        <v>771686</v>
      </c>
      <c r="X255" s="154">
        <v>771817</v>
      </c>
      <c r="Y255" s="154">
        <v>772093</v>
      </c>
      <c r="Z255" s="154">
        <v>772240</v>
      </c>
      <c r="AA255" s="154">
        <v>772418</v>
      </c>
      <c r="AB255" s="154">
        <v>772651</v>
      </c>
      <c r="AC255" s="154">
        <v>772917</v>
      </c>
      <c r="AD255" s="154">
        <v>773104</v>
      </c>
      <c r="AE255" s="154">
        <v>773333</v>
      </c>
      <c r="AF255" s="154">
        <v>773558</v>
      </c>
      <c r="AG255" s="154">
        <v>773787</v>
      </c>
      <c r="AH255" s="154">
        <v>774074</v>
      </c>
      <c r="AI255" s="154">
        <v>774262</v>
      </c>
      <c r="AJ255" s="154">
        <v>774742</v>
      </c>
      <c r="AK255" s="154">
        <v>774895</v>
      </c>
      <c r="AL255" s="154" t="s">
        <v>424</v>
      </c>
      <c r="AP255" cm="1">
        <f t="array" ref="AP255">IF(AQ255="","",SUM(IFERROR(H255:AL255-H254:AL254,0))*AQ255/100)*2</f>
        <v>1084.2</v>
      </c>
      <c r="AQ255">
        <f>_xlfn.XLOOKUP(D255,log_prices!M:M,log_prices!L:L,,0)</f>
        <v>15</v>
      </c>
      <c r="AS255">
        <v>253</v>
      </c>
      <c r="AT255" cm="1">
        <f t="array" ref="AT255">IF(AQ255="","",SUM(IFERROR(H255:AL255-H254:AL254,0)))</f>
        <v>3614</v>
      </c>
    </row>
    <row r="256" spans="1:46" hidden="1" x14ac:dyDescent="0.25">
      <c r="A256">
        <v>255</v>
      </c>
      <c r="B256">
        <v>2025</v>
      </c>
      <c r="C256">
        <v>6</v>
      </c>
      <c r="D256" t="s">
        <v>265</v>
      </c>
      <c r="E256">
        <v>31</v>
      </c>
      <c r="F256">
        <v>5</v>
      </c>
      <c r="G256" t="s">
        <v>534</v>
      </c>
      <c r="H256" s="154" t="s">
        <v>479</v>
      </c>
      <c r="I256" s="154" t="s">
        <v>479</v>
      </c>
      <c r="J256" s="154" t="s">
        <v>479</v>
      </c>
      <c r="K256" s="154" t="s">
        <v>479</v>
      </c>
      <c r="L256" s="154" t="s">
        <v>479</v>
      </c>
      <c r="M256" s="154" t="s">
        <v>424</v>
      </c>
      <c r="N256" s="154" t="s">
        <v>424</v>
      </c>
      <c r="O256" s="154" t="s">
        <v>479</v>
      </c>
      <c r="P256" s="154" t="s">
        <v>479</v>
      </c>
      <c r="Q256" s="154" t="s">
        <v>479</v>
      </c>
      <c r="R256" s="154" t="s">
        <v>479</v>
      </c>
      <c r="S256" s="154" t="s">
        <v>479</v>
      </c>
      <c r="T256" s="154" t="s">
        <v>479</v>
      </c>
      <c r="U256" s="154" t="s">
        <v>479</v>
      </c>
      <c r="V256" s="154" t="s">
        <v>479</v>
      </c>
      <c r="W256" s="154" t="s">
        <v>479</v>
      </c>
      <c r="X256" s="154" t="s">
        <v>479</v>
      </c>
      <c r="Y256" s="154" t="s">
        <v>479</v>
      </c>
      <c r="Z256" s="154" t="s">
        <v>479</v>
      </c>
      <c r="AA256" s="154" t="s">
        <v>479</v>
      </c>
      <c r="AB256" s="154" t="s">
        <v>479</v>
      </c>
      <c r="AC256" s="154" t="s">
        <v>424</v>
      </c>
      <c r="AD256" s="154" t="s">
        <v>479</v>
      </c>
      <c r="AE256" s="154" t="s">
        <v>479</v>
      </c>
      <c r="AF256" s="154" t="s">
        <v>479</v>
      </c>
      <c r="AG256" s="154" t="s">
        <v>479</v>
      </c>
      <c r="AH256" s="154" t="s">
        <v>479</v>
      </c>
      <c r="AI256" s="154" t="s">
        <v>479</v>
      </c>
      <c r="AJ256" s="154" t="s">
        <v>479</v>
      </c>
      <c r="AK256" s="154" t="s">
        <v>479</v>
      </c>
      <c r="AL256" s="154" t="s">
        <v>424</v>
      </c>
      <c r="AS256">
        <v>254</v>
      </c>
    </row>
    <row r="257" spans="1:46" hidden="1" x14ac:dyDescent="0.25">
      <c r="A257">
        <v>256</v>
      </c>
      <c r="B257">
        <v>2025</v>
      </c>
      <c r="C257">
        <v>6</v>
      </c>
      <c r="D257" t="s">
        <v>265</v>
      </c>
      <c r="E257">
        <v>31</v>
      </c>
      <c r="F257">
        <v>5</v>
      </c>
      <c r="G257" t="s">
        <v>535</v>
      </c>
      <c r="H257" s="154" t="s">
        <v>492</v>
      </c>
      <c r="I257" s="154" t="s">
        <v>492</v>
      </c>
      <c r="J257" s="154" t="s">
        <v>480</v>
      </c>
      <c r="K257" s="154" t="s">
        <v>492</v>
      </c>
      <c r="L257" s="154" t="s">
        <v>480</v>
      </c>
      <c r="M257" s="154" t="s">
        <v>424</v>
      </c>
      <c r="N257" s="154" t="s">
        <v>424</v>
      </c>
      <c r="O257" s="154" t="s">
        <v>492</v>
      </c>
      <c r="P257" s="154" t="s">
        <v>493</v>
      </c>
      <c r="Q257" s="154" t="s">
        <v>480</v>
      </c>
      <c r="R257" s="154" t="s">
        <v>494</v>
      </c>
      <c r="S257" s="154" t="s">
        <v>492</v>
      </c>
      <c r="T257" s="154" t="s">
        <v>492</v>
      </c>
      <c r="U257" s="154" t="s">
        <v>492</v>
      </c>
      <c r="V257" s="154" t="s">
        <v>493</v>
      </c>
      <c r="W257" s="154" t="s">
        <v>480</v>
      </c>
      <c r="X257" s="154" t="s">
        <v>494</v>
      </c>
      <c r="Y257" s="154" t="s">
        <v>492</v>
      </c>
      <c r="Z257" s="154" t="s">
        <v>492</v>
      </c>
      <c r="AA257" s="154" t="s">
        <v>493</v>
      </c>
      <c r="AB257" s="154" t="s">
        <v>480</v>
      </c>
      <c r="AC257" s="154" t="s">
        <v>424</v>
      </c>
      <c r="AD257" s="154" t="s">
        <v>493</v>
      </c>
      <c r="AE257" s="154" t="s">
        <v>494</v>
      </c>
      <c r="AF257" s="154" t="s">
        <v>492</v>
      </c>
      <c r="AG257" s="154" t="s">
        <v>494</v>
      </c>
      <c r="AH257" s="154" t="s">
        <v>492</v>
      </c>
      <c r="AI257" s="154" t="s">
        <v>492</v>
      </c>
      <c r="AJ257" s="154" t="s">
        <v>493</v>
      </c>
      <c r="AK257" s="154" t="s">
        <v>493</v>
      </c>
      <c r="AL257" s="154" t="s">
        <v>424</v>
      </c>
      <c r="AM257" cm="1">
        <f t="array" ref="AM257">SUM(_xlfn.LET(_xlpm.r,((IFERROR(H257:AL257-H256:AL256,0))*24)/10,IF(_xlpm.r&gt;1,1,_xlpm.r)))</f>
        <v>27</v>
      </c>
      <c r="AO257" cm="1">
        <f t="array" ref="AO257">SUM(IFERROR(MOD((H257:AL257-H256:AL256)*24,11),""))</f>
        <v>35.999999999999986</v>
      </c>
      <c r="AS257">
        <v>255</v>
      </c>
    </row>
    <row r="258" spans="1:46" hidden="1" x14ac:dyDescent="0.25">
      <c r="A258">
        <v>257</v>
      </c>
      <c r="B258">
        <v>2025</v>
      </c>
      <c r="C258">
        <v>6</v>
      </c>
      <c r="D258" t="s">
        <v>265</v>
      </c>
      <c r="E258">
        <v>31</v>
      </c>
      <c r="F258">
        <v>5</v>
      </c>
      <c r="G258" t="s">
        <v>536</v>
      </c>
      <c r="H258" s="154">
        <v>811432</v>
      </c>
      <c r="I258" s="154">
        <v>811504</v>
      </c>
      <c r="J258" s="154">
        <v>811588</v>
      </c>
      <c r="K258" s="154">
        <v>811675</v>
      </c>
      <c r="L258" s="154">
        <v>811894</v>
      </c>
      <c r="M258" s="154" t="s">
        <v>424</v>
      </c>
      <c r="N258" s="154" t="s">
        <v>424</v>
      </c>
      <c r="O258" s="154">
        <v>812029</v>
      </c>
      <c r="P258" s="154">
        <v>812094</v>
      </c>
      <c r="Q258" s="154">
        <v>812165</v>
      </c>
      <c r="R258" s="154">
        <v>812248</v>
      </c>
      <c r="S258" s="154">
        <v>812317</v>
      </c>
      <c r="T258" s="154">
        <v>812395</v>
      </c>
      <c r="U258" s="154">
        <v>812552</v>
      </c>
      <c r="V258" s="154">
        <v>812633</v>
      </c>
      <c r="W258" s="154">
        <v>812678</v>
      </c>
      <c r="X258" s="154">
        <v>812729</v>
      </c>
      <c r="Y258" s="154">
        <v>812864</v>
      </c>
      <c r="Z258" s="154">
        <v>812923</v>
      </c>
      <c r="AA258" s="154">
        <v>812983</v>
      </c>
      <c r="AB258" s="154">
        <v>813035</v>
      </c>
      <c r="AC258" s="154" t="s">
        <v>424</v>
      </c>
      <c r="AD258" s="154">
        <v>813221</v>
      </c>
      <c r="AE258" s="154">
        <v>813305</v>
      </c>
      <c r="AF258" s="154">
        <v>813398</v>
      </c>
      <c r="AG258" s="154">
        <v>813476</v>
      </c>
      <c r="AH258" s="154">
        <v>813551</v>
      </c>
      <c r="AI258" s="154">
        <v>813667</v>
      </c>
      <c r="AJ258" s="154">
        <v>813754</v>
      </c>
      <c r="AK258" s="154">
        <v>813885</v>
      </c>
      <c r="AL258" s="154" t="s">
        <v>424</v>
      </c>
      <c r="AS258">
        <v>256</v>
      </c>
    </row>
    <row r="259" spans="1:46" hidden="1" x14ac:dyDescent="0.25">
      <c r="A259">
        <v>258</v>
      </c>
      <c r="B259">
        <v>2025</v>
      </c>
      <c r="C259">
        <v>6</v>
      </c>
      <c r="D259" t="s">
        <v>265</v>
      </c>
      <c r="E259">
        <v>31</v>
      </c>
      <c r="F259">
        <v>5</v>
      </c>
      <c r="G259" t="s">
        <v>537</v>
      </c>
      <c r="H259" s="154">
        <v>811504</v>
      </c>
      <c r="I259" s="154">
        <v>811588</v>
      </c>
      <c r="J259" s="154">
        <v>811675</v>
      </c>
      <c r="K259" s="154">
        <v>811894</v>
      </c>
      <c r="L259" s="154">
        <v>811982</v>
      </c>
      <c r="M259" s="154" t="s">
        <v>424</v>
      </c>
      <c r="N259" s="154" t="s">
        <v>424</v>
      </c>
      <c r="O259" s="154">
        <v>812094</v>
      </c>
      <c r="P259" s="154">
        <v>812165</v>
      </c>
      <c r="Q259" s="154">
        <v>812248</v>
      </c>
      <c r="R259" s="154">
        <v>812317</v>
      </c>
      <c r="S259" s="154">
        <v>812395</v>
      </c>
      <c r="T259" s="154">
        <v>812552</v>
      </c>
      <c r="U259" s="154">
        <v>812633</v>
      </c>
      <c r="V259" s="154">
        <v>812678</v>
      </c>
      <c r="W259" s="154">
        <v>812729</v>
      </c>
      <c r="X259" s="154">
        <v>812864</v>
      </c>
      <c r="Y259" s="154">
        <v>812923</v>
      </c>
      <c r="Z259" s="154">
        <v>812983</v>
      </c>
      <c r="AA259" s="154">
        <v>813035</v>
      </c>
      <c r="AB259" s="154">
        <v>813126</v>
      </c>
      <c r="AC259" s="154" t="s">
        <v>424</v>
      </c>
      <c r="AD259" s="154">
        <v>813305</v>
      </c>
      <c r="AE259" s="154">
        <v>813398</v>
      </c>
      <c r="AF259" s="154">
        <v>813476</v>
      </c>
      <c r="AG259" s="154">
        <v>813551</v>
      </c>
      <c r="AH259" s="154">
        <v>813667</v>
      </c>
      <c r="AI259" s="154">
        <v>813754</v>
      </c>
      <c r="AJ259" s="154">
        <v>813885</v>
      </c>
      <c r="AK259" s="154">
        <v>813922</v>
      </c>
      <c r="AL259" s="154" t="s">
        <v>424</v>
      </c>
      <c r="AP259" cm="1">
        <f t="array" ref="AP259">IF(AQ259="","",SUM(IFERROR(H259:AL259-H258:AL258,0))*AQ259/100)</f>
        <v>352.2</v>
      </c>
      <c r="AQ259">
        <v>15</v>
      </c>
      <c r="AS259">
        <v>257</v>
      </c>
      <c r="AT259" cm="1">
        <f t="array" ref="AT259">IF(AQ259="","",SUM(IFERROR(H259:AL259-H258:AL258,0)))</f>
        <v>2348</v>
      </c>
    </row>
    <row r="260" spans="1:46" hidden="1" x14ac:dyDescent="0.25">
      <c r="A260">
        <v>259</v>
      </c>
      <c r="B260">
        <v>2025</v>
      </c>
      <c r="C260">
        <v>6</v>
      </c>
      <c r="D260" t="s">
        <v>261</v>
      </c>
      <c r="E260">
        <v>31</v>
      </c>
      <c r="F260">
        <v>5</v>
      </c>
      <c r="G260" t="s">
        <v>534</v>
      </c>
      <c r="H260" s="154">
        <v>0.29166666666666669</v>
      </c>
      <c r="I260" s="154">
        <v>0.29166666666666669</v>
      </c>
      <c r="J260" s="154">
        <v>0.29166666666666669</v>
      </c>
      <c r="K260" s="154">
        <v>0.29166666666666669</v>
      </c>
      <c r="L260" s="154">
        <v>0.29166666666666669</v>
      </c>
      <c r="M260" s="154">
        <v>0.29166666666666669</v>
      </c>
      <c r="N260" s="154">
        <v>0.29166666666666669</v>
      </c>
      <c r="O260" s="154">
        <v>0.29166666666666669</v>
      </c>
      <c r="P260" s="154">
        <v>0.29166666666666669</v>
      </c>
      <c r="Q260" s="154">
        <v>0.29166666666666669</v>
      </c>
      <c r="R260" s="154">
        <v>0.29166666666666669</v>
      </c>
      <c r="S260" s="154">
        <v>0.29166666666666669</v>
      </c>
      <c r="T260" s="154">
        <v>0.29166666666666669</v>
      </c>
      <c r="U260" s="154">
        <v>0.29166666666666669</v>
      </c>
      <c r="V260" s="154">
        <v>0.29166666666666669</v>
      </c>
      <c r="W260" s="154">
        <v>0.29166666666666669</v>
      </c>
      <c r="X260" s="154">
        <v>0.29166666666666669</v>
      </c>
      <c r="Y260" s="154">
        <v>0.29166666666666669</v>
      </c>
      <c r="Z260" s="154">
        <v>0.29166666666666669</v>
      </c>
      <c r="AA260" s="154">
        <v>0.29166666666666669</v>
      </c>
      <c r="AB260" s="154">
        <v>0.29166666666666669</v>
      </c>
      <c r="AC260" s="154">
        <v>0.29166666666666669</v>
      </c>
      <c r="AD260" s="154">
        <v>0.29166666666666669</v>
      </c>
      <c r="AE260" s="154">
        <v>0.29166666666666669</v>
      </c>
      <c r="AF260" s="154">
        <v>0.29166666666666669</v>
      </c>
      <c r="AG260" s="154">
        <v>0.29166666666666669</v>
      </c>
      <c r="AH260" s="154">
        <v>0.29166666666666669</v>
      </c>
      <c r="AI260" s="154">
        <v>0.29166666666666669</v>
      </c>
      <c r="AJ260" s="154">
        <v>0.29166666666666669</v>
      </c>
      <c r="AK260" s="154">
        <v>0.29166666666666669</v>
      </c>
      <c r="AL260" s="154" t="s">
        <v>424</v>
      </c>
      <c r="AS260">
        <v>258</v>
      </c>
    </row>
    <row r="261" spans="1:46" hidden="1" x14ac:dyDescent="0.25">
      <c r="A261">
        <v>260</v>
      </c>
      <c r="B261">
        <v>2025</v>
      </c>
      <c r="C261">
        <v>6</v>
      </c>
      <c r="D261" t="s">
        <v>261</v>
      </c>
      <c r="E261">
        <v>31</v>
      </c>
      <c r="F261">
        <v>5</v>
      </c>
      <c r="G261" t="s">
        <v>535</v>
      </c>
      <c r="H261" s="154">
        <v>0.75</v>
      </c>
      <c r="I261" s="154">
        <v>0.75</v>
      </c>
      <c r="J261" s="154">
        <v>0.75</v>
      </c>
      <c r="K261" s="154">
        <v>0.75</v>
      </c>
      <c r="L261" s="154">
        <v>0.75</v>
      </c>
      <c r="M261" s="154">
        <v>0.75</v>
      </c>
      <c r="N261" s="154">
        <v>0.75</v>
      </c>
      <c r="O261" s="154">
        <v>0.75</v>
      </c>
      <c r="P261" s="154">
        <v>0.75</v>
      </c>
      <c r="Q261" s="154">
        <v>0.75</v>
      </c>
      <c r="R261" s="154">
        <v>0.75</v>
      </c>
      <c r="S261" s="154">
        <v>0.75</v>
      </c>
      <c r="T261" s="154">
        <v>0.75</v>
      </c>
      <c r="U261" s="154">
        <v>0.75</v>
      </c>
      <c r="V261" s="154">
        <v>0.75</v>
      </c>
      <c r="W261" s="154">
        <v>0.75</v>
      </c>
      <c r="X261" s="154">
        <v>0.75</v>
      </c>
      <c r="Y261" s="154">
        <v>0.75</v>
      </c>
      <c r="Z261" s="154">
        <v>0.75</v>
      </c>
      <c r="AA261" s="154">
        <v>0.75</v>
      </c>
      <c r="AB261" s="154">
        <v>0.75</v>
      </c>
      <c r="AC261" s="154">
        <v>0.75</v>
      </c>
      <c r="AD261" s="154">
        <v>0.75</v>
      </c>
      <c r="AE261" s="154">
        <v>0.75</v>
      </c>
      <c r="AF261" s="154">
        <v>0.75</v>
      </c>
      <c r="AG261" s="154">
        <v>0.75</v>
      </c>
      <c r="AH261" s="154">
        <v>0.75</v>
      </c>
      <c r="AI261" s="154">
        <v>0.75</v>
      </c>
      <c r="AJ261" s="154">
        <v>0.75</v>
      </c>
      <c r="AK261" s="154">
        <v>0.75</v>
      </c>
      <c r="AL261" s="154" t="s">
        <v>424</v>
      </c>
      <c r="AM261" cm="1">
        <f t="array" ref="AM261">SUM(_xlfn.LET(_xlpm.r,((IFERROR(H261:AL261-H260:AL260,0))*24)/10,IF(_xlpm.r&gt;1,1,_xlpm.r)))</f>
        <v>30</v>
      </c>
      <c r="AO261" cm="1">
        <f t="array" ref="AO261">SUM(IFERROR(MOD((H261:AL261-H260:AL260)*24,11),""))</f>
        <v>0</v>
      </c>
      <c r="AS261">
        <v>259</v>
      </c>
    </row>
    <row r="262" spans="1:46" hidden="1" x14ac:dyDescent="0.25">
      <c r="A262">
        <v>261</v>
      </c>
      <c r="B262">
        <v>2025</v>
      </c>
      <c r="C262">
        <v>6</v>
      </c>
      <c r="D262" t="s">
        <v>255</v>
      </c>
      <c r="E262">
        <v>31</v>
      </c>
      <c r="F262">
        <v>5</v>
      </c>
      <c r="G262" t="s">
        <v>534</v>
      </c>
      <c r="H262" s="154" t="s">
        <v>424</v>
      </c>
      <c r="I262" s="154" t="s">
        <v>424</v>
      </c>
      <c r="J262" s="154" t="s">
        <v>424</v>
      </c>
      <c r="K262" s="154" t="s">
        <v>424</v>
      </c>
      <c r="L262" s="154" t="s">
        <v>424</v>
      </c>
      <c r="M262" s="154" t="s">
        <v>424</v>
      </c>
      <c r="N262" s="154" t="s">
        <v>424</v>
      </c>
      <c r="O262" s="154" t="s">
        <v>424</v>
      </c>
      <c r="P262" s="154" t="s">
        <v>424</v>
      </c>
      <c r="Q262" s="154" t="s">
        <v>424</v>
      </c>
      <c r="R262" s="154" t="s">
        <v>424</v>
      </c>
      <c r="S262" s="154" t="s">
        <v>424</v>
      </c>
      <c r="T262" s="154" t="s">
        <v>479</v>
      </c>
      <c r="U262" s="154" t="s">
        <v>479</v>
      </c>
      <c r="V262" s="154" t="s">
        <v>479</v>
      </c>
      <c r="W262" s="154" t="s">
        <v>479</v>
      </c>
      <c r="X262" s="154" t="s">
        <v>479</v>
      </c>
      <c r="Y262" s="154" t="s">
        <v>479</v>
      </c>
      <c r="Z262" s="154" t="s">
        <v>479</v>
      </c>
      <c r="AA262" s="154" t="s">
        <v>479</v>
      </c>
      <c r="AB262" s="154" t="s">
        <v>479</v>
      </c>
      <c r="AC262" s="154" t="s">
        <v>479</v>
      </c>
      <c r="AD262" s="154" t="s">
        <v>479</v>
      </c>
      <c r="AE262" s="154" t="s">
        <v>479</v>
      </c>
      <c r="AF262" s="154" t="s">
        <v>479</v>
      </c>
      <c r="AG262" s="154" t="s">
        <v>479</v>
      </c>
      <c r="AH262" s="154" t="s">
        <v>479</v>
      </c>
      <c r="AI262" s="154" t="s">
        <v>479</v>
      </c>
      <c r="AJ262" s="154" t="s">
        <v>479</v>
      </c>
      <c r="AK262" s="154" t="s">
        <v>479</v>
      </c>
      <c r="AL262" s="154" t="s">
        <v>424</v>
      </c>
      <c r="AS262">
        <v>260</v>
      </c>
    </row>
    <row r="263" spans="1:46" hidden="1" x14ac:dyDescent="0.25">
      <c r="A263">
        <v>262</v>
      </c>
      <c r="B263">
        <v>2025</v>
      </c>
      <c r="C263">
        <v>6</v>
      </c>
      <c r="D263" t="s">
        <v>255</v>
      </c>
      <c r="E263">
        <v>31</v>
      </c>
      <c r="F263">
        <v>5</v>
      </c>
      <c r="G263" t="s">
        <v>535</v>
      </c>
      <c r="H263" s="154" t="s">
        <v>424</v>
      </c>
      <c r="I263" s="154" t="s">
        <v>424</v>
      </c>
      <c r="J263" s="154" t="s">
        <v>424</v>
      </c>
      <c r="K263" s="154" t="s">
        <v>424</v>
      </c>
      <c r="L263" s="154" t="s">
        <v>424</v>
      </c>
      <c r="M263" s="154" t="s">
        <v>424</v>
      </c>
      <c r="N263" s="154" t="s">
        <v>424</v>
      </c>
      <c r="O263" s="154" t="s">
        <v>424</v>
      </c>
      <c r="P263" s="154" t="s">
        <v>424</v>
      </c>
      <c r="Q263" s="154" t="s">
        <v>424</v>
      </c>
      <c r="R263" s="154" t="s">
        <v>424</v>
      </c>
      <c r="S263" s="154" t="s">
        <v>424</v>
      </c>
      <c r="T263" s="154">
        <v>0.25</v>
      </c>
      <c r="U263" s="154">
        <v>0.25</v>
      </c>
      <c r="V263" s="154">
        <v>0.25</v>
      </c>
      <c r="W263" s="154">
        <v>0.25</v>
      </c>
      <c r="X263" s="154">
        <v>0.25</v>
      </c>
      <c r="Y263" s="154">
        <v>0.75</v>
      </c>
      <c r="Z263" s="154">
        <v>0.25</v>
      </c>
      <c r="AA263" s="154">
        <v>0.25</v>
      </c>
      <c r="AB263" s="154">
        <v>0.25</v>
      </c>
      <c r="AC263" s="154">
        <v>0.25</v>
      </c>
      <c r="AD263" s="154">
        <v>0.25</v>
      </c>
      <c r="AE263" s="154">
        <v>0.25</v>
      </c>
      <c r="AF263" s="154">
        <v>0.25</v>
      </c>
      <c r="AG263" s="154">
        <v>0.25</v>
      </c>
      <c r="AH263" s="154">
        <v>0.25</v>
      </c>
      <c r="AI263" s="154">
        <v>0.25</v>
      </c>
      <c r="AJ263" s="154">
        <v>0.25</v>
      </c>
      <c r="AK263" s="154">
        <v>0.25</v>
      </c>
      <c r="AL263" s="154" t="s">
        <v>424</v>
      </c>
      <c r="AM263" cm="1">
        <f t="array" ref="AM263">_xlfn.LET(_xlpm.r,IFERROR((H263:AL263-H262:AL262)*24,""),SUM(IF(_xlpm.r="",0,IF(_xlpm.r=-1,0,1))))</f>
        <v>1</v>
      </c>
      <c r="AN263" cm="1">
        <f t="array" ref="AN263">_xlfn.LET(_xlpm.r,IFERROR((H263:AL263-H262:AL262)*24,""),SUM(IF(_xlpm.r="",0,IF(_xlpm.r=-1,1,0))))</f>
        <v>17</v>
      </c>
      <c r="AO263" cm="1">
        <f t="array" ref="AO263">_xlfn.LET(_xlpm.r,SUM(IFERROR(MOD((H263:AL263-H262:AL262)*24,11),"")),_xlpm.r-AN263*10)</f>
        <v>0</v>
      </c>
      <c r="AS263">
        <v>261</v>
      </c>
    </row>
    <row r="264" spans="1:46" hidden="1" x14ac:dyDescent="0.25">
      <c r="A264">
        <v>263</v>
      </c>
      <c r="B264">
        <v>2025</v>
      </c>
      <c r="C264">
        <v>6</v>
      </c>
      <c r="D264" t="s">
        <v>255</v>
      </c>
      <c r="E264">
        <v>31</v>
      </c>
      <c r="F264">
        <v>5</v>
      </c>
      <c r="G264" t="s">
        <v>536</v>
      </c>
      <c r="H264" s="154" t="s">
        <v>424</v>
      </c>
      <c r="I264" s="154" t="s">
        <v>424</v>
      </c>
      <c r="J264" s="154" t="s">
        <v>424</v>
      </c>
      <c r="K264" s="154" t="s">
        <v>424</v>
      </c>
      <c r="L264" s="154" t="s">
        <v>424</v>
      </c>
      <c r="M264" s="154" t="s">
        <v>424</v>
      </c>
      <c r="N264" s="154" t="s">
        <v>424</v>
      </c>
      <c r="O264" s="154" t="s">
        <v>424</v>
      </c>
      <c r="P264" s="154" t="s">
        <v>424</v>
      </c>
      <c r="Q264" s="154" t="s">
        <v>424</v>
      </c>
      <c r="R264" s="154" t="s">
        <v>424</v>
      </c>
      <c r="S264" s="154" t="s">
        <v>424</v>
      </c>
      <c r="T264" s="154">
        <v>0</v>
      </c>
      <c r="U264" s="154">
        <v>0</v>
      </c>
      <c r="V264" s="154">
        <v>0</v>
      </c>
      <c r="W264" s="154">
        <v>0</v>
      </c>
      <c r="X264" s="154">
        <v>0</v>
      </c>
      <c r="Y264" s="154">
        <v>264369</v>
      </c>
      <c r="Z264" s="154">
        <v>264435</v>
      </c>
      <c r="AA264" s="154">
        <v>264515</v>
      </c>
      <c r="AB264" s="154">
        <v>264647</v>
      </c>
      <c r="AC264" s="154">
        <v>264735</v>
      </c>
      <c r="AD264" s="154">
        <v>264869</v>
      </c>
      <c r="AE264" s="154">
        <v>264940</v>
      </c>
      <c r="AF264" s="154">
        <v>264961</v>
      </c>
      <c r="AG264" s="154">
        <v>265104</v>
      </c>
      <c r="AH264" s="154">
        <v>265215</v>
      </c>
      <c r="AI264" s="154">
        <v>265323</v>
      </c>
      <c r="AJ264" s="154">
        <v>265430</v>
      </c>
      <c r="AK264" s="154">
        <v>265548</v>
      </c>
      <c r="AL264" s="154" t="s">
        <v>424</v>
      </c>
      <c r="AS264">
        <v>262</v>
      </c>
    </row>
    <row r="265" spans="1:46" hidden="1" x14ac:dyDescent="0.25">
      <c r="A265">
        <v>264</v>
      </c>
      <c r="B265">
        <v>2025</v>
      </c>
      <c r="C265">
        <v>6</v>
      </c>
      <c r="D265" t="s">
        <v>255</v>
      </c>
      <c r="E265">
        <v>31</v>
      </c>
      <c r="F265">
        <v>5</v>
      </c>
      <c r="G265" t="s">
        <v>537</v>
      </c>
      <c r="H265" s="154" t="s">
        <v>424</v>
      </c>
      <c r="I265" s="154" t="s">
        <v>424</v>
      </c>
      <c r="J265" s="154" t="s">
        <v>424</v>
      </c>
      <c r="K265" s="154" t="s">
        <v>424</v>
      </c>
      <c r="L265" s="154" t="s">
        <v>424</v>
      </c>
      <c r="M265" s="154" t="s">
        <v>424</v>
      </c>
      <c r="N265" s="154" t="s">
        <v>424</v>
      </c>
      <c r="O265" s="154" t="s">
        <v>424</v>
      </c>
      <c r="P265" s="154" t="s">
        <v>424</v>
      </c>
      <c r="Q265" s="154" t="s">
        <v>424</v>
      </c>
      <c r="R265" s="154" t="s">
        <v>424</v>
      </c>
      <c r="S265" s="154" t="s">
        <v>424</v>
      </c>
      <c r="T265" s="154">
        <v>36</v>
      </c>
      <c r="U265" s="154">
        <v>36</v>
      </c>
      <c r="V265" s="154">
        <v>36</v>
      </c>
      <c r="W265" s="154">
        <v>36</v>
      </c>
      <c r="X265" s="154">
        <v>36</v>
      </c>
      <c r="Y265" s="154">
        <v>264435</v>
      </c>
      <c r="Z265" s="154">
        <v>264515</v>
      </c>
      <c r="AA265" s="154">
        <v>264647</v>
      </c>
      <c r="AB265" s="154">
        <v>264735</v>
      </c>
      <c r="AC265" s="154">
        <v>264869</v>
      </c>
      <c r="AD265" s="154">
        <v>264940</v>
      </c>
      <c r="AE265" s="154">
        <v>264961</v>
      </c>
      <c r="AF265" s="154">
        <v>265104</v>
      </c>
      <c r="AG265" s="154">
        <v>265215</v>
      </c>
      <c r="AH265" s="154">
        <v>265323</v>
      </c>
      <c r="AI265" s="154">
        <v>265430</v>
      </c>
      <c r="AJ265" s="154">
        <v>265548</v>
      </c>
      <c r="AK265" s="154">
        <v>265679</v>
      </c>
      <c r="AL265" s="154" t="s">
        <v>424</v>
      </c>
      <c r="AP265" cm="1">
        <f t="array" ref="AP265">IF(AQ265="","",SUM(IFERROR(H265:AL265-H264:AL264,0))*AQ265/100)</f>
        <v>223.5</v>
      </c>
      <c r="AQ265">
        <v>15</v>
      </c>
      <c r="AS265">
        <v>263</v>
      </c>
      <c r="AT265" cm="1">
        <f t="array" ref="AT265">IF(AQ265="","",SUM(IFERROR(H265:AL265-H264:AL264,0)))</f>
        <v>1490</v>
      </c>
    </row>
    <row r="266" spans="1:46" hidden="1" x14ac:dyDescent="0.25">
      <c r="A266">
        <v>265</v>
      </c>
      <c r="B266">
        <v>2025</v>
      </c>
      <c r="C266">
        <v>6</v>
      </c>
      <c r="D266" t="s">
        <v>253</v>
      </c>
      <c r="E266">
        <v>31</v>
      </c>
      <c r="F266">
        <v>5</v>
      </c>
      <c r="G266" t="s">
        <v>534</v>
      </c>
      <c r="H266" s="154" t="s">
        <v>479</v>
      </c>
      <c r="I266" s="154" t="s">
        <v>479</v>
      </c>
      <c r="J266" s="154" t="s">
        <v>479</v>
      </c>
      <c r="K266" s="154" t="s">
        <v>479</v>
      </c>
      <c r="L266" s="154" t="s">
        <v>479</v>
      </c>
      <c r="M266" s="154" t="s">
        <v>479</v>
      </c>
      <c r="N266" s="154" t="s">
        <v>479</v>
      </c>
      <c r="O266" s="154" t="s">
        <v>479</v>
      </c>
      <c r="P266" s="154" t="s">
        <v>479</v>
      </c>
      <c r="Q266" s="154" t="s">
        <v>479</v>
      </c>
      <c r="R266" s="154" t="s">
        <v>479</v>
      </c>
      <c r="S266" s="154" t="s">
        <v>479</v>
      </c>
      <c r="T266" s="154" t="s">
        <v>479</v>
      </c>
      <c r="U266" s="154" t="s">
        <v>479</v>
      </c>
      <c r="V266" s="154" t="s">
        <v>479</v>
      </c>
      <c r="W266" s="154" t="s">
        <v>479</v>
      </c>
      <c r="X266" s="154" t="s">
        <v>479</v>
      </c>
      <c r="Y266" s="154" t="s">
        <v>479</v>
      </c>
      <c r="Z266" s="154" t="s">
        <v>479</v>
      </c>
      <c r="AA266" s="154" t="s">
        <v>479</v>
      </c>
      <c r="AB266" s="154" t="s">
        <v>479</v>
      </c>
      <c r="AC266" s="154" t="s">
        <v>479</v>
      </c>
      <c r="AD266" s="154" t="s">
        <v>479</v>
      </c>
      <c r="AE266" s="154" t="s">
        <v>479</v>
      </c>
      <c r="AF266" s="154" t="s">
        <v>479</v>
      </c>
      <c r="AG266" s="154" t="s">
        <v>479</v>
      </c>
      <c r="AH266" s="154" t="s">
        <v>479</v>
      </c>
      <c r="AI266" s="154" t="s">
        <v>479</v>
      </c>
      <c r="AJ266" s="154" t="s">
        <v>479</v>
      </c>
      <c r="AK266" s="154" t="s">
        <v>479</v>
      </c>
      <c r="AL266" s="154" t="s">
        <v>424</v>
      </c>
      <c r="AS266">
        <v>264</v>
      </c>
    </row>
    <row r="267" spans="1:46" hidden="1" x14ac:dyDescent="0.25">
      <c r="A267">
        <v>266</v>
      </c>
      <c r="B267">
        <v>2025</v>
      </c>
      <c r="C267">
        <v>6</v>
      </c>
      <c r="D267" t="s">
        <v>253</v>
      </c>
      <c r="E267">
        <v>31</v>
      </c>
      <c r="F267">
        <v>5</v>
      </c>
      <c r="G267" t="s">
        <v>535</v>
      </c>
      <c r="H267" s="154" t="s">
        <v>480</v>
      </c>
      <c r="I267" s="154" t="s">
        <v>480</v>
      </c>
      <c r="J267" s="154" t="s">
        <v>480</v>
      </c>
      <c r="K267" s="154" t="s">
        <v>480</v>
      </c>
      <c r="L267" s="154" t="s">
        <v>480</v>
      </c>
      <c r="M267" s="154" t="s">
        <v>480</v>
      </c>
      <c r="N267" s="154" t="s">
        <v>480</v>
      </c>
      <c r="O267" s="154" t="s">
        <v>480</v>
      </c>
      <c r="P267" s="154" t="s">
        <v>480</v>
      </c>
      <c r="Q267" s="154" t="s">
        <v>480</v>
      </c>
      <c r="R267" s="154" t="s">
        <v>480</v>
      </c>
      <c r="S267" s="154" t="s">
        <v>480</v>
      </c>
      <c r="T267" s="154" t="s">
        <v>480</v>
      </c>
      <c r="U267" s="154" t="s">
        <v>480</v>
      </c>
      <c r="V267" s="154" t="s">
        <v>480</v>
      </c>
      <c r="W267" s="154" t="s">
        <v>480</v>
      </c>
      <c r="X267" s="154" t="s">
        <v>480</v>
      </c>
      <c r="Y267" s="154" t="s">
        <v>480</v>
      </c>
      <c r="Z267" s="154" t="s">
        <v>480</v>
      </c>
      <c r="AA267" s="154" t="s">
        <v>480</v>
      </c>
      <c r="AB267" s="154" t="s">
        <v>480</v>
      </c>
      <c r="AC267" s="154" t="s">
        <v>480</v>
      </c>
      <c r="AD267" s="154" t="s">
        <v>480</v>
      </c>
      <c r="AE267" s="154" t="s">
        <v>480</v>
      </c>
      <c r="AF267" s="154" t="s">
        <v>480</v>
      </c>
      <c r="AG267" s="154" t="s">
        <v>480</v>
      </c>
      <c r="AH267" s="154" t="s">
        <v>480</v>
      </c>
      <c r="AI267" s="154" t="s">
        <v>480</v>
      </c>
      <c r="AJ267" s="154" t="s">
        <v>480</v>
      </c>
      <c r="AK267" s="154" t="s">
        <v>480</v>
      </c>
      <c r="AL267" s="154" t="s">
        <v>424</v>
      </c>
      <c r="AM267" cm="1">
        <f t="array" ref="AM267">SUM(_xlfn.LET(_xlpm.r,((IFERROR(H267:AL267-H266:AL266,0))*24)/10,IF(_xlpm.r&gt;1,1,_xlpm.r)))+2</f>
        <v>32</v>
      </c>
      <c r="AO267" cm="1">
        <f t="array" ref="AO267">SUM(IFERROR(MOD((H267:AL267-H266:AL266)*24,11),""))</f>
        <v>0</v>
      </c>
      <c r="AR267" t="s">
        <v>442</v>
      </c>
      <c r="AS267">
        <v>265</v>
      </c>
    </row>
    <row r="268" spans="1:46" hidden="1" x14ac:dyDescent="0.25">
      <c r="A268">
        <v>267</v>
      </c>
      <c r="B268">
        <v>2025</v>
      </c>
      <c r="C268">
        <v>6</v>
      </c>
      <c r="D268" t="s">
        <v>253</v>
      </c>
      <c r="E268">
        <v>31</v>
      </c>
      <c r="F268">
        <v>5</v>
      </c>
      <c r="G268" t="s">
        <v>536</v>
      </c>
      <c r="H268" s="154">
        <v>834069</v>
      </c>
      <c r="I268" s="154">
        <v>834240</v>
      </c>
      <c r="J268" s="154">
        <v>834446</v>
      </c>
      <c r="K268" s="154">
        <v>834654</v>
      </c>
      <c r="L268" s="154">
        <v>834836</v>
      </c>
      <c r="M268" s="154">
        <v>834836</v>
      </c>
      <c r="N268" s="154">
        <v>835044</v>
      </c>
      <c r="O268" s="154">
        <v>835044</v>
      </c>
      <c r="P268" s="154">
        <v>835248</v>
      </c>
      <c r="Q268" s="154">
        <v>835414</v>
      </c>
      <c r="R268" s="154">
        <v>835625</v>
      </c>
      <c r="S268" s="154">
        <v>835829</v>
      </c>
      <c r="T268" s="154">
        <v>836037</v>
      </c>
      <c r="U268" s="154">
        <v>836246</v>
      </c>
      <c r="V268" s="154">
        <v>836246</v>
      </c>
      <c r="W268" s="154">
        <v>836451</v>
      </c>
      <c r="X268" s="154">
        <v>836638</v>
      </c>
      <c r="Y268" s="154">
        <v>836928</v>
      </c>
      <c r="Z268" s="154">
        <v>837138</v>
      </c>
      <c r="AA268" s="154">
        <v>837347</v>
      </c>
      <c r="AB268" s="154">
        <v>837552</v>
      </c>
      <c r="AC268" s="154">
        <v>837552</v>
      </c>
      <c r="AD268" s="154">
        <v>837764</v>
      </c>
      <c r="AE268" s="154">
        <v>837985</v>
      </c>
      <c r="AF268" s="154">
        <v>838192</v>
      </c>
      <c r="AG268" s="154">
        <v>838401</v>
      </c>
      <c r="AH268" s="154">
        <v>838609</v>
      </c>
      <c r="AI268" s="154">
        <v>838751</v>
      </c>
      <c r="AJ268" s="154">
        <v>838933</v>
      </c>
      <c r="AK268" s="154">
        <v>839127</v>
      </c>
      <c r="AL268" s="154" t="s">
        <v>424</v>
      </c>
      <c r="AS268">
        <v>266</v>
      </c>
    </row>
    <row r="269" spans="1:46" hidden="1" x14ac:dyDescent="0.25">
      <c r="A269">
        <v>268</v>
      </c>
      <c r="B269">
        <v>2025</v>
      </c>
      <c r="C269">
        <v>6</v>
      </c>
      <c r="D269" t="s">
        <v>253</v>
      </c>
      <c r="E269">
        <v>31</v>
      </c>
      <c r="F269">
        <v>5</v>
      </c>
      <c r="G269" t="s">
        <v>537</v>
      </c>
      <c r="H269" s="154">
        <v>834240</v>
      </c>
      <c r="I269" s="154">
        <v>834446</v>
      </c>
      <c r="J269" s="154">
        <v>834654</v>
      </c>
      <c r="K269" s="154">
        <v>834836</v>
      </c>
      <c r="L269" s="154">
        <v>835044</v>
      </c>
      <c r="M269" s="154">
        <v>835044</v>
      </c>
      <c r="N269" s="154">
        <v>835248</v>
      </c>
      <c r="O269" s="154">
        <v>835248</v>
      </c>
      <c r="P269" s="154">
        <v>835414</v>
      </c>
      <c r="Q269" s="154">
        <v>835625</v>
      </c>
      <c r="R269" s="154">
        <v>835829</v>
      </c>
      <c r="S269" s="154">
        <v>836037</v>
      </c>
      <c r="T269" s="154">
        <v>836246</v>
      </c>
      <c r="U269" s="154">
        <v>836451</v>
      </c>
      <c r="V269" s="154">
        <v>836451</v>
      </c>
      <c r="W269" s="154">
        <v>836638</v>
      </c>
      <c r="X269" s="154">
        <v>836928</v>
      </c>
      <c r="Y269" s="154">
        <v>837138</v>
      </c>
      <c r="Z269" s="154">
        <v>837347</v>
      </c>
      <c r="AA269" s="154">
        <v>837552</v>
      </c>
      <c r="AB269" s="154">
        <v>837764</v>
      </c>
      <c r="AC269" s="154">
        <v>837764</v>
      </c>
      <c r="AD269" s="154">
        <v>837985</v>
      </c>
      <c r="AE269" s="154">
        <v>838192</v>
      </c>
      <c r="AF269" s="154">
        <v>838401</v>
      </c>
      <c r="AG269" s="154">
        <v>838609</v>
      </c>
      <c r="AH269" s="154">
        <v>838751</v>
      </c>
      <c r="AI269" s="154">
        <v>838933</v>
      </c>
      <c r="AJ269" s="154">
        <v>839127</v>
      </c>
      <c r="AK269" s="154">
        <v>839336</v>
      </c>
      <c r="AL269" s="154" t="s">
        <v>424</v>
      </c>
      <c r="AP269" cm="1">
        <f t="array" ref="AP269">IF(AQ269="","",SUM(IFERROR(H269:AL269-H268:AL268,0))*AQ269/100)</f>
        <v>1097.28</v>
      </c>
      <c r="AQ269">
        <f>_xlfn.XLOOKUP(D269,log_prices!M:M,log_prices!L:L,,0)</f>
        <v>18</v>
      </c>
      <c r="AS269">
        <v>267</v>
      </c>
      <c r="AT269" cm="1">
        <f t="array" ref="AT269">IF(AQ269="","",SUM(IFERROR(H269:AL269-H268:AL268,0)))</f>
        <v>6096</v>
      </c>
    </row>
    <row r="270" spans="1:46" hidden="1" x14ac:dyDescent="0.25">
      <c r="A270">
        <v>269</v>
      </c>
      <c r="B270">
        <v>2025</v>
      </c>
      <c r="C270">
        <v>6</v>
      </c>
      <c r="D270" t="s">
        <v>243</v>
      </c>
      <c r="E270">
        <v>31</v>
      </c>
      <c r="F270">
        <v>5</v>
      </c>
      <c r="G270" t="s">
        <v>534</v>
      </c>
      <c r="H270" s="154" t="s">
        <v>479</v>
      </c>
      <c r="I270" s="154" t="s">
        <v>479</v>
      </c>
      <c r="J270" s="154" t="s">
        <v>479</v>
      </c>
      <c r="K270" s="154" t="s">
        <v>479</v>
      </c>
      <c r="L270" s="154" t="s">
        <v>479</v>
      </c>
      <c r="M270" s="154" t="s">
        <v>479</v>
      </c>
      <c r="N270" s="154" t="s">
        <v>479</v>
      </c>
      <c r="O270" s="154" t="s">
        <v>479</v>
      </c>
      <c r="P270" s="154" t="s">
        <v>479</v>
      </c>
      <c r="Q270" s="154" t="s">
        <v>479</v>
      </c>
      <c r="R270" s="154" t="s">
        <v>479</v>
      </c>
      <c r="S270" s="154" t="s">
        <v>479</v>
      </c>
      <c r="T270" s="154" t="s">
        <v>479</v>
      </c>
      <c r="U270" s="154" t="s">
        <v>479</v>
      </c>
      <c r="V270" s="154" t="s">
        <v>479</v>
      </c>
      <c r="W270" s="154" t="s">
        <v>424</v>
      </c>
      <c r="X270" s="154" t="s">
        <v>424</v>
      </c>
      <c r="Y270" s="154" t="s">
        <v>424</v>
      </c>
      <c r="Z270" s="154" t="s">
        <v>424</v>
      </c>
      <c r="AA270" s="154" t="s">
        <v>424</v>
      </c>
      <c r="AB270" s="154" t="s">
        <v>424</v>
      </c>
      <c r="AC270" s="154" t="s">
        <v>424</v>
      </c>
      <c r="AD270" s="154" t="s">
        <v>424</v>
      </c>
      <c r="AE270" s="154" t="s">
        <v>424</v>
      </c>
      <c r="AF270" s="154" t="s">
        <v>424</v>
      </c>
      <c r="AG270" s="154" t="s">
        <v>424</v>
      </c>
      <c r="AH270" s="154" t="s">
        <v>424</v>
      </c>
      <c r="AI270" s="154" t="s">
        <v>424</v>
      </c>
      <c r="AJ270" s="154" t="s">
        <v>424</v>
      </c>
      <c r="AK270" s="154" t="s">
        <v>424</v>
      </c>
      <c r="AL270" s="154" t="s">
        <v>424</v>
      </c>
      <c r="AS270">
        <v>268</v>
      </c>
    </row>
    <row r="271" spans="1:46" hidden="1" x14ac:dyDescent="0.25">
      <c r="A271">
        <v>270</v>
      </c>
      <c r="B271">
        <v>2025</v>
      </c>
      <c r="C271">
        <v>6</v>
      </c>
      <c r="D271" t="s">
        <v>243</v>
      </c>
      <c r="E271">
        <v>31</v>
      </c>
      <c r="F271">
        <v>5</v>
      </c>
      <c r="G271" t="s">
        <v>535</v>
      </c>
      <c r="H271" s="154" t="s">
        <v>480</v>
      </c>
      <c r="I271" s="154" t="s">
        <v>480</v>
      </c>
      <c r="J271" s="154" t="s">
        <v>480</v>
      </c>
      <c r="K271" s="154" t="s">
        <v>480</v>
      </c>
      <c r="L271" s="154" t="s">
        <v>480</v>
      </c>
      <c r="M271" s="154" t="s">
        <v>480</v>
      </c>
      <c r="N271" s="154" t="s">
        <v>480</v>
      </c>
      <c r="O271" s="154" t="s">
        <v>480</v>
      </c>
      <c r="P271" s="154" t="s">
        <v>480</v>
      </c>
      <c r="Q271" s="154" t="s">
        <v>480</v>
      </c>
      <c r="R271" s="154" t="s">
        <v>480</v>
      </c>
      <c r="S271" s="154" t="s">
        <v>480</v>
      </c>
      <c r="T271" s="154" t="s">
        <v>480</v>
      </c>
      <c r="U271" s="154" t="s">
        <v>480</v>
      </c>
      <c r="V271" s="154" t="s">
        <v>480</v>
      </c>
      <c r="W271" s="154" t="s">
        <v>424</v>
      </c>
      <c r="X271" s="154" t="s">
        <v>424</v>
      </c>
      <c r="Y271" s="154" t="s">
        <v>424</v>
      </c>
      <c r="Z271" s="154" t="s">
        <v>424</v>
      </c>
      <c r="AA271" s="154" t="s">
        <v>424</v>
      </c>
      <c r="AB271" s="154" t="s">
        <v>424</v>
      </c>
      <c r="AC271" s="154" t="s">
        <v>424</v>
      </c>
      <c r="AD271" s="154" t="s">
        <v>424</v>
      </c>
      <c r="AE271" s="154" t="s">
        <v>424</v>
      </c>
      <c r="AF271" s="154" t="s">
        <v>424</v>
      </c>
      <c r="AG271" s="154" t="s">
        <v>424</v>
      </c>
      <c r="AH271" s="154" t="s">
        <v>424</v>
      </c>
      <c r="AI271" s="154" t="s">
        <v>424</v>
      </c>
      <c r="AJ271" s="154" t="s">
        <v>424</v>
      </c>
      <c r="AK271" s="154" t="s">
        <v>424</v>
      </c>
      <c r="AL271" s="154" t="s">
        <v>424</v>
      </c>
      <c r="AM271" cm="1">
        <f t="array" ref="AM271">SUM(_xlfn.LET(_xlpm.r,((IFERROR(H271:AL271-H270:AL270,0))*24)/10,IF(_xlpm.r&gt;1,1,_xlpm.r)))</f>
        <v>15</v>
      </c>
      <c r="AO271" cm="1">
        <f t="array" ref="AO271">SUM(IFERROR(MOD((H271:AL271-H270:AL270)*24,11),""))</f>
        <v>0</v>
      </c>
      <c r="AS271">
        <v>269</v>
      </c>
    </row>
    <row r="272" spans="1:46" hidden="1" x14ac:dyDescent="0.25">
      <c r="A272">
        <v>271</v>
      </c>
      <c r="B272">
        <v>2025</v>
      </c>
      <c r="C272">
        <v>6</v>
      </c>
      <c r="D272" t="s">
        <v>243</v>
      </c>
      <c r="E272">
        <v>31</v>
      </c>
      <c r="F272">
        <v>5</v>
      </c>
      <c r="G272" t="s">
        <v>536</v>
      </c>
      <c r="H272" s="154">
        <v>352220</v>
      </c>
      <c r="I272" s="154">
        <v>352227</v>
      </c>
      <c r="J272" s="154">
        <v>352241</v>
      </c>
      <c r="K272" s="154">
        <v>352265</v>
      </c>
      <c r="L272" s="154">
        <v>352285</v>
      </c>
      <c r="M272" s="154">
        <v>353321</v>
      </c>
      <c r="N272" s="154">
        <v>352404</v>
      </c>
      <c r="O272" s="154">
        <v>352406</v>
      </c>
      <c r="P272" s="154">
        <v>352437</v>
      </c>
      <c r="Q272" s="154">
        <v>352462</v>
      </c>
      <c r="R272" s="154">
        <v>352496</v>
      </c>
      <c r="S272" s="154">
        <v>352521</v>
      </c>
      <c r="T272" s="154">
        <v>352545</v>
      </c>
      <c r="U272" s="154">
        <v>352568</v>
      </c>
      <c r="V272" s="154">
        <v>352605</v>
      </c>
      <c r="W272" s="154" t="s">
        <v>424</v>
      </c>
      <c r="X272" s="154" t="s">
        <v>424</v>
      </c>
      <c r="Y272" s="154" t="s">
        <v>424</v>
      </c>
      <c r="Z272" s="154" t="s">
        <v>424</v>
      </c>
      <c r="AA272" s="154" t="s">
        <v>424</v>
      </c>
      <c r="AB272" s="154" t="s">
        <v>424</v>
      </c>
      <c r="AC272" s="154" t="s">
        <v>424</v>
      </c>
      <c r="AD272" s="154" t="s">
        <v>424</v>
      </c>
      <c r="AE272" s="154" t="s">
        <v>424</v>
      </c>
      <c r="AF272" s="154" t="s">
        <v>424</v>
      </c>
      <c r="AG272" s="154" t="s">
        <v>424</v>
      </c>
      <c r="AH272" s="154" t="s">
        <v>424</v>
      </c>
      <c r="AI272" s="154" t="s">
        <v>424</v>
      </c>
      <c r="AJ272" s="154" t="s">
        <v>424</v>
      </c>
      <c r="AK272" s="154" t="s">
        <v>424</v>
      </c>
      <c r="AL272" s="154" t="s">
        <v>424</v>
      </c>
      <c r="AS272">
        <v>270</v>
      </c>
    </row>
    <row r="273" spans="1:46" hidden="1" x14ac:dyDescent="0.25">
      <c r="A273">
        <v>272</v>
      </c>
      <c r="B273">
        <v>2025</v>
      </c>
      <c r="C273">
        <v>6</v>
      </c>
      <c r="D273" t="s">
        <v>243</v>
      </c>
      <c r="E273">
        <v>31</v>
      </c>
      <c r="F273">
        <v>5</v>
      </c>
      <c r="G273" t="s">
        <v>537</v>
      </c>
      <c r="H273" s="154">
        <v>352227</v>
      </c>
      <c r="I273" s="154">
        <v>352241</v>
      </c>
      <c r="J273" s="154">
        <v>352265</v>
      </c>
      <c r="K273" s="154">
        <v>352285</v>
      </c>
      <c r="L273" s="154">
        <v>353321</v>
      </c>
      <c r="M273" s="154">
        <v>352404</v>
      </c>
      <c r="N273" s="154">
        <v>352406</v>
      </c>
      <c r="O273" s="154">
        <v>352437</v>
      </c>
      <c r="P273" s="154">
        <v>352462</v>
      </c>
      <c r="Q273" s="154">
        <v>352496</v>
      </c>
      <c r="R273" s="154">
        <v>352521</v>
      </c>
      <c r="S273" s="154">
        <v>352545</v>
      </c>
      <c r="T273" s="154">
        <v>352568</v>
      </c>
      <c r="U273" s="154">
        <v>352605</v>
      </c>
      <c r="V273" s="154">
        <v>352636</v>
      </c>
      <c r="W273" s="154" t="s">
        <v>424</v>
      </c>
      <c r="X273" s="154" t="s">
        <v>424</v>
      </c>
      <c r="Y273" s="154" t="s">
        <v>424</v>
      </c>
      <c r="Z273" s="154" t="s">
        <v>424</v>
      </c>
      <c r="AA273" s="154" t="s">
        <v>424</v>
      </c>
      <c r="AB273" s="154" t="s">
        <v>424</v>
      </c>
      <c r="AC273" s="154" t="s">
        <v>424</v>
      </c>
      <c r="AD273" s="154" t="s">
        <v>424</v>
      </c>
      <c r="AE273" s="154" t="s">
        <v>424</v>
      </c>
      <c r="AF273" s="154" t="s">
        <v>424</v>
      </c>
      <c r="AG273" s="154" t="s">
        <v>424</v>
      </c>
      <c r="AH273" s="154" t="s">
        <v>424</v>
      </c>
      <c r="AI273" s="154" t="s">
        <v>424</v>
      </c>
      <c r="AJ273" s="154" t="s">
        <v>424</v>
      </c>
      <c r="AK273" s="154" t="s">
        <v>424</v>
      </c>
      <c r="AL273" s="154" t="s">
        <v>424</v>
      </c>
      <c r="AM273" t="str" cm="1">
        <f t="array" ref="AM273">IF(AQ273="","",SUM(IFERROR(H273:AL273-H272:AL272,0))*AQ273/100)</f>
        <v/>
      </c>
      <c r="AQ273" t="str">
        <f>_xlfn.XLOOKUP(D273,log_prices!M:M,log_prices!L:L,,0)</f>
        <v/>
      </c>
      <c r="AS273">
        <v>271</v>
      </c>
    </row>
    <row r="274" spans="1:46" hidden="1" x14ac:dyDescent="0.25">
      <c r="A274">
        <v>273</v>
      </c>
      <c r="B274">
        <v>2025</v>
      </c>
      <c r="C274">
        <v>6</v>
      </c>
      <c r="D274" t="s">
        <v>271</v>
      </c>
      <c r="E274">
        <v>31</v>
      </c>
      <c r="F274">
        <v>5</v>
      </c>
      <c r="G274" t="s">
        <v>534</v>
      </c>
      <c r="H274" s="154" t="s">
        <v>479</v>
      </c>
      <c r="I274" s="154" t="s">
        <v>479</v>
      </c>
      <c r="J274" s="154" t="s">
        <v>479</v>
      </c>
      <c r="K274" s="154" t="s">
        <v>479</v>
      </c>
      <c r="L274" s="154" t="s">
        <v>479</v>
      </c>
      <c r="M274" s="154" t="s">
        <v>424</v>
      </c>
      <c r="N274" s="154" t="s">
        <v>424</v>
      </c>
      <c r="O274" s="154" t="s">
        <v>479</v>
      </c>
      <c r="P274" s="154" t="s">
        <v>479</v>
      </c>
      <c r="Q274" s="154" t="s">
        <v>479</v>
      </c>
      <c r="R274" s="154" t="s">
        <v>479</v>
      </c>
      <c r="S274" s="154" t="s">
        <v>479</v>
      </c>
      <c r="T274" s="154" t="s">
        <v>479</v>
      </c>
      <c r="U274" s="154" t="s">
        <v>479</v>
      </c>
      <c r="V274" s="154" t="s">
        <v>479</v>
      </c>
      <c r="W274" s="154" t="s">
        <v>479</v>
      </c>
      <c r="X274" s="154" t="s">
        <v>479</v>
      </c>
      <c r="Y274" s="154" t="s">
        <v>479</v>
      </c>
      <c r="Z274" s="154" t="s">
        <v>479</v>
      </c>
      <c r="AA274" s="154" t="s">
        <v>479</v>
      </c>
      <c r="AB274" s="154" t="s">
        <v>479</v>
      </c>
      <c r="AC274" s="154" t="s">
        <v>424</v>
      </c>
      <c r="AD274" s="154" t="s">
        <v>479</v>
      </c>
      <c r="AE274" s="154" t="s">
        <v>479</v>
      </c>
      <c r="AF274" s="154" t="s">
        <v>479</v>
      </c>
      <c r="AG274" s="154" t="s">
        <v>479</v>
      </c>
      <c r="AH274" s="154" t="s">
        <v>479</v>
      </c>
      <c r="AI274" s="154" t="s">
        <v>479</v>
      </c>
      <c r="AJ274" s="154" t="s">
        <v>479</v>
      </c>
      <c r="AK274" s="154" t="s">
        <v>479</v>
      </c>
      <c r="AL274" s="154" t="s">
        <v>424</v>
      </c>
      <c r="AS274">
        <v>274</v>
      </c>
    </row>
    <row r="275" spans="1:46" hidden="1" x14ac:dyDescent="0.25">
      <c r="A275">
        <v>274</v>
      </c>
      <c r="B275">
        <v>2025</v>
      </c>
      <c r="C275">
        <v>6</v>
      </c>
      <c r="D275" t="s">
        <v>271</v>
      </c>
      <c r="E275">
        <v>31</v>
      </c>
      <c r="F275">
        <v>5</v>
      </c>
      <c r="G275" t="s">
        <v>535</v>
      </c>
      <c r="H275" s="154" t="s">
        <v>480</v>
      </c>
      <c r="I275" s="154" t="s">
        <v>480</v>
      </c>
      <c r="J275" s="154" t="s">
        <v>480</v>
      </c>
      <c r="K275" s="154" t="s">
        <v>480</v>
      </c>
      <c r="L275" s="154" t="s">
        <v>480</v>
      </c>
      <c r="M275" s="154" t="s">
        <v>424</v>
      </c>
      <c r="N275" s="154" t="s">
        <v>424</v>
      </c>
      <c r="O275" s="154" t="s">
        <v>480</v>
      </c>
      <c r="P275" s="154" t="s">
        <v>480</v>
      </c>
      <c r="Q275" s="154" t="s">
        <v>480</v>
      </c>
      <c r="R275" s="154" t="s">
        <v>480</v>
      </c>
      <c r="S275" s="154" t="s">
        <v>480</v>
      </c>
      <c r="T275" s="154" t="s">
        <v>480</v>
      </c>
      <c r="U275" s="154" t="s">
        <v>480</v>
      </c>
      <c r="V275" s="154" t="s">
        <v>480</v>
      </c>
      <c r="W275" s="154" t="s">
        <v>480</v>
      </c>
      <c r="X275" s="154" t="s">
        <v>480</v>
      </c>
      <c r="Y275" s="154" t="s">
        <v>480</v>
      </c>
      <c r="Z275" s="154" t="s">
        <v>480</v>
      </c>
      <c r="AA275" s="154" t="s">
        <v>480</v>
      </c>
      <c r="AB275" s="154" t="s">
        <v>480</v>
      </c>
      <c r="AC275" s="154" t="s">
        <v>424</v>
      </c>
      <c r="AD275" s="154" t="s">
        <v>480</v>
      </c>
      <c r="AE275" s="154" t="s">
        <v>480</v>
      </c>
      <c r="AF275" s="154" t="s">
        <v>480</v>
      </c>
      <c r="AG275" s="154" t="s">
        <v>480</v>
      </c>
      <c r="AH275" s="154" t="s">
        <v>480</v>
      </c>
      <c r="AI275" s="154" t="s">
        <v>480</v>
      </c>
      <c r="AJ275" s="154" t="s">
        <v>480</v>
      </c>
      <c r="AK275" s="154" t="s">
        <v>480</v>
      </c>
      <c r="AL275" s="154" t="s">
        <v>424</v>
      </c>
      <c r="AM275" cm="1">
        <f t="array" ref="AM275">SUM(_xlfn.LET(_xlpm.r,((IFERROR(H275:AL275-H274:AL274,0))*24)/10,IF(_xlpm.r&gt;1,1,_xlpm.r)))</f>
        <v>27</v>
      </c>
      <c r="AO275" cm="1">
        <f t="array" ref="AO275">SUM(IFERROR(MOD((H275:AL275-H274:AL274)*24,11),""))</f>
        <v>0</v>
      </c>
      <c r="AS275">
        <v>275</v>
      </c>
    </row>
    <row r="276" spans="1:46" hidden="1" x14ac:dyDescent="0.25">
      <c r="A276">
        <v>275</v>
      </c>
      <c r="B276">
        <v>2025</v>
      </c>
      <c r="C276">
        <v>6</v>
      </c>
      <c r="D276" t="s">
        <v>271</v>
      </c>
      <c r="E276">
        <v>31</v>
      </c>
      <c r="F276">
        <v>5</v>
      </c>
      <c r="G276" t="s">
        <v>536</v>
      </c>
      <c r="H276" s="154">
        <v>198800</v>
      </c>
      <c r="I276" s="154">
        <v>198944</v>
      </c>
      <c r="J276" s="154">
        <v>199054</v>
      </c>
      <c r="K276" s="154">
        <v>199118</v>
      </c>
      <c r="L276" s="154">
        <v>199191</v>
      </c>
      <c r="M276" s="154" t="s">
        <v>424</v>
      </c>
      <c r="N276" s="154" t="s">
        <v>424</v>
      </c>
      <c r="O276" s="154">
        <v>199416</v>
      </c>
      <c r="P276" s="154">
        <v>199468</v>
      </c>
      <c r="Q276" s="154">
        <v>199551</v>
      </c>
      <c r="R276" s="154">
        <v>199678</v>
      </c>
      <c r="S276" s="154">
        <v>199796</v>
      </c>
      <c r="T276" s="154">
        <v>199910</v>
      </c>
      <c r="U276" s="154">
        <v>199995</v>
      </c>
      <c r="V276" s="154">
        <v>200140</v>
      </c>
      <c r="W276" s="154">
        <v>200247</v>
      </c>
      <c r="X276" s="154">
        <v>200293</v>
      </c>
      <c r="Y276" s="154">
        <v>200375</v>
      </c>
      <c r="Z276" s="154">
        <v>200435</v>
      </c>
      <c r="AA276" s="154">
        <v>200538</v>
      </c>
      <c r="AB276" s="154">
        <v>200694</v>
      </c>
      <c r="AC276" s="154" t="s">
        <v>424</v>
      </c>
      <c r="AD276" s="154">
        <v>200855</v>
      </c>
      <c r="AE276" s="154">
        <v>200946</v>
      </c>
      <c r="AF276" s="154">
        <v>200992</v>
      </c>
      <c r="AG276" s="154">
        <v>201093</v>
      </c>
      <c r="AH276" s="154">
        <v>201215</v>
      </c>
      <c r="AI276" s="154">
        <v>201319</v>
      </c>
      <c r="AJ276" s="154">
        <v>201401</v>
      </c>
      <c r="AK276" s="154">
        <v>201470</v>
      </c>
      <c r="AL276" s="154" t="s">
        <v>424</v>
      </c>
      <c r="AS276">
        <v>276</v>
      </c>
    </row>
    <row r="277" spans="1:46" hidden="1" x14ac:dyDescent="0.25">
      <c r="A277">
        <v>276</v>
      </c>
      <c r="B277">
        <v>2025</v>
      </c>
      <c r="C277">
        <v>6</v>
      </c>
      <c r="D277" t="s">
        <v>271</v>
      </c>
      <c r="E277">
        <v>31</v>
      </c>
      <c r="F277">
        <v>5</v>
      </c>
      <c r="G277" t="s">
        <v>537</v>
      </c>
      <c r="H277" s="154">
        <v>198889</v>
      </c>
      <c r="I277" s="154">
        <v>199054</v>
      </c>
      <c r="J277" s="154">
        <v>199118</v>
      </c>
      <c r="K277" s="154">
        <v>199191</v>
      </c>
      <c r="L277" s="154">
        <v>199270</v>
      </c>
      <c r="M277" s="154" t="s">
        <v>424</v>
      </c>
      <c r="N277" s="154" t="s">
        <v>424</v>
      </c>
      <c r="O277" s="154">
        <v>199468</v>
      </c>
      <c r="P277" s="154">
        <v>199551</v>
      </c>
      <c r="Q277" s="154">
        <v>199655</v>
      </c>
      <c r="R277" s="154">
        <v>199769</v>
      </c>
      <c r="S277" s="154">
        <v>199910</v>
      </c>
      <c r="T277" s="154">
        <v>199995</v>
      </c>
      <c r="U277" s="154">
        <v>200140</v>
      </c>
      <c r="V277" s="154">
        <v>200247</v>
      </c>
      <c r="W277" s="154">
        <v>200293</v>
      </c>
      <c r="X277" s="154">
        <v>200375</v>
      </c>
      <c r="Y277" s="154">
        <v>200435</v>
      </c>
      <c r="Z277" s="154">
        <v>200538</v>
      </c>
      <c r="AA277" s="154">
        <v>200694</v>
      </c>
      <c r="AB277" s="154">
        <v>200823</v>
      </c>
      <c r="AC277" s="154" t="s">
        <v>424</v>
      </c>
      <c r="AD277" s="154">
        <v>200946</v>
      </c>
      <c r="AE277" s="154">
        <v>200992</v>
      </c>
      <c r="AF277" s="154">
        <v>201043</v>
      </c>
      <c r="AG277" s="154">
        <v>201215</v>
      </c>
      <c r="AH277" s="154">
        <v>201319</v>
      </c>
      <c r="AI277" s="154">
        <v>201401</v>
      </c>
      <c r="AJ277" s="154">
        <v>201470</v>
      </c>
      <c r="AK277" s="154">
        <v>201549</v>
      </c>
      <c r="AL277" s="154" t="s">
        <v>424</v>
      </c>
      <c r="AP277">
        <v>438.75</v>
      </c>
      <c r="AQ277">
        <f>_xlfn.XLOOKUP(D277,log_prices!M:M,log_prices!L:L,,0)</f>
        <v>15</v>
      </c>
      <c r="AR277" s="163" t="s">
        <v>445</v>
      </c>
      <c r="AS277">
        <v>277</v>
      </c>
      <c r="AT277" cm="1">
        <f t="array" ref="AT277">IF(AQ277="","",SUM(IFERROR(H277:AL277-H276:AL276,0)))</f>
        <v>2416</v>
      </c>
    </row>
    <row r="278" spans="1:46" hidden="1" x14ac:dyDescent="0.25">
      <c r="A278">
        <v>277</v>
      </c>
      <c r="B278">
        <v>2025</v>
      </c>
      <c r="C278">
        <v>6</v>
      </c>
      <c r="D278" t="s">
        <v>262</v>
      </c>
      <c r="E278">
        <v>31</v>
      </c>
      <c r="F278">
        <v>5</v>
      </c>
      <c r="G278" t="s">
        <v>534</v>
      </c>
      <c r="H278" s="154" t="s">
        <v>424</v>
      </c>
      <c r="I278" s="154" t="s">
        <v>424</v>
      </c>
      <c r="J278" s="154" t="s">
        <v>424</v>
      </c>
      <c r="K278" s="154">
        <v>0.29166666666666669</v>
      </c>
      <c r="L278" s="154">
        <v>0.29166666666666669</v>
      </c>
      <c r="M278" s="154">
        <v>0.29166666666666669</v>
      </c>
      <c r="N278" s="154">
        <v>0.29166666666666669</v>
      </c>
      <c r="O278" s="154">
        <v>0.29166666666666669</v>
      </c>
      <c r="P278" s="154">
        <v>0.29166666666666669</v>
      </c>
      <c r="Q278" s="154">
        <v>0.29166666666666669</v>
      </c>
      <c r="R278" s="154">
        <v>0.29166666666666669</v>
      </c>
      <c r="S278" s="154">
        <v>0.29166666666666669</v>
      </c>
      <c r="T278" s="154">
        <v>0.29166666666666669</v>
      </c>
      <c r="U278" s="154">
        <v>0.29166666666666669</v>
      </c>
      <c r="V278" s="154">
        <v>0.29166666666666669</v>
      </c>
      <c r="W278" s="154">
        <v>0.29166666666666669</v>
      </c>
      <c r="X278" s="154">
        <v>0.29166666666666669</v>
      </c>
      <c r="Y278" s="154">
        <v>0.29166666666666669</v>
      </c>
      <c r="Z278" s="154">
        <v>0.29166666666666669</v>
      </c>
      <c r="AA278" s="154">
        <v>0.29166666666666669</v>
      </c>
      <c r="AB278" s="154">
        <v>0.29166666666666669</v>
      </c>
      <c r="AC278" s="154">
        <v>0.29166666666666669</v>
      </c>
      <c r="AD278" s="154">
        <v>0.29166666666666669</v>
      </c>
      <c r="AE278" s="154">
        <v>0.29166666666666669</v>
      </c>
      <c r="AF278" s="154">
        <v>0.29166666666666669</v>
      </c>
      <c r="AG278" s="154">
        <v>0.29166666666666669</v>
      </c>
      <c r="AH278" s="154">
        <v>0.29166666666666669</v>
      </c>
      <c r="AI278" s="154">
        <v>0.29166666666666669</v>
      </c>
      <c r="AJ278" s="154">
        <v>0.29166666666666669</v>
      </c>
      <c r="AK278" s="154">
        <v>0.29166666666666669</v>
      </c>
      <c r="AL278" s="154" t="s">
        <v>424</v>
      </c>
      <c r="AS278">
        <v>278</v>
      </c>
    </row>
    <row r="279" spans="1:46" hidden="1" x14ac:dyDescent="0.25">
      <c r="A279">
        <v>278</v>
      </c>
      <c r="B279">
        <v>2025</v>
      </c>
      <c r="C279">
        <v>6</v>
      </c>
      <c r="D279" t="s">
        <v>262</v>
      </c>
      <c r="E279">
        <v>31</v>
      </c>
      <c r="F279">
        <v>5</v>
      </c>
      <c r="G279" t="s">
        <v>535</v>
      </c>
      <c r="H279" s="154" t="s">
        <v>424</v>
      </c>
      <c r="I279" s="154" t="s">
        <v>424</v>
      </c>
      <c r="J279" s="154" t="s">
        <v>424</v>
      </c>
      <c r="K279" s="154">
        <v>0.75</v>
      </c>
      <c r="L279" s="154">
        <v>0.75</v>
      </c>
      <c r="M279" s="154">
        <v>0.75</v>
      </c>
      <c r="N279" s="154">
        <v>0.75</v>
      </c>
      <c r="O279" s="154">
        <v>0.75</v>
      </c>
      <c r="P279" s="154">
        <v>0.75</v>
      </c>
      <c r="Q279" s="154">
        <v>0.75</v>
      </c>
      <c r="R279" s="154">
        <v>0.75</v>
      </c>
      <c r="S279" s="154">
        <v>0.75</v>
      </c>
      <c r="T279" s="154">
        <v>0.75</v>
      </c>
      <c r="U279" s="154">
        <v>0.75</v>
      </c>
      <c r="V279" s="154">
        <v>0.75</v>
      </c>
      <c r="W279" s="154">
        <v>0.75</v>
      </c>
      <c r="X279" s="154">
        <v>0.75</v>
      </c>
      <c r="Y279" s="154">
        <v>0.75</v>
      </c>
      <c r="Z279" s="154">
        <v>0.75</v>
      </c>
      <c r="AA279" s="154">
        <v>0.75</v>
      </c>
      <c r="AB279" s="154">
        <v>0.75</v>
      </c>
      <c r="AC279" s="154">
        <v>0.75</v>
      </c>
      <c r="AD279" s="154">
        <v>0.75</v>
      </c>
      <c r="AE279" s="154">
        <v>0.75</v>
      </c>
      <c r="AF279" s="154">
        <v>0.75</v>
      </c>
      <c r="AG279" s="154">
        <v>0.75</v>
      </c>
      <c r="AH279" s="154">
        <v>0.75</v>
      </c>
      <c r="AI279" s="154">
        <v>0.75</v>
      </c>
      <c r="AJ279" s="154">
        <v>0.75</v>
      </c>
      <c r="AK279" s="154">
        <v>0.75</v>
      </c>
      <c r="AL279" s="154" t="s">
        <v>424</v>
      </c>
      <c r="AM279" cm="1">
        <f t="array" ref="AM279">SUM(_xlfn.LET(_xlpm.r,((IFERROR(H279:AL279-H278:AL278,0))*24)/10,IF(_xlpm.r&gt;1,1,_xlpm.r)))</f>
        <v>27</v>
      </c>
      <c r="AS279">
        <v>279</v>
      </c>
    </row>
    <row r="280" spans="1:46" hidden="1" x14ac:dyDescent="0.25">
      <c r="A280">
        <v>279</v>
      </c>
      <c r="B280">
        <v>2025</v>
      </c>
      <c r="C280">
        <v>6</v>
      </c>
      <c r="D280" t="s">
        <v>244</v>
      </c>
      <c r="E280">
        <v>31</v>
      </c>
      <c r="F280">
        <v>5</v>
      </c>
      <c r="G280" t="s">
        <v>534</v>
      </c>
      <c r="H280" s="154" t="s">
        <v>495</v>
      </c>
      <c r="I280" s="154" t="s">
        <v>496</v>
      </c>
      <c r="J280" s="154" t="s">
        <v>497</v>
      </c>
      <c r="K280" s="154" t="s">
        <v>498</v>
      </c>
      <c r="L280" s="154" t="s">
        <v>499</v>
      </c>
      <c r="M280" s="154" t="s">
        <v>500</v>
      </c>
      <c r="N280" s="154" t="s">
        <v>424</v>
      </c>
      <c r="O280" s="154" t="s">
        <v>491</v>
      </c>
      <c r="P280" s="154" t="s">
        <v>501</v>
      </c>
      <c r="Q280" s="154" t="s">
        <v>502</v>
      </c>
      <c r="R280" s="154" t="s">
        <v>503</v>
      </c>
      <c r="S280" s="154" t="s">
        <v>501</v>
      </c>
      <c r="T280" s="154" t="s">
        <v>504</v>
      </c>
      <c r="U280" s="154" t="s">
        <v>479</v>
      </c>
      <c r="V280" s="154" t="s">
        <v>505</v>
      </c>
      <c r="W280" s="154" t="s">
        <v>505</v>
      </c>
      <c r="X280" s="154" t="s">
        <v>506</v>
      </c>
      <c r="Y280" s="154" t="s">
        <v>479</v>
      </c>
      <c r="Z280" s="154" t="s">
        <v>479</v>
      </c>
      <c r="AA280" s="154" t="s">
        <v>507</v>
      </c>
      <c r="AB280" s="154" t="s">
        <v>508</v>
      </c>
      <c r="AC280" s="154" t="s">
        <v>479</v>
      </c>
      <c r="AD280" s="154" t="s">
        <v>479</v>
      </c>
      <c r="AE280" s="154" t="s">
        <v>509</v>
      </c>
      <c r="AF280" s="154" t="s">
        <v>479</v>
      </c>
      <c r="AG280" s="154" t="s">
        <v>479</v>
      </c>
      <c r="AH280" s="154" t="s">
        <v>479</v>
      </c>
      <c r="AI280" s="154" t="s">
        <v>506</v>
      </c>
      <c r="AJ280" s="154" t="s">
        <v>479</v>
      </c>
      <c r="AK280" s="154" t="s">
        <v>479</v>
      </c>
      <c r="AL280" s="154" t="s">
        <v>424</v>
      </c>
      <c r="AS280">
        <v>280</v>
      </c>
    </row>
    <row r="281" spans="1:46" hidden="1" x14ac:dyDescent="0.25">
      <c r="A281">
        <v>280</v>
      </c>
      <c r="B281">
        <v>2025</v>
      </c>
      <c r="C281">
        <v>6</v>
      </c>
      <c r="D281" t="s">
        <v>244</v>
      </c>
      <c r="E281">
        <v>31</v>
      </c>
      <c r="F281">
        <v>5</v>
      </c>
      <c r="G281" t="s">
        <v>535</v>
      </c>
      <c r="H281" s="154">
        <v>0.81805555555555554</v>
      </c>
      <c r="I281" s="154">
        <v>0.7895833333333333</v>
      </c>
      <c r="J281" s="154">
        <v>0.87986111111111109</v>
      </c>
      <c r="K281" s="154">
        <v>0.97083333333333321</v>
      </c>
      <c r="L281" s="154">
        <v>0.85416666666666663</v>
      </c>
      <c r="M281" s="154">
        <v>0.76111111111111107</v>
      </c>
      <c r="N281" s="154" t="s">
        <v>424</v>
      </c>
      <c r="O281" s="154">
        <v>1.1145833333333333</v>
      </c>
      <c r="P281" s="154">
        <v>0.83125000000000004</v>
      </c>
      <c r="Q281" s="154">
        <v>0.87291666666666667</v>
      </c>
      <c r="R281" s="154">
        <v>0.89305555555555549</v>
      </c>
      <c r="S281" s="154">
        <v>0.89375000000000004</v>
      </c>
      <c r="T281" s="154">
        <v>0.7416666666666667</v>
      </c>
      <c r="U281" s="154">
        <v>0.75</v>
      </c>
      <c r="V281" s="154">
        <v>0.82638888888888884</v>
      </c>
      <c r="W281" s="154">
        <v>0.74305555555555558</v>
      </c>
      <c r="X281" s="154">
        <v>0.89583333333333326</v>
      </c>
      <c r="Y281" s="154">
        <v>0.91666666666666674</v>
      </c>
      <c r="Z281" s="154">
        <v>1</v>
      </c>
      <c r="AA281" s="154">
        <v>0.73888888888888893</v>
      </c>
      <c r="AB281" s="154">
        <v>0.96111111111111103</v>
      </c>
      <c r="AC281" s="154">
        <v>0.9375</v>
      </c>
      <c r="AD281" s="154">
        <v>0.75</v>
      </c>
      <c r="AE281" s="154">
        <v>0.61458333333333326</v>
      </c>
      <c r="AF281" s="154">
        <v>0.75</v>
      </c>
      <c r="AG281" s="154">
        <v>0.85416666666666674</v>
      </c>
      <c r="AH281" s="154">
        <v>0.75</v>
      </c>
      <c r="AI281" s="154">
        <v>0.5625</v>
      </c>
      <c r="AJ281" s="154">
        <v>1.0208333333333333</v>
      </c>
      <c r="AK281" s="154">
        <v>0.875</v>
      </c>
      <c r="AL281" s="154" t="s">
        <v>424</v>
      </c>
      <c r="AM281" cm="1">
        <f t="array" ref="AM281">SUM(_xlfn.LET(_xlpm.r,((IFERROR(H281:AL281-H280:AL280,0))*24)/10,IF(_xlpm.r&gt;1,1,_xlpm.r)))</f>
        <v>29</v>
      </c>
      <c r="AO281" cm="1">
        <f t="array" ref="AO281">SUM(IFERROR(MOD((H281:AL281-H280:AL280)*24,11),""))</f>
        <v>89.499999999999986</v>
      </c>
      <c r="AS281">
        <v>281</v>
      </c>
    </row>
    <row r="282" spans="1:46" hidden="1" x14ac:dyDescent="0.25">
      <c r="A282">
        <v>281</v>
      </c>
      <c r="B282">
        <v>2025</v>
      </c>
      <c r="C282">
        <v>6</v>
      </c>
      <c r="D282" t="s">
        <v>244</v>
      </c>
      <c r="E282">
        <v>31</v>
      </c>
      <c r="F282">
        <v>5</v>
      </c>
      <c r="G282" t="s">
        <v>536</v>
      </c>
      <c r="H282" s="154">
        <v>374307</v>
      </c>
      <c r="I282" s="154">
        <v>374772</v>
      </c>
      <c r="J282" s="154">
        <v>375060</v>
      </c>
      <c r="K282" s="154">
        <v>375343</v>
      </c>
      <c r="L282" s="154">
        <v>375628</v>
      </c>
      <c r="M282" s="154">
        <v>375794</v>
      </c>
      <c r="N282" s="154" t="s">
        <v>424</v>
      </c>
      <c r="O282" s="154">
        <v>376143</v>
      </c>
      <c r="P282" s="154">
        <v>376673</v>
      </c>
      <c r="Q282" s="154">
        <v>376975</v>
      </c>
      <c r="R282" s="154">
        <v>377302</v>
      </c>
      <c r="S282" s="154">
        <v>377505</v>
      </c>
      <c r="T282" s="154">
        <v>377929</v>
      </c>
      <c r="U282" s="154">
        <v>378118</v>
      </c>
      <c r="V282" s="154">
        <v>378407</v>
      </c>
      <c r="W282" s="154">
        <v>378877</v>
      </c>
      <c r="X282" s="154">
        <v>378974</v>
      </c>
      <c r="Y282" s="154">
        <v>379721</v>
      </c>
      <c r="Z282" s="154">
        <v>380077</v>
      </c>
      <c r="AA282" s="154">
        <v>380257</v>
      </c>
      <c r="AB282" s="154">
        <v>380526</v>
      </c>
      <c r="AC282" s="154">
        <v>380887</v>
      </c>
      <c r="AD282" s="154">
        <v>381386</v>
      </c>
      <c r="AE282" s="154">
        <v>381561</v>
      </c>
      <c r="AF282" s="154">
        <v>382172</v>
      </c>
      <c r="AG282" s="154">
        <v>382428</v>
      </c>
      <c r="AH282" s="154">
        <v>382766</v>
      </c>
      <c r="AI282" s="154">
        <v>382842</v>
      </c>
      <c r="AJ282" s="154">
        <v>383260</v>
      </c>
      <c r="AK282" s="154">
        <v>383617</v>
      </c>
      <c r="AL282" s="154" t="s">
        <v>424</v>
      </c>
      <c r="AS282">
        <v>282</v>
      </c>
    </row>
    <row r="283" spans="1:46" hidden="1" x14ac:dyDescent="0.25">
      <c r="A283">
        <v>282</v>
      </c>
      <c r="B283">
        <v>2025</v>
      </c>
      <c r="C283">
        <v>6</v>
      </c>
      <c r="D283" t="s">
        <v>244</v>
      </c>
      <c r="E283">
        <v>31</v>
      </c>
      <c r="F283">
        <v>5</v>
      </c>
      <c r="G283" t="s">
        <v>537</v>
      </c>
      <c r="H283" s="154">
        <v>374722</v>
      </c>
      <c r="I283" s="154">
        <v>375009</v>
      </c>
      <c r="J283" s="154">
        <v>375310</v>
      </c>
      <c r="K283" s="154">
        <v>375598</v>
      </c>
      <c r="L283" s="154">
        <v>375773</v>
      </c>
      <c r="M283" s="154">
        <v>376094</v>
      </c>
      <c r="N283" s="154" t="s">
        <v>424</v>
      </c>
      <c r="O283" s="154">
        <v>376602</v>
      </c>
      <c r="P283" s="154">
        <v>376940</v>
      </c>
      <c r="Q283" s="154">
        <v>377250</v>
      </c>
      <c r="R283" s="154">
        <v>377473</v>
      </c>
      <c r="S283" s="154">
        <v>377916</v>
      </c>
      <c r="T283" s="154">
        <v>378095</v>
      </c>
      <c r="U283" s="154">
        <v>378407</v>
      </c>
      <c r="V283" s="154">
        <v>378827</v>
      </c>
      <c r="W283" s="154">
        <v>378962</v>
      </c>
      <c r="X283" s="154">
        <v>379577</v>
      </c>
      <c r="Y283" s="154">
        <v>380038</v>
      </c>
      <c r="Z283" s="154">
        <v>380207</v>
      </c>
      <c r="AA283" s="154">
        <v>380450</v>
      </c>
      <c r="AB283" s="154">
        <v>380847</v>
      </c>
      <c r="AC283" s="154">
        <v>381336</v>
      </c>
      <c r="AD283" s="154">
        <v>381537</v>
      </c>
      <c r="AE283" s="154">
        <v>382172</v>
      </c>
      <c r="AF283" s="154">
        <v>382389</v>
      </c>
      <c r="AG283" s="154">
        <v>382715</v>
      </c>
      <c r="AH283" s="154">
        <v>382823</v>
      </c>
      <c r="AI283" s="154">
        <v>383220</v>
      </c>
      <c r="AJ283" s="154">
        <v>383590</v>
      </c>
      <c r="AK283" s="154">
        <v>383867</v>
      </c>
      <c r="AL283" s="154" t="s">
        <v>424</v>
      </c>
      <c r="AP283" cm="1">
        <f t="array" ref="AP283">IF(AQ283="","",SUM(IFERROR(H283:AL283-H282:AL282,0))*AQ283/100)</f>
        <v>1012.68</v>
      </c>
      <c r="AQ283">
        <f>_xlfn.XLOOKUP(D283,log_prices!M:M,log_prices!L:L,,0)</f>
        <v>12</v>
      </c>
      <c r="AS283">
        <v>283</v>
      </c>
      <c r="AT283" cm="1">
        <f t="array" ref="AT283">IF(AQ283="","",SUM(IFERROR(H283:AL283-H282:AL282,0)))</f>
        <v>8439</v>
      </c>
    </row>
    <row r="284" spans="1:46" hidden="1" x14ac:dyDescent="0.25">
      <c r="A284">
        <v>283</v>
      </c>
      <c r="B284">
        <v>2025</v>
      </c>
      <c r="C284">
        <v>6</v>
      </c>
      <c r="D284" t="s">
        <v>270</v>
      </c>
      <c r="E284">
        <v>31</v>
      </c>
      <c r="F284">
        <v>5</v>
      </c>
      <c r="G284" t="s">
        <v>534</v>
      </c>
      <c r="H284" s="154" t="s">
        <v>479</v>
      </c>
      <c r="I284" s="154" t="s">
        <v>479</v>
      </c>
      <c r="J284" s="154" t="s">
        <v>479</v>
      </c>
      <c r="K284" s="154" t="s">
        <v>479</v>
      </c>
      <c r="L284" s="154" t="s">
        <v>479</v>
      </c>
      <c r="M284" s="154" t="s">
        <v>424</v>
      </c>
      <c r="N284" s="154" t="s">
        <v>424</v>
      </c>
      <c r="O284" s="154" t="s">
        <v>479</v>
      </c>
      <c r="P284" s="154" t="s">
        <v>479</v>
      </c>
      <c r="Q284" s="154" t="s">
        <v>479</v>
      </c>
      <c r="R284" s="154" t="s">
        <v>479</v>
      </c>
      <c r="S284" s="154" t="s">
        <v>479</v>
      </c>
      <c r="T284" s="154" t="s">
        <v>479</v>
      </c>
      <c r="U284" s="154" t="s">
        <v>479</v>
      </c>
      <c r="V284" s="154" t="s">
        <v>479</v>
      </c>
      <c r="W284" s="154" t="s">
        <v>479</v>
      </c>
      <c r="X284" s="154" t="s">
        <v>479</v>
      </c>
      <c r="Y284" s="154" t="s">
        <v>479</v>
      </c>
      <c r="Z284" s="154" t="s">
        <v>479</v>
      </c>
      <c r="AA284" s="154" t="s">
        <v>479</v>
      </c>
      <c r="AB284" s="154" t="s">
        <v>479</v>
      </c>
      <c r="AC284" s="154" t="s">
        <v>424</v>
      </c>
      <c r="AD284" s="154" t="s">
        <v>479</v>
      </c>
      <c r="AE284" s="154" t="s">
        <v>479</v>
      </c>
      <c r="AF284" s="154" t="s">
        <v>479</v>
      </c>
      <c r="AG284" s="154" t="s">
        <v>479</v>
      </c>
      <c r="AH284" s="154" t="s">
        <v>479</v>
      </c>
      <c r="AI284" s="154" t="s">
        <v>479</v>
      </c>
      <c r="AJ284" s="154" t="s">
        <v>479</v>
      </c>
      <c r="AK284" s="154" t="s">
        <v>479</v>
      </c>
      <c r="AL284" s="154" t="s">
        <v>424</v>
      </c>
      <c r="AS284">
        <v>284</v>
      </c>
    </row>
    <row r="285" spans="1:46" hidden="1" x14ac:dyDescent="0.25">
      <c r="A285">
        <v>284</v>
      </c>
      <c r="B285">
        <v>2025</v>
      </c>
      <c r="C285">
        <v>6</v>
      </c>
      <c r="D285" t="s">
        <v>270</v>
      </c>
      <c r="E285">
        <v>31</v>
      </c>
      <c r="F285">
        <v>5</v>
      </c>
      <c r="G285" t="s">
        <v>535</v>
      </c>
      <c r="H285" s="154">
        <v>0.75</v>
      </c>
      <c r="I285" s="154">
        <v>0.79166666666666674</v>
      </c>
      <c r="J285" s="154">
        <v>0.75</v>
      </c>
      <c r="K285" s="154">
        <v>0.79166666666666674</v>
      </c>
      <c r="L285" s="154">
        <v>0.75</v>
      </c>
      <c r="M285" s="154" t="s">
        <v>424</v>
      </c>
      <c r="N285" s="154" t="s">
        <v>424</v>
      </c>
      <c r="O285" s="154">
        <v>0.75</v>
      </c>
      <c r="P285" s="154">
        <v>0.83333333333333326</v>
      </c>
      <c r="Q285" s="154">
        <v>0.79166666666666674</v>
      </c>
      <c r="R285" s="154">
        <v>0.83333333333333326</v>
      </c>
      <c r="S285" s="154">
        <v>0.83333333333333326</v>
      </c>
      <c r="T285" s="154">
        <v>0.83333333333333326</v>
      </c>
      <c r="U285" s="154">
        <v>0.79166666666666674</v>
      </c>
      <c r="V285" s="154">
        <v>0.75</v>
      </c>
      <c r="W285" s="154">
        <v>0.875</v>
      </c>
      <c r="X285" s="154">
        <v>0.95833333333333326</v>
      </c>
      <c r="Y285" s="154">
        <v>0.83333333333333326</v>
      </c>
      <c r="Z285" s="154">
        <v>0.83333333333333326</v>
      </c>
      <c r="AA285" s="154">
        <v>0.83333333333333326</v>
      </c>
      <c r="AB285" s="154">
        <v>0.83333333333333326</v>
      </c>
      <c r="AC285" s="154" t="s">
        <v>424</v>
      </c>
      <c r="AD285" s="154">
        <v>1</v>
      </c>
      <c r="AE285" s="154">
        <v>0.875</v>
      </c>
      <c r="AF285" s="154">
        <v>0.83333333333333326</v>
      </c>
      <c r="AG285" s="154">
        <v>0.83333333333333326</v>
      </c>
      <c r="AH285" s="154">
        <v>0.83333333333333326</v>
      </c>
      <c r="AI285" s="154">
        <v>0.79166666666666674</v>
      </c>
      <c r="AJ285" s="154">
        <v>0.83333333333333326</v>
      </c>
      <c r="AK285" s="154">
        <v>0.875</v>
      </c>
      <c r="AL285" s="154" t="s">
        <v>424</v>
      </c>
      <c r="AM285" cm="1">
        <f t="array" ref="AM285">SUM(_xlfn.LET(_xlpm.r,((IFERROR(H285:AL285-H284:AL284,0))*24)/10,IF(_xlpm.r&gt;1,1,_xlpm.r)))</f>
        <v>27</v>
      </c>
      <c r="AO285" cm="1">
        <f t="array" ref="AO285">SUM(IFERROR((H285:AL285-H284:AL284)*24-11,""))</f>
        <v>48.999999999999957</v>
      </c>
      <c r="AS285">
        <v>285</v>
      </c>
    </row>
    <row r="286" spans="1:46" hidden="1" x14ac:dyDescent="0.25">
      <c r="A286">
        <v>285</v>
      </c>
      <c r="B286">
        <v>2025</v>
      </c>
      <c r="C286">
        <v>6</v>
      </c>
      <c r="D286" t="s">
        <v>270</v>
      </c>
      <c r="E286">
        <v>31</v>
      </c>
      <c r="F286">
        <v>5</v>
      </c>
      <c r="G286" t="s">
        <v>536</v>
      </c>
      <c r="H286" s="154">
        <v>264848</v>
      </c>
      <c r="I286" s="154">
        <v>264889</v>
      </c>
      <c r="J286" s="154">
        <v>264937</v>
      </c>
      <c r="K286" s="154">
        <v>264945</v>
      </c>
      <c r="L286" s="154">
        <v>264994</v>
      </c>
      <c r="M286" s="154" t="s">
        <v>424</v>
      </c>
      <c r="N286" s="154" t="s">
        <v>424</v>
      </c>
      <c r="O286" s="154">
        <v>265045</v>
      </c>
      <c r="P286" s="154">
        <v>265084</v>
      </c>
      <c r="Q286" s="154">
        <v>265192</v>
      </c>
      <c r="R286" s="154">
        <v>265264</v>
      </c>
      <c r="S286" s="154">
        <v>265335</v>
      </c>
      <c r="T286" s="154">
        <v>265394</v>
      </c>
      <c r="U286" s="154">
        <v>265478</v>
      </c>
      <c r="V286" s="154">
        <v>265553</v>
      </c>
      <c r="W286" s="154">
        <v>265583</v>
      </c>
      <c r="X286" s="154">
        <v>265636</v>
      </c>
      <c r="Y286" s="154">
        <v>265695</v>
      </c>
      <c r="Z286" s="154">
        <v>265773</v>
      </c>
      <c r="AA286" s="154">
        <v>265828</v>
      </c>
      <c r="AB286" s="154">
        <v>265893</v>
      </c>
      <c r="AC286" s="154" t="s">
        <v>424</v>
      </c>
      <c r="AD286" s="154">
        <v>265974</v>
      </c>
      <c r="AE286" s="154">
        <v>266045</v>
      </c>
      <c r="AF286" s="154">
        <v>266103</v>
      </c>
      <c r="AG286" s="154">
        <v>266162</v>
      </c>
      <c r="AH286" s="154">
        <v>266245</v>
      </c>
      <c r="AI286" s="154">
        <v>266289</v>
      </c>
      <c r="AJ286" s="154">
        <v>266376</v>
      </c>
      <c r="AK286" s="154">
        <v>266430</v>
      </c>
      <c r="AL286" s="154" t="s">
        <v>424</v>
      </c>
      <c r="AS286">
        <v>286</v>
      </c>
    </row>
    <row r="287" spans="1:46" hidden="1" x14ac:dyDescent="0.25">
      <c r="A287">
        <v>286</v>
      </c>
      <c r="B287">
        <v>2025</v>
      </c>
      <c r="C287">
        <v>6</v>
      </c>
      <c r="D287" t="s">
        <v>270</v>
      </c>
      <c r="E287">
        <v>31</v>
      </c>
      <c r="F287">
        <v>5</v>
      </c>
      <c r="G287" t="s">
        <v>537</v>
      </c>
      <c r="H287" s="154">
        <v>264889</v>
      </c>
      <c r="I287" s="154">
        <v>264937</v>
      </c>
      <c r="J287" s="154">
        <v>264945</v>
      </c>
      <c r="K287" s="154">
        <v>264994</v>
      </c>
      <c r="L287" s="154">
        <v>265045</v>
      </c>
      <c r="M287" s="154" t="s">
        <v>424</v>
      </c>
      <c r="N287" s="154" t="s">
        <v>424</v>
      </c>
      <c r="O287" s="154">
        <v>265084</v>
      </c>
      <c r="P287" s="154">
        <v>265192</v>
      </c>
      <c r="Q287" s="154">
        <v>265264</v>
      </c>
      <c r="R287" s="154">
        <v>265335</v>
      </c>
      <c r="S287" s="154">
        <v>265394</v>
      </c>
      <c r="T287" s="154">
        <v>265478</v>
      </c>
      <c r="U287" s="154">
        <v>265553</v>
      </c>
      <c r="V287" s="154">
        <v>265583</v>
      </c>
      <c r="W287" s="154">
        <v>265636</v>
      </c>
      <c r="X287" s="154">
        <v>265695</v>
      </c>
      <c r="Y287" s="154">
        <v>265773</v>
      </c>
      <c r="Z287" s="154">
        <v>265828</v>
      </c>
      <c r="AA287" s="154">
        <v>265893</v>
      </c>
      <c r="AB287" s="154">
        <v>265974</v>
      </c>
      <c r="AC287" s="154" t="s">
        <v>424</v>
      </c>
      <c r="AD287" s="154">
        <v>266045</v>
      </c>
      <c r="AE287" s="154">
        <v>266103</v>
      </c>
      <c r="AF287" s="154">
        <v>266162</v>
      </c>
      <c r="AG287" s="154">
        <v>266245</v>
      </c>
      <c r="AH287" s="154">
        <v>266289</v>
      </c>
      <c r="AI287" s="154">
        <v>266376</v>
      </c>
      <c r="AJ287" s="154">
        <v>266430</v>
      </c>
      <c r="AK287" s="154">
        <v>266512</v>
      </c>
      <c r="AL287" s="154" t="s">
        <v>424</v>
      </c>
      <c r="AP287" cm="1">
        <f t="array" ref="AP287">IF(AQ287="","",SUM(IFERROR(H287:AL287-H286:AL286,0))*AQ287/100)</f>
        <v>249.6</v>
      </c>
      <c r="AQ287">
        <f>_xlfn.XLOOKUP(D287,log_prices!M:M,log_prices!L:L,,0)</f>
        <v>15</v>
      </c>
      <c r="AS287">
        <v>287</v>
      </c>
      <c r="AT287" cm="1">
        <f t="array" ref="AT287">IF(AQ287="","",SUM(IFERROR(H287:AL287-H286:AL286,0)))</f>
        <v>1664</v>
      </c>
    </row>
    <row r="288" spans="1:46" hidden="1" x14ac:dyDescent="0.25">
      <c r="A288">
        <v>287</v>
      </c>
      <c r="B288">
        <v>2025</v>
      </c>
      <c r="C288">
        <v>6</v>
      </c>
      <c r="D288" t="s">
        <v>248</v>
      </c>
      <c r="E288">
        <v>31</v>
      </c>
      <c r="F288">
        <v>5</v>
      </c>
      <c r="G288" t="s">
        <v>534</v>
      </c>
      <c r="H288" s="154" t="s">
        <v>479</v>
      </c>
      <c r="I288" s="154" t="s">
        <v>479</v>
      </c>
      <c r="J288" s="154" t="s">
        <v>479</v>
      </c>
      <c r="K288" s="154" t="s">
        <v>479</v>
      </c>
      <c r="L288" s="154" t="s">
        <v>479</v>
      </c>
      <c r="M288" s="154" t="s">
        <v>424</v>
      </c>
      <c r="N288" s="154" t="s">
        <v>479</v>
      </c>
      <c r="O288" s="154" t="s">
        <v>479</v>
      </c>
      <c r="P288" s="154" t="s">
        <v>479</v>
      </c>
      <c r="Q288" s="154" t="s">
        <v>479</v>
      </c>
      <c r="R288" s="154" t="s">
        <v>479</v>
      </c>
      <c r="S288" s="154" t="s">
        <v>479</v>
      </c>
      <c r="T288" s="154" t="s">
        <v>479</v>
      </c>
      <c r="U288" s="154" t="s">
        <v>479</v>
      </c>
      <c r="V288" s="154" t="s">
        <v>479</v>
      </c>
      <c r="W288" s="154" t="s">
        <v>479</v>
      </c>
      <c r="X288" s="154" t="s">
        <v>479</v>
      </c>
      <c r="Y288" s="154" t="s">
        <v>479</v>
      </c>
      <c r="Z288" s="154" t="s">
        <v>479</v>
      </c>
      <c r="AA288" s="154" t="s">
        <v>479</v>
      </c>
      <c r="AB288" s="154" t="s">
        <v>479</v>
      </c>
      <c r="AC288" s="154" t="s">
        <v>424</v>
      </c>
      <c r="AD288" s="154" t="s">
        <v>479</v>
      </c>
      <c r="AE288" s="154" t="s">
        <v>479</v>
      </c>
      <c r="AF288" s="154" t="s">
        <v>479</v>
      </c>
      <c r="AG288" s="154" t="s">
        <v>479</v>
      </c>
      <c r="AH288" s="154" t="s">
        <v>479</v>
      </c>
      <c r="AI288" s="154" t="s">
        <v>479</v>
      </c>
      <c r="AJ288" s="154" t="s">
        <v>479</v>
      </c>
      <c r="AK288" s="154" t="s">
        <v>479</v>
      </c>
      <c r="AL288" s="154" t="s">
        <v>424</v>
      </c>
      <c r="AS288">
        <v>288</v>
      </c>
    </row>
    <row r="289" spans="1:46" hidden="1" x14ac:dyDescent="0.25">
      <c r="A289">
        <v>288</v>
      </c>
      <c r="B289">
        <v>2025</v>
      </c>
      <c r="C289">
        <v>6</v>
      </c>
      <c r="D289" t="s">
        <v>248</v>
      </c>
      <c r="E289">
        <v>31</v>
      </c>
      <c r="F289">
        <v>5</v>
      </c>
      <c r="G289" t="s">
        <v>535</v>
      </c>
      <c r="H289" s="154" t="s">
        <v>510</v>
      </c>
      <c r="I289" s="154" t="s">
        <v>510</v>
      </c>
      <c r="J289" s="154" t="s">
        <v>510</v>
      </c>
      <c r="K289" s="154" t="s">
        <v>510</v>
      </c>
      <c r="L289" s="154" t="s">
        <v>510</v>
      </c>
      <c r="M289" s="154" t="s">
        <v>424</v>
      </c>
      <c r="N289" s="154">
        <v>0.75</v>
      </c>
      <c r="O289" s="154" t="s">
        <v>510</v>
      </c>
      <c r="P289" s="154" t="s">
        <v>510</v>
      </c>
      <c r="Q289" s="154" t="s">
        <v>510</v>
      </c>
      <c r="R289" s="154" t="s">
        <v>510</v>
      </c>
      <c r="S289" s="154" t="s">
        <v>510</v>
      </c>
      <c r="T289" s="154" t="s">
        <v>510</v>
      </c>
      <c r="U289" s="154" t="s">
        <v>510</v>
      </c>
      <c r="V289" s="154" t="s">
        <v>510</v>
      </c>
      <c r="W289" s="154" t="s">
        <v>510</v>
      </c>
      <c r="X289" s="154" t="s">
        <v>510</v>
      </c>
      <c r="Y289" s="154" t="s">
        <v>510</v>
      </c>
      <c r="Z289" s="154" t="s">
        <v>510</v>
      </c>
      <c r="AA289" s="154" t="s">
        <v>510</v>
      </c>
      <c r="AB289" s="154" t="s">
        <v>510</v>
      </c>
      <c r="AC289" s="154" t="s">
        <v>424</v>
      </c>
      <c r="AD289" s="154" t="s">
        <v>510</v>
      </c>
      <c r="AE289" s="154" t="s">
        <v>510</v>
      </c>
      <c r="AF289" s="154" t="s">
        <v>510</v>
      </c>
      <c r="AG289" s="154" t="s">
        <v>510</v>
      </c>
      <c r="AH289" s="154" t="s">
        <v>510</v>
      </c>
      <c r="AI289" s="154" t="s">
        <v>510</v>
      </c>
      <c r="AJ289" s="154" t="s">
        <v>510</v>
      </c>
      <c r="AK289" s="154" t="s">
        <v>510</v>
      </c>
      <c r="AL289" s="154" t="s">
        <v>424</v>
      </c>
      <c r="AM289" cm="1">
        <f t="array" ref="AM289">_xlfn.LET(_xlpm.r,IFERROR((H289:AL289-H288:AL288)*24,""),SUM(IF(_xlpm.r="",0,IF(_xlpm.r=-1,0,1))))-16</f>
        <v>-15</v>
      </c>
      <c r="AN289" cm="1">
        <f t="array" ref="AN289">_xlfn.LET(_xlpm.r,IFERROR((H289:AL289-H288:AL288)*24,""),SUM(IF(_xlpm.r="",0,IF(_xlpm.r=-1,1,0))))+8</f>
        <v>35</v>
      </c>
      <c r="AO289" cm="1">
        <f t="array" ref="AO289">_xlfn.LET(_xlpm.r,SUM(IFERROR(MOD((H289:AL289-H288:AL288)*24,11),"")),_xlpm.r-AN289*10)+80</f>
        <v>0</v>
      </c>
      <c r="AR289" t="s">
        <v>443</v>
      </c>
      <c r="AS289">
        <v>289</v>
      </c>
    </row>
    <row r="290" spans="1:46" hidden="1" x14ac:dyDescent="0.25">
      <c r="A290">
        <v>289</v>
      </c>
      <c r="B290">
        <v>2025</v>
      </c>
      <c r="C290">
        <v>6</v>
      </c>
      <c r="D290" t="s">
        <v>248</v>
      </c>
      <c r="E290">
        <v>31</v>
      </c>
      <c r="F290">
        <v>5</v>
      </c>
      <c r="G290" t="s">
        <v>536</v>
      </c>
      <c r="H290" s="154">
        <v>355850</v>
      </c>
      <c r="I290" s="154">
        <v>355914</v>
      </c>
      <c r="J290" s="154">
        <v>355990</v>
      </c>
      <c r="K290" s="154">
        <v>356041</v>
      </c>
      <c r="L290" s="154">
        <v>356140</v>
      </c>
      <c r="M290" s="154" t="s">
        <v>424</v>
      </c>
      <c r="N290" s="154">
        <v>356531</v>
      </c>
      <c r="O290" s="154">
        <v>356711</v>
      </c>
      <c r="P290" s="154">
        <v>356761</v>
      </c>
      <c r="Q290" s="154">
        <v>356813</v>
      </c>
      <c r="R290" s="154">
        <v>356881</v>
      </c>
      <c r="S290" s="154">
        <v>357040</v>
      </c>
      <c r="T290" s="154">
        <v>357226</v>
      </c>
      <c r="U290" s="154">
        <v>357325</v>
      </c>
      <c r="V290" s="154">
        <v>357384</v>
      </c>
      <c r="W290" s="154">
        <v>357691</v>
      </c>
      <c r="X290" s="154">
        <v>357815</v>
      </c>
      <c r="Y290" s="154">
        <v>357911</v>
      </c>
      <c r="Z290" s="154">
        <v>358007</v>
      </c>
      <c r="AA290" s="154">
        <v>358080</v>
      </c>
      <c r="AB290" s="154">
        <v>358163</v>
      </c>
      <c r="AC290" s="154" t="s">
        <v>424</v>
      </c>
      <c r="AD290" s="154">
        <v>358466</v>
      </c>
      <c r="AE290" s="154">
        <v>358637</v>
      </c>
      <c r="AF290" s="154">
        <v>358701</v>
      </c>
      <c r="AG290" s="154">
        <v>358773</v>
      </c>
      <c r="AH290" s="154">
        <v>358855</v>
      </c>
      <c r="AI290" s="154">
        <v>358938</v>
      </c>
      <c r="AJ290" s="154">
        <v>359022</v>
      </c>
      <c r="AK290" s="154">
        <v>359102</v>
      </c>
      <c r="AL290" s="154" t="s">
        <v>424</v>
      </c>
      <c r="AS290">
        <v>290</v>
      </c>
    </row>
    <row r="291" spans="1:46" hidden="1" x14ac:dyDescent="0.25">
      <c r="A291">
        <v>290</v>
      </c>
      <c r="B291">
        <v>2025</v>
      </c>
      <c r="C291">
        <v>6</v>
      </c>
      <c r="D291" t="s">
        <v>248</v>
      </c>
      <c r="E291">
        <v>31</v>
      </c>
      <c r="F291">
        <v>5</v>
      </c>
      <c r="G291" t="s">
        <v>537</v>
      </c>
      <c r="H291" s="154">
        <v>355914</v>
      </c>
      <c r="I291" s="154">
        <v>355990</v>
      </c>
      <c r="J291" s="154">
        <v>356041</v>
      </c>
      <c r="K291" s="154">
        <v>356140</v>
      </c>
      <c r="L291" s="154">
        <v>356345</v>
      </c>
      <c r="M291" s="154" t="s">
        <v>424</v>
      </c>
      <c r="N291" s="154">
        <v>356593</v>
      </c>
      <c r="O291" s="154">
        <v>356759</v>
      </c>
      <c r="P291" s="154">
        <v>356813</v>
      </c>
      <c r="Q291" s="154">
        <v>356880</v>
      </c>
      <c r="R291" s="154">
        <v>357034</v>
      </c>
      <c r="S291" s="154">
        <v>357226</v>
      </c>
      <c r="T291" s="154">
        <v>357324</v>
      </c>
      <c r="U291" s="154">
        <v>357384</v>
      </c>
      <c r="V291" s="154">
        <v>357690</v>
      </c>
      <c r="W291" s="154">
        <v>357815</v>
      </c>
      <c r="X291" s="154">
        <v>357911</v>
      </c>
      <c r="Y291" s="154">
        <v>358000</v>
      </c>
      <c r="Z291" s="154">
        <v>358080</v>
      </c>
      <c r="AA291" s="154">
        <v>358163</v>
      </c>
      <c r="AB291" s="154">
        <v>358298</v>
      </c>
      <c r="AC291" s="154" t="s">
        <v>424</v>
      </c>
      <c r="AD291" s="154">
        <v>358636</v>
      </c>
      <c r="AE291" s="154">
        <v>358701</v>
      </c>
      <c r="AF291" s="154">
        <v>358772</v>
      </c>
      <c r="AG291" s="154">
        <v>358854</v>
      </c>
      <c r="AH291" s="154">
        <v>358938</v>
      </c>
      <c r="AI291" s="154">
        <v>359022</v>
      </c>
      <c r="AJ291" s="154">
        <v>359102</v>
      </c>
      <c r="AK291" s="154">
        <v>359190</v>
      </c>
      <c r="AL291" s="154" t="s">
        <v>424</v>
      </c>
      <c r="AP291" cm="1">
        <f t="array" ref="AP291">IF(AQ291="","",SUM(IFERROR(H291:AL291-H290:AL290,0))*AQ291/100)</f>
        <v>427.05</v>
      </c>
      <c r="AQ291">
        <f>_xlfn.XLOOKUP(D291,log_prices!M:M,log_prices!L:L,,0)</f>
        <v>15</v>
      </c>
      <c r="AS291">
        <v>291</v>
      </c>
      <c r="AT291" cm="1">
        <f t="array" ref="AT291">IF(AQ291="","",SUM(IFERROR(H291:AL291-H290:AL290,0)))</f>
        <v>2847</v>
      </c>
    </row>
    <row r="292" spans="1:46" hidden="1" x14ac:dyDescent="0.25">
      <c r="A292">
        <v>291</v>
      </c>
      <c r="B292">
        <v>2025</v>
      </c>
      <c r="C292">
        <v>6</v>
      </c>
      <c r="D292" t="s">
        <v>263</v>
      </c>
      <c r="E292">
        <v>31</v>
      </c>
      <c r="F292">
        <v>5</v>
      </c>
      <c r="G292" t="s">
        <v>534</v>
      </c>
      <c r="H292" s="154" t="s">
        <v>479</v>
      </c>
      <c r="I292" s="154" t="s">
        <v>479</v>
      </c>
      <c r="J292" s="154" t="s">
        <v>479</v>
      </c>
      <c r="K292" s="154" t="s">
        <v>479</v>
      </c>
      <c r="L292" s="154" t="s">
        <v>479</v>
      </c>
      <c r="M292" s="154" t="s">
        <v>424</v>
      </c>
      <c r="N292" s="154" t="s">
        <v>424</v>
      </c>
      <c r="O292" s="154" t="s">
        <v>479</v>
      </c>
      <c r="P292" s="154" t="s">
        <v>479</v>
      </c>
      <c r="Q292" s="154" t="s">
        <v>479</v>
      </c>
      <c r="R292" s="154" t="s">
        <v>479</v>
      </c>
      <c r="S292" s="154" t="s">
        <v>479</v>
      </c>
      <c r="T292" s="154" t="s">
        <v>479</v>
      </c>
      <c r="U292" s="154" t="s">
        <v>479</v>
      </c>
      <c r="V292" s="154" t="s">
        <v>479</v>
      </c>
      <c r="W292" s="154" t="s">
        <v>479</v>
      </c>
      <c r="X292" s="154" t="s">
        <v>479</v>
      </c>
      <c r="Y292" s="154" t="s">
        <v>479</v>
      </c>
      <c r="Z292" s="154" t="s">
        <v>479</v>
      </c>
      <c r="AA292" s="154" t="s">
        <v>479</v>
      </c>
      <c r="AB292" s="154" t="s">
        <v>479</v>
      </c>
      <c r="AC292" s="154" t="s">
        <v>424</v>
      </c>
      <c r="AD292" s="154" t="s">
        <v>479</v>
      </c>
      <c r="AE292" s="154" t="s">
        <v>479</v>
      </c>
      <c r="AF292" s="154" t="s">
        <v>479</v>
      </c>
      <c r="AG292" s="154" t="s">
        <v>479</v>
      </c>
      <c r="AH292" s="154" t="s">
        <v>479</v>
      </c>
      <c r="AI292" s="154" t="s">
        <v>479</v>
      </c>
      <c r="AJ292" s="154" t="s">
        <v>479</v>
      </c>
      <c r="AK292" s="154" t="s">
        <v>479</v>
      </c>
      <c r="AL292" s="154" t="s">
        <v>424</v>
      </c>
      <c r="AS292">
        <v>292</v>
      </c>
    </row>
    <row r="293" spans="1:46" hidden="1" x14ac:dyDescent="0.25">
      <c r="A293">
        <v>292</v>
      </c>
      <c r="B293">
        <v>2025</v>
      </c>
      <c r="C293">
        <v>6</v>
      </c>
      <c r="D293" t="s">
        <v>263</v>
      </c>
      <c r="E293">
        <v>31</v>
      </c>
      <c r="F293">
        <v>5</v>
      </c>
      <c r="G293" t="s">
        <v>535</v>
      </c>
      <c r="H293" s="154" t="s">
        <v>480</v>
      </c>
      <c r="I293" s="154" t="s">
        <v>480</v>
      </c>
      <c r="J293" s="154" t="s">
        <v>480</v>
      </c>
      <c r="K293" s="154" t="s">
        <v>480</v>
      </c>
      <c r="L293" s="154" t="s">
        <v>480</v>
      </c>
      <c r="M293" s="154" t="s">
        <v>424</v>
      </c>
      <c r="N293" s="154" t="s">
        <v>424</v>
      </c>
      <c r="O293" s="154" t="s">
        <v>480</v>
      </c>
      <c r="P293" s="154" t="s">
        <v>480</v>
      </c>
      <c r="Q293" s="154" t="s">
        <v>480</v>
      </c>
      <c r="R293" s="154" t="s">
        <v>480</v>
      </c>
      <c r="S293" s="154" t="s">
        <v>480</v>
      </c>
      <c r="T293" s="154" t="s">
        <v>480</v>
      </c>
      <c r="U293" s="154" t="s">
        <v>480</v>
      </c>
      <c r="V293" s="154" t="s">
        <v>480</v>
      </c>
      <c r="W293" s="154" t="s">
        <v>480</v>
      </c>
      <c r="X293" s="154" t="s">
        <v>480</v>
      </c>
      <c r="Y293" s="154" t="s">
        <v>480</v>
      </c>
      <c r="Z293" s="154" t="s">
        <v>480</v>
      </c>
      <c r="AA293" s="154" t="s">
        <v>480</v>
      </c>
      <c r="AB293" s="154" t="s">
        <v>480</v>
      </c>
      <c r="AC293" s="154" t="s">
        <v>424</v>
      </c>
      <c r="AD293" s="154" t="s">
        <v>480</v>
      </c>
      <c r="AE293" s="154" t="s">
        <v>480</v>
      </c>
      <c r="AF293" s="154" t="s">
        <v>480</v>
      </c>
      <c r="AG293" s="154" t="s">
        <v>480</v>
      </c>
      <c r="AH293" s="154" t="s">
        <v>480</v>
      </c>
      <c r="AI293" s="154" t="s">
        <v>480</v>
      </c>
      <c r="AJ293" s="154" t="s">
        <v>480</v>
      </c>
      <c r="AK293" s="154" t="s">
        <v>480</v>
      </c>
      <c r="AL293" s="154" t="s">
        <v>424</v>
      </c>
      <c r="AM293" cm="1">
        <f t="array" ref="AM293">SUM(_xlfn.LET(_xlpm.r,((IFERROR(H293:AL293-H292:AL292,0))*24)/10,IF(_xlpm.r&gt;1,1,_xlpm.r)))</f>
        <v>27</v>
      </c>
      <c r="AO293" cm="1">
        <f t="array" ref="AO293">SUM(IFERROR(MOD((H293:AL293-H292:AL292)*24,11),""))</f>
        <v>0</v>
      </c>
      <c r="AS293">
        <v>293</v>
      </c>
    </row>
    <row r="294" spans="1:46" hidden="1" x14ac:dyDescent="0.25">
      <c r="A294">
        <v>293</v>
      </c>
      <c r="B294">
        <v>2025</v>
      </c>
      <c r="C294">
        <v>6</v>
      </c>
      <c r="D294" t="s">
        <v>263</v>
      </c>
      <c r="E294">
        <v>31</v>
      </c>
      <c r="F294">
        <v>5</v>
      </c>
      <c r="G294" t="s">
        <v>536</v>
      </c>
      <c r="H294" s="154">
        <v>321770</v>
      </c>
      <c r="I294" s="154">
        <v>321826</v>
      </c>
      <c r="J294" s="154">
        <v>321867</v>
      </c>
      <c r="K294" s="154">
        <v>321889</v>
      </c>
      <c r="L294" s="154">
        <v>321923</v>
      </c>
      <c r="M294" s="154" t="s">
        <v>424</v>
      </c>
      <c r="N294" s="154" t="s">
        <v>424</v>
      </c>
      <c r="O294" s="154">
        <v>322737</v>
      </c>
      <c r="P294" s="154">
        <v>322778</v>
      </c>
      <c r="Q294" s="154">
        <v>322830</v>
      </c>
      <c r="R294" s="154">
        <v>322860</v>
      </c>
      <c r="S294" s="154">
        <v>322948</v>
      </c>
      <c r="T294" s="154">
        <v>322997</v>
      </c>
      <c r="U294" s="154">
        <v>323041</v>
      </c>
      <c r="V294" s="154">
        <v>323204</v>
      </c>
      <c r="W294" s="154">
        <v>323230</v>
      </c>
      <c r="X294" s="154">
        <v>323264</v>
      </c>
      <c r="Y294" s="154">
        <v>323288</v>
      </c>
      <c r="Z294" s="154">
        <v>323326</v>
      </c>
      <c r="AA294" s="154">
        <v>323364</v>
      </c>
      <c r="AB294" s="154">
        <v>323403</v>
      </c>
      <c r="AC294" s="154" t="s">
        <v>424</v>
      </c>
      <c r="AD294" s="154">
        <v>323431</v>
      </c>
      <c r="AE294" s="154">
        <v>323621</v>
      </c>
      <c r="AF294" s="154">
        <v>323646</v>
      </c>
      <c r="AG294" s="154">
        <v>323685</v>
      </c>
      <c r="AH294" s="154">
        <v>323716</v>
      </c>
      <c r="AI294" s="154">
        <v>323862</v>
      </c>
      <c r="AJ294" s="154">
        <v>323893</v>
      </c>
      <c r="AK294" s="154">
        <v>323933</v>
      </c>
      <c r="AL294" s="154" t="s">
        <v>424</v>
      </c>
      <c r="AS294">
        <v>294</v>
      </c>
    </row>
    <row r="295" spans="1:46" hidden="1" x14ac:dyDescent="0.25">
      <c r="A295">
        <v>294</v>
      </c>
      <c r="B295">
        <v>2025</v>
      </c>
      <c r="C295">
        <v>6</v>
      </c>
      <c r="D295" t="s">
        <v>263</v>
      </c>
      <c r="E295">
        <v>31</v>
      </c>
      <c r="F295">
        <v>5</v>
      </c>
      <c r="G295" t="s">
        <v>537</v>
      </c>
      <c r="H295" s="154">
        <v>321826</v>
      </c>
      <c r="I295" s="154">
        <v>321864</v>
      </c>
      <c r="J295" s="154">
        <v>321889</v>
      </c>
      <c r="K295" s="154">
        <v>321923</v>
      </c>
      <c r="L295" s="154">
        <v>321990</v>
      </c>
      <c r="M295" s="154" t="s">
        <v>424</v>
      </c>
      <c r="N295" s="154" t="s">
        <v>424</v>
      </c>
      <c r="O295" s="154">
        <v>322778</v>
      </c>
      <c r="P295" s="154">
        <v>322830</v>
      </c>
      <c r="Q295" s="154">
        <v>322860</v>
      </c>
      <c r="R295" s="154">
        <v>322910</v>
      </c>
      <c r="S295" s="154">
        <v>322997</v>
      </c>
      <c r="T295" s="154">
        <v>323041</v>
      </c>
      <c r="U295" s="154">
        <v>323195</v>
      </c>
      <c r="V295" s="154">
        <v>323230</v>
      </c>
      <c r="W295" s="154">
        <v>323264</v>
      </c>
      <c r="X295" s="154">
        <v>323288</v>
      </c>
      <c r="Y295" s="154">
        <v>323326</v>
      </c>
      <c r="Z295" s="154">
        <v>323364</v>
      </c>
      <c r="AA295" s="154">
        <v>323403</v>
      </c>
      <c r="AB295" s="154">
        <v>323431</v>
      </c>
      <c r="AC295" s="154" t="s">
        <v>424</v>
      </c>
      <c r="AD295" s="154">
        <v>323621</v>
      </c>
      <c r="AE295" s="154">
        <v>323646</v>
      </c>
      <c r="AF295" s="154">
        <v>323685</v>
      </c>
      <c r="AG295" s="154">
        <v>323716</v>
      </c>
      <c r="AH295" s="154">
        <v>323862</v>
      </c>
      <c r="AI295" s="154">
        <v>323893</v>
      </c>
      <c r="AJ295" s="154">
        <v>323933</v>
      </c>
      <c r="AK295" s="154">
        <v>323963</v>
      </c>
      <c r="AL295" s="154" t="s">
        <v>424</v>
      </c>
      <c r="AP295" cm="1">
        <f t="array" ref="AP295">IF(AQ295="","",SUM(IFERROR(H295:AL295-H294:AL294,0))*AQ295/100)*2</f>
        <v>418.8</v>
      </c>
      <c r="AQ295">
        <f>_xlfn.XLOOKUP(D295,log_prices!M:M,log_prices!L:L,,0)</f>
        <v>15</v>
      </c>
      <c r="AR295" t="s">
        <v>444</v>
      </c>
      <c r="AS295">
        <v>295</v>
      </c>
      <c r="AT295" cm="1">
        <f t="array" ref="AT295">IF(AQ295="","",SUM(IFERROR(H295:AL295-H294:AL294,0)))</f>
        <v>1396</v>
      </c>
    </row>
    <row r="296" spans="1:46" hidden="1" x14ac:dyDescent="0.25">
      <c r="A296">
        <v>295</v>
      </c>
      <c r="B296">
        <v>2025</v>
      </c>
      <c r="C296">
        <v>6</v>
      </c>
      <c r="D296" t="s">
        <v>260</v>
      </c>
      <c r="E296">
        <v>31</v>
      </c>
      <c r="F296">
        <v>5</v>
      </c>
      <c r="G296" t="s">
        <v>534</v>
      </c>
      <c r="H296" s="154" t="s">
        <v>486</v>
      </c>
      <c r="I296" s="154" t="s">
        <v>486</v>
      </c>
      <c r="J296" s="154" t="s">
        <v>486</v>
      </c>
      <c r="K296" s="154" t="s">
        <v>486</v>
      </c>
      <c r="L296" s="154" t="s">
        <v>486</v>
      </c>
      <c r="M296" s="154" t="s">
        <v>486</v>
      </c>
      <c r="N296" s="154" t="s">
        <v>486</v>
      </c>
      <c r="O296" s="154" t="s">
        <v>486</v>
      </c>
      <c r="P296" s="154" t="s">
        <v>486</v>
      </c>
      <c r="Q296" s="154" t="s">
        <v>486</v>
      </c>
      <c r="R296" s="154" t="s">
        <v>486</v>
      </c>
      <c r="S296" s="154" t="s">
        <v>486</v>
      </c>
      <c r="T296" s="154" t="s">
        <v>486</v>
      </c>
      <c r="U296" s="154" t="s">
        <v>486</v>
      </c>
      <c r="V296" s="154" t="s">
        <v>486</v>
      </c>
      <c r="W296" s="154" t="s">
        <v>486</v>
      </c>
      <c r="X296" s="154" t="s">
        <v>486</v>
      </c>
      <c r="Y296" s="154" t="s">
        <v>486</v>
      </c>
      <c r="Z296" s="154" t="s">
        <v>486</v>
      </c>
      <c r="AA296" s="154" t="s">
        <v>486</v>
      </c>
      <c r="AB296" s="154" t="s">
        <v>486</v>
      </c>
      <c r="AC296" s="154" t="s">
        <v>486</v>
      </c>
      <c r="AD296" s="154" t="s">
        <v>486</v>
      </c>
      <c r="AE296" s="154" t="s">
        <v>486</v>
      </c>
      <c r="AF296" s="154" t="s">
        <v>486</v>
      </c>
      <c r="AG296" s="154" t="s">
        <v>486</v>
      </c>
      <c r="AH296" s="154" t="s">
        <v>486</v>
      </c>
      <c r="AI296" s="154" t="s">
        <v>486</v>
      </c>
      <c r="AJ296" s="154" t="s">
        <v>486</v>
      </c>
      <c r="AK296" s="154" t="s">
        <v>486</v>
      </c>
      <c r="AL296" s="154" t="s">
        <v>424</v>
      </c>
      <c r="AS296">
        <v>296</v>
      </c>
    </row>
    <row r="297" spans="1:46" hidden="1" x14ac:dyDescent="0.25">
      <c r="A297">
        <v>296</v>
      </c>
      <c r="B297">
        <v>2025</v>
      </c>
      <c r="C297">
        <v>6</v>
      </c>
      <c r="D297" t="s">
        <v>260</v>
      </c>
      <c r="E297">
        <v>31</v>
      </c>
      <c r="F297">
        <v>5</v>
      </c>
      <c r="G297" t="s">
        <v>535</v>
      </c>
      <c r="H297" s="154">
        <v>0.66666666666666663</v>
      </c>
      <c r="I297" s="154">
        <v>0.66666666666666663</v>
      </c>
      <c r="J297" s="154">
        <v>0.66666666666666663</v>
      </c>
      <c r="K297" s="154">
        <v>0.66666666666666663</v>
      </c>
      <c r="L297" s="154">
        <v>0.66666666666666663</v>
      </c>
      <c r="M297" s="154">
        <v>0.66666666666666663</v>
      </c>
      <c r="N297" s="154">
        <v>0.66666666666666663</v>
      </c>
      <c r="O297" s="154">
        <v>0.66666666666666663</v>
      </c>
      <c r="P297" s="154">
        <v>0.66666666666666663</v>
      </c>
      <c r="Q297" s="154">
        <v>0.66666666666666663</v>
      </c>
      <c r="R297" s="154">
        <v>0.66666666666666663</v>
      </c>
      <c r="S297" s="154">
        <v>0.66666666666666663</v>
      </c>
      <c r="T297" s="154">
        <v>0.66666666666666663</v>
      </c>
      <c r="U297" s="154">
        <v>0.66666666666666663</v>
      </c>
      <c r="V297" s="154">
        <v>0.66666666666666663</v>
      </c>
      <c r="W297" s="154">
        <v>0.66666666666666663</v>
      </c>
      <c r="X297" s="154">
        <v>0.66666666666666663</v>
      </c>
      <c r="Y297" s="154">
        <v>0.66666666666666663</v>
      </c>
      <c r="Z297" s="154">
        <v>0.66666666666666663</v>
      </c>
      <c r="AA297" s="154">
        <v>0.66666666666666663</v>
      </c>
      <c r="AB297" s="154">
        <v>0.66666666666666663</v>
      </c>
      <c r="AC297" s="154">
        <v>0.66666666666666663</v>
      </c>
      <c r="AD297" s="154">
        <v>0.66666666666666663</v>
      </c>
      <c r="AE297" s="154">
        <v>0.66666666666666663</v>
      </c>
      <c r="AF297" s="154">
        <v>0.66666666666666663</v>
      </c>
      <c r="AG297" s="154">
        <v>0.66666666666666663</v>
      </c>
      <c r="AH297" s="154">
        <v>0.66666666666666663</v>
      </c>
      <c r="AI297" s="154">
        <v>0.66666666666666663</v>
      </c>
      <c r="AJ297" s="154">
        <v>0.66666666666666663</v>
      </c>
      <c r="AK297" s="154">
        <v>0.66666666666666663</v>
      </c>
      <c r="AL297" s="154" t="s">
        <v>424</v>
      </c>
      <c r="AM297" cm="1">
        <f t="array" ref="AM297">SUM(_xlfn.LET(_xlpm.r,((IFERROR(H297:AL297-H296:AL296,0))*24)/10,IF(_xlpm.r&gt;1,1,_xlpm.r)))</f>
        <v>30</v>
      </c>
      <c r="AS297">
        <v>297</v>
      </c>
    </row>
    <row r="298" spans="1:46" hidden="1" x14ac:dyDescent="0.25">
      <c r="A298">
        <v>297</v>
      </c>
      <c r="B298">
        <v>2025</v>
      </c>
      <c r="C298">
        <v>6</v>
      </c>
      <c r="D298" t="s">
        <v>260</v>
      </c>
      <c r="E298">
        <v>31</v>
      </c>
      <c r="F298">
        <v>5</v>
      </c>
      <c r="G298" t="s">
        <v>536</v>
      </c>
      <c r="H298" s="154" t="s">
        <v>424</v>
      </c>
      <c r="I298" s="154">
        <v>789789</v>
      </c>
      <c r="J298" s="154">
        <v>789968</v>
      </c>
      <c r="K298" s="154">
        <v>790255</v>
      </c>
      <c r="L298" s="154">
        <v>790426</v>
      </c>
      <c r="M298" s="154" t="s">
        <v>424</v>
      </c>
      <c r="N298" s="154" t="s">
        <v>424</v>
      </c>
      <c r="O298" s="154" t="s">
        <v>424</v>
      </c>
      <c r="P298" s="154">
        <v>790926</v>
      </c>
      <c r="Q298" s="154">
        <v>791106</v>
      </c>
      <c r="R298" s="154">
        <v>791256</v>
      </c>
      <c r="S298" s="154">
        <v>791436</v>
      </c>
      <c r="T298" s="154">
        <v>791592</v>
      </c>
      <c r="U298" s="154">
        <v>791772</v>
      </c>
      <c r="V298" s="154">
        <v>791873</v>
      </c>
      <c r="W298" s="154">
        <v>791934</v>
      </c>
      <c r="X298" s="154">
        <v>792114</v>
      </c>
      <c r="Y298" s="154">
        <v>792265</v>
      </c>
      <c r="Z298" s="154">
        <v>792556</v>
      </c>
      <c r="AA298" s="154">
        <v>792708</v>
      </c>
      <c r="AB298" s="154">
        <v>792886</v>
      </c>
      <c r="AC298" s="154">
        <v>793049</v>
      </c>
      <c r="AD298" s="154">
        <v>793180</v>
      </c>
      <c r="AE298" s="154">
        <v>793296</v>
      </c>
      <c r="AF298" s="154">
        <v>793447</v>
      </c>
      <c r="AG298" s="154">
        <v>793627</v>
      </c>
      <c r="AH298" s="154">
        <v>793806</v>
      </c>
      <c r="AI298" s="154">
        <v>793985</v>
      </c>
      <c r="AJ298" s="154">
        <v>794211</v>
      </c>
      <c r="AK298" s="154">
        <v>794302</v>
      </c>
      <c r="AL298" s="154" t="s">
        <v>424</v>
      </c>
      <c r="AS298">
        <v>298</v>
      </c>
    </row>
    <row r="299" spans="1:46" hidden="1" x14ac:dyDescent="0.25">
      <c r="A299">
        <v>298</v>
      </c>
      <c r="B299">
        <v>2025</v>
      </c>
      <c r="C299">
        <v>6</v>
      </c>
      <c r="D299" t="s">
        <v>260</v>
      </c>
      <c r="E299">
        <v>31</v>
      </c>
      <c r="F299">
        <v>5</v>
      </c>
      <c r="G299" t="s">
        <v>537</v>
      </c>
      <c r="H299" s="154" t="s">
        <v>424</v>
      </c>
      <c r="I299" s="154">
        <v>789968</v>
      </c>
      <c r="J299" s="154">
        <v>790255</v>
      </c>
      <c r="K299" s="154">
        <v>790426</v>
      </c>
      <c r="L299" s="154">
        <v>790606</v>
      </c>
      <c r="M299" s="154" t="s">
        <v>424</v>
      </c>
      <c r="N299" s="154" t="s">
        <v>424</v>
      </c>
      <c r="O299" s="154" t="s">
        <v>424</v>
      </c>
      <c r="P299" s="154">
        <v>791106</v>
      </c>
      <c r="Q299" s="154">
        <v>791256</v>
      </c>
      <c r="R299" s="154">
        <v>791436</v>
      </c>
      <c r="S299" s="154">
        <v>791592</v>
      </c>
      <c r="T299" s="154">
        <v>791772</v>
      </c>
      <c r="U299" s="154">
        <v>791873</v>
      </c>
      <c r="V299" s="154">
        <v>791934</v>
      </c>
      <c r="W299" s="154">
        <v>792114</v>
      </c>
      <c r="X299" s="154">
        <v>792265</v>
      </c>
      <c r="Y299" s="154">
        <v>792556</v>
      </c>
      <c r="Z299" s="154">
        <v>792708</v>
      </c>
      <c r="AA299" s="154">
        <v>792886</v>
      </c>
      <c r="AB299" s="154">
        <v>793049</v>
      </c>
      <c r="AC299" s="154">
        <v>793180</v>
      </c>
      <c r="AD299" s="154">
        <v>793296</v>
      </c>
      <c r="AE299" s="154">
        <v>793447</v>
      </c>
      <c r="AF299" s="154">
        <v>793627</v>
      </c>
      <c r="AG299" s="154">
        <v>793806</v>
      </c>
      <c r="AH299" s="154">
        <v>793985</v>
      </c>
      <c r="AI299" s="154">
        <v>794211</v>
      </c>
      <c r="AJ299" s="154">
        <v>794302</v>
      </c>
      <c r="AK299" s="154">
        <v>794490</v>
      </c>
      <c r="AL299" s="154" t="s">
        <v>424</v>
      </c>
      <c r="AP299" cm="1">
        <f t="array" ref="AP299">IF(AQ299="","",SUM(IFERROR(H299:AL299-H298:AL298,0))*AQ299/100)</f>
        <v>788.58</v>
      </c>
      <c r="AQ299">
        <f>_xlfn.XLOOKUP(D299,log_prices!M:M,log_prices!L:L,,0)</f>
        <v>18</v>
      </c>
      <c r="AS299">
        <v>299</v>
      </c>
      <c r="AT299" cm="1">
        <f t="array" ref="AT299">IF(AQ299="","",SUM(IFERROR(H299:AL299-H298:AL298,0)))</f>
        <v>4381</v>
      </c>
    </row>
    <row r="300" spans="1:46" hidden="1" x14ac:dyDescent="0.25">
      <c r="A300">
        <v>299</v>
      </c>
      <c r="B300">
        <v>2025</v>
      </c>
      <c r="C300">
        <v>6</v>
      </c>
      <c r="D300" t="s">
        <v>268</v>
      </c>
      <c r="E300">
        <v>31</v>
      </c>
      <c r="F300">
        <v>5</v>
      </c>
      <c r="G300" t="s">
        <v>534</v>
      </c>
      <c r="H300" s="154" t="s">
        <v>479</v>
      </c>
      <c r="I300" s="154" t="s">
        <v>479</v>
      </c>
      <c r="J300" s="154" t="s">
        <v>479</v>
      </c>
      <c r="K300" s="154" t="s">
        <v>479</v>
      </c>
      <c r="L300" s="154" t="s">
        <v>479</v>
      </c>
      <c r="M300" s="154" t="s">
        <v>424</v>
      </c>
      <c r="N300" s="154" t="s">
        <v>479</v>
      </c>
      <c r="O300" s="154" t="s">
        <v>479</v>
      </c>
      <c r="P300" s="154" t="s">
        <v>479</v>
      </c>
      <c r="Q300" s="154" t="s">
        <v>479</v>
      </c>
      <c r="R300" s="154" t="s">
        <v>479</v>
      </c>
      <c r="S300" s="154" t="s">
        <v>479</v>
      </c>
      <c r="T300" s="154" t="s">
        <v>479</v>
      </c>
      <c r="U300" s="154" t="s">
        <v>479</v>
      </c>
      <c r="V300" s="154" t="s">
        <v>479</v>
      </c>
      <c r="W300" s="154" t="s">
        <v>479</v>
      </c>
      <c r="X300" s="154" t="s">
        <v>479</v>
      </c>
      <c r="Y300" s="154" t="s">
        <v>479</v>
      </c>
      <c r="Z300" s="154" t="s">
        <v>479</v>
      </c>
      <c r="AA300" s="154" t="s">
        <v>479</v>
      </c>
      <c r="AB300" s="154" t="s">
        <v>479</v>
      </c>
      <c r="AC300" s="154" t="s">
        <v>479</v>
      </c>
      <c r="AD300" s="154" t="s">
        <v>479</v>
      </c>
      <c r="AE300" s="154" t="s">
        <v>479</v>
      </c>
      <c r="AF300" s="154" t="s">
        <v>479</v>
      </c>
      <c r="AG300" s="154" t="s">
        <v>479</v>
      </c>
      <c r="AH300" s="154" t="s">
        <v>479</v>
      </c>
      <c r="AI300" s="154" t="s">
        <v>479</v>
      </c>
      <c r="AJ300" s="154" t="s">
        <v>479</v>
      </c>
      <c r="AK300" s="154" t="s">
        <v>479</v>
      </c>
      <c r="AL300" s="154" t="s">
        <v>424</v>
      </c>
      <c r="AS300">
        <v>300</v>
      </c>
    </row>
    <row r="301" spans="1:46" hidden="1" x14ac:dyDescent="0.25">
      <c r="A301">
        <v>300</v>
      </c>
      <c r="B301">
        <v>2025</v>
      </c>
      <c r="C301">
        <v>6</v>
      </c>
      <c r="D301" t="s">
        <v>268</v>
      </c>
      <c r="E301">
        <v>31</v>
      </c>
      <c r="F301">
        <v>5</v>
      </c>
      <c r="G301" t="s">
        <v>535</v>
      </c>
      <c r="H301" s="154">
        <v>0.83333333333333326</v>
      </c>
      <c r="I301" s="154">
        <v>0.75</v>
      </c>
      <c r="J301" s="154">
        <v>0.83333333333333326</v>
      </c>
      <c r="K301" s="154">
        <v>0.83333333333333326</v>
      </c>
      <c r="L301" s="154">
        <v>0.75</v>
      </c>
      <c r="M301" s="154" t="s">
        <v>424</v>
      </c>
      <c r="N301" s="154">
        <v>1.0833333333333333</v>
      </c>
      <c r="O301" s="154">
        <v>0.75</v>
      </c>
      <c r="P301" s="154">
        <v>0.83333333333333326</v>
      </c>
      <c r="Q301" s="154">
        <v>0.83333333333333326</v>
      </c>
      <c r="R301" s="154">
        <v>0.75</v>
      </c>
      <c r="S301" s="154">
        <v>0.83333333333333326</v>
      </c>
      <c r="T301" s="154">
        <v>0.75</v>
      </c>
      <c r="U301" s="154">
        <v>0.83333333333333326</v>
      </c>
      <c r="V301" s="154">
        <v>0.83333333333333326</v>
      </c>
      <c r="W301" s="154">
        <v>0.83333333333333326</v>
      </c>
      <c r="X301" s="154">
        <v>0.75</v>
      </c>
      <c r="Y301" s="154">
        <v>0.83333333333333326</v>
      </c>
      <c r="Z301" s="154">
        <v>0.75</v>
      </c>
      <c r="AA301" s="154">
        <v>0.83333333333333326</v>
      </c>
      <c r="AB301" s="154">
        <v>0.83333333333333326</v>
      </c>
      <c r="AC301" s="154">
        <v>0.75</v>
      </c>
      <c r="AD301" s="154">
        <v>0.75</v>
      </c>
      <c r="AE301" s="154">
        <v>0.83333333333333326</v>
      </c>
      <c r="AF301" s="154">
        <v>0.83333333333333326</v>
      </c>
      <c r="AG301" s="154">
        <v>0.75</v>
      </c>
      <c r="AH301" s="154">
        <v>0.75</v>
      </c>
      <c r="AI301" s="154">
        <v>0.75</v>
      </c>
      <c r="AJ301" s="154">
        <v>0.83333333333333326</v>
      </c>
      <c r="AK301" s="154">
        <v>0.83333333333333326</v>
      </c>
      <c r="AL301" s="154" t="s">
        <v>424</v>
      </c>
      <c r="AM301" cm="1">
        <f t="array" ref="AM301">SUM(_xlfn.LET(_xlpm.r,((IFERROR(H301:AL301-H300:AL300,0))*24)/10,IF(_xlpm.r&gt;1,1,_xlpm.r)))</f>
        <v>29</v>
      </c>
      <c r="AO301" cm="1">
        <f t="array" ref="AO301">SUM(IFERROR(MOD((H301:AL301-H300:AL300)*24,11),""))</f>
        <v>39.999999999999943</v>
      </c>
      <c r="AS301">
        <v>301</v>
      </c>
    </row>
    <row r="302" spans="1:46" hidden="1" x14ac:dyDescent="0.25">
      <c r="A302">
        <v>301</v>
      </c>
      <c r="B302">
        <v>2025</v>
      </c>
      <c r="C302">
        <v>6</v>
      </c>
      <c r="D302" t="s">
        <v>268</v>
      </c>
      <c r="E302">
        <v>31</v>
      </c>
      <c r="F302">
        <v>5</v>
      </c>
      <c r="G302" t="s">
        <v>536</v>
      </c>
      <c r="H302" s="154">
        <v>24877</v>
      </c>
      <c r="I302" s="154">
        <v>24884</v>
      </c>
      <c r="J302" s="154">
        <v>24902</v>
      </c>
      <c r="K302" s="154">
        <v>24907</v>
      </c>
      <c r="L302" s="154">
        <v>24916</v>
      </c>
      <c r="M302" s="154" t="s">
        <v>424</v>
      </c>
      <c r="N302" s="154">
        <v>25160</v>
      </c>
      <c r="O302" s="154">
        <v>25166</v>
      </c>
      <c r="P302" s="154">
        <v>25178</v>
      </c>
      <c r="Q302" s="154">
        <v>25198</v>
      </c>
      <c r="R302" s="154">
        <v>25221</v>
      </c>
      <c r="S302" s="154">
        <v>25320</v>
      </c>
      <c r="T302" s="154">
        <v>25409</v>
      </c>
      <c r="U302" s="154">
        <v>25429</v>
      </c>
      <c r="V302" s="154">
        <v>25433</v>
      </c>
      <c r="W302" s="154">
        <v>25577</v>
      </c>
      <c r="X302" s="154">
        <v>25768</v>
      </c>
      <c r="Y302" s="154">
        <v>25791</v>
      </c>
      <c r="Z302" s="154">
        <v>25811</v>
      </c>
      <c r="AA302" s="154">
        <v>25817</v>
      </c>
      <c r="AB302" s="154">
        <v>25926</v>
      </c>
      <c r="AC302" s="154">
        <v>26038</v>
      </c>
      <c r="AD302" s="154">
        <v>26057</v>
      </c>
      <c r="AE302" s="154">
        <v>26074</v>
      </c>
      <c r="AF302" s="154">
        <v>26109</v>
      </c>
      <c r="AG302" s="154">
        <v>26134</v>
      </c>
      <c r="AH302" s="154">
        <v>26154</v>
      </c>
      <c r="AI302" s="154">
        <v>26191</v>
      </c>
      <c r="AJ302" s="154">
        <v>26213</v>
      </c>
      <c r="AK302" s="154">
        <v>26219</v>
      </c>
      <c r="AL302" s="154" t="s">
        <v>424</v>
      </c>
      <c r="AS302">
        <v>302</v>
      </c>
    </row>
    <row r="303" spans="1:46" hidden="1" x14ac:dyDescent="0.25">
      <c r="A303">
        <v>302</v>
      </c>
      <c r="B303">
        <v>2025</v>
      </c>
      <c r="C303">
        <v>6</v>
      </c>
      <c r="D303" t="s">
        <v>268</v>
      </c>
      <c r="E303">
        <v>31</v>
      </c>
      <c r="F303">
        <v>5</v>
      </c>
      <c r="G303" t="s">
        <v>537</v>
      </c>
      <c r="H303" s="154">
        <v>24884</v>
      </c>
      <c r="I303" s="154">
        <v>24902</v>
      </c>
      <c r="J303" s="154">
        <v>24907</v>
      </c>
      <c r="K303" s="154">
        <v>24916</v>
      </c>
      <c r="L303" s="154">
        <v>24925</v>
      </c>
      <c r="M303" s="154" t="s">
        <v>424</v>
      </c>
      <c r="N303" s="154">
        <v>25166</v>
      </c>
      <c r="O303" s="154">
        <v>25178</v>
      </c>
      <c r="P303" s="154">
        <v>25198</v>
      </c>
      <c r="Q303" s="154">
        <v>25221</v>
      </c>
      <c r="R303" s="154">
        <v>25320</v>
      </c>
      <c r="S303" s="154">
        <v>25409</v>
      </c>
      <c r="T303" s="154">
        <v>25429</v>
      </c>
      <c r="U303" s="154">
        <v>25433</v>
      </c>
      <c r="V303" s="154">
        <v>25577</v>
      </c>
      <c r="W303" s="154">
        <v>25768</v>
      </c>
      <c r="X303" s="154">
        <v>25791</v>
      </c>
      <c r="Y303" s="154">
        <v>25811</v>
      </c>
      <c r="Z303" s="154">
        <v>25817</v>
      </c>
      <c r="AA303" s="154">
        <v>25926</v>
      </c>
      <c r="AB303" s="154">
        <v>26038</v>
      </c>
      <c r="AC303" s="154">
        <v>26057</v>
      </c>
      <c r="AD303" s="154">
        <v>26074</v>
      </c>
      <c r="AE303" s="154">
        <v>26109</v>
      </c>
      <c r="AF303" s="154">
        <v>26134</v>
      </c>
      <c r="AG303" s="154">
        <v>26154</v>
      </c>
      <c r="AH303" s="154">
        <v>26191</v>
      </c>
      <c r="AI303" s="154">
        <v>26213</v>
      </c>
      <c r="AJ303" s="154">
        <v>26219</v>
      </c>
      <c r="AK303" s="154">
        <v>26242</v>
      </c>
      <c r="AL303" s="154" t="s">
        <v>424</v>
      </c>
      <c r="AP303" cm="1">
        <f t="array" ref="AP303">IF(AQ303="","",SUM(IFERROR(H303:AL303-H302:AL302,0))*AQ303/100)</f>
        <v>169.5</v>
      </c>
      <c r="AQ303">
        <f>_xlfn.XLOOKUP(D303,log_prices!M:M,log_prices!L:L,,0)</f>
        <v>15</v>
      </c>
      <c r="AS303">
        <v>303</v>
      </c>
      <c r="AT303" cm="1">
        <f t="array" ref="AT303">IF(AQ303="","",SUM(IFERROR(H303:AL303-H302:AL302,0)))</f>
        <v>1130</v>
      </c>
    </row>
    <row r="304" spans="1:46" hidden="1" x14ac:dyDescent="0.25">
      <c r="A304">
        <v>303</v>
      </c>
      <c r="B304">
        <v>2025</v>
      </c>
      <c r="C304">
        <v>6</v>
      </c>
      <c r="D304" t="s">
        <v>267</v>
      </c>
      <c r="E304">
        <v>31</v>
      </c>
      <c r="F304">
        <v>5</v>
      </c>
      <c r="G304" t="s">
        <v>534</v>
      </c>
      <c r="H304" s="154" t="s">
        <v>479</v>
      </c>
      <c r="I304" s="154" t="s">
        <v>479</v>
      </c>
      <c r="J304" s="154" t="s">
        <v>479</v>
      </c>
      <c r="K304" s="154" t="s">
        <v>479</v>
      </c>
      <c r="L304" s="154" t="s">
        <v>479</v>
      </c>
      <c r="M304" s="154" t="s">
        <v>424</v>
      </c>
      <c r="N304" s="154" t="s">
        <v>479</v>
      </c>
      <c r="O304" s="154" t="s">
        <v>479</v>
      </c>
      <c r="P304" s="154" t="s">
        <v>479</v>
      </c>
      <c r="Q304" s="154" t="s">
        <v>479</v>
      </c>
      <c r="R304" s="154" t="s">
        <v>479</v>
      </c>
      <c r="S304" s="154" t="s">
        <v>479</v>
      </c>
      <c r="T304" s="154" t="s">
        <v>479</v>
      </c>
      <c r="U304" s="154" t="s">
        <v>479</v>
      </c>
      <c r="V304" s="154" t="s">
        <v>479</v>
      </c>
      <c r="W304" s="154" t="s">
        <v>479</v>
      </c>
      <c r="X304" s="154" t="s">
        <v>479</v>
      </c>
      <c r="Y304" s="154" t="s">
        <v>479</v>
      </c>
      <c r="Z304" s="154" t="s">
        <v>479</v>
      </c>
      <c r="AA304" s="154" t="s">
        <v>479</v>
      </c>
      <c r="AB304" s="154" t="s">
        <v>479</v>
      </c>
      <c r="AC304" s="154" t="s">
        <v>479</v>
      </c>
      <c r="AD304" s="154" t="s">
        <v>479</v>
      </c>
      <c r="AE304" s="154" t="s">
        <v>479</v>
      </c>
      <c r="AF304" s="154" t="s">
        <v>479</v>
      </c>
      <c r="AG304" s="154" t="s">
        <v>479</v>
      </c>
      <c r="AH304" s="154" t="s">
        <v>479</v>
      </c>
      <c r="AI304" s="154" t="s">
        <v>479</v>
      </c>
      <c r="AJ304" s="154" t="s">
        <v>479</v>
      </c>
      <c r="AK304" s="154" t="s">
        <v>479</v>
      </c>
      <c r="AL304" s="154" t="s">
        <v>424</v>
      </c>
      <c r="AS304">
        <v>304</v>
      </c>
    </row>
    <row r="305" spans="1:46" hidden="1" x14ac:dyDescent="0.25">
      <c r="A305">
        <v>304</v>
      </c>
      <c r="B305">
        <v>2025</v>
      </c>
      <c r="C305">
        <v>6</v>
      </c>
      <c r="D305" t="s">
        <v>267</v>
      </c>
      <c r="E305">
        <v>31</v>
      </c>
      <c r="F305">
        <v>5</v>
      </c>
      <c r="G305" t="s">
        <v>535</v>
      </c>
      <c r="H305" s="154">
        <v>0.83333333333333326</v>
      </c>
      <c r="I305" s="154">
        <v>0.83333333333333326</v>
      </c>
      <c r="J305" s="154">
        <v>0.83333333333333326</v>
      </c>
      <c r="K305" s="154">
        <v>0.83333333333333326</v>
      </c>
      <c r="L305" s="154">
        <v>0.83333333333333326</v>
      </c>
      <c r="M305" s="154" t="s">
        <v>424</v>
      </c>
      <c r="N305" s="154">
        <v>1.1666666666666667</v>
      </c>
      <c r="O305" s="154">
        <v>0.83333333333333326</v>
      </c>
      <c r="P305" s="154">
        <v>0.83333333333333326</v>
      </c>
      <c r="Q305" s="154">
        <v>0.83333333333333326</v>
      </c>
      <c r="R305" s="154">
        <v>0.875</v>
      </c>
      <c r="S305" s="154">
        <v>0.83333333333333326</v>
      </c>
      <c r="T305" s="154">
        <v>0.83333333333333326</v>
      </c>
      <c r="U305" s="154">
        <v>0.83333333333333326</v>
      </c>
      <c r="V305" s="154">
        <v>0.875</v>
      </c>
      <c r="W305" s="154">
        <v>0.83333333333333326</v>
      </c>
      <c r="X305" s="154">
        <v>0.83333333333333326</v>
      </c>
      <c r="Y305" s="154">
        <v>0.83333333333333326</v>
      </c>
      <c r="Z305" s="154">
        <v>0.83333333333333326</v>
      </c>
      <c r="AA305" s="154">
        <v>0.83333333333333326</v>
      </c>
      <c r="AB305" s="154">
        <v>0.83333333333333326</v>
      </c>
      <c r="AC305" s="154">
        <v>0.83333333333333326</v>
      </c>
      <c r="AD305" s="154">
        <v>0.83333333333333326</v>
      </c>
      <c r="AE305" s="154">
        <v>0.83333333333333326</v>
      </c>
      <c r="AF305" s="154">
        <v>0.83333333333333326</v>
      </c>
      <c r="AG305" s="154">
        <v>0.83333333333333326</v>
      </c>
      <c r="AH305" s="154">
        <v>0.83333333333333326</v>
      </c>
      <c r="AI305" s="154">
        <v>0.83333333333333326</v>
      </c>
      <c r="AJ305" s="154">
        <v>0.83333333333333326</v>
      </c>
      <c r="AK305" s="154">
        <v>0.83333333333333326</v>
      </c>
      <c r="AL305" s="154" t="s">
        <v>424</v>
      </c>
      <c r="AM305" cm="1">
        <f t="array" ref="AM305">SUM(_xlfn.LET(_xlpm.r,((IFERROR(H305:AL305-H304:AL304,0))*24)/10,IF(_xlpm.r&gt;1,1,_xlpm.r)))</f>
        <v>29</v>
      </c>
      <c r="AO305" cm="1">
        <f t="array" ref="AO305">SUM(IFERROR(MOD((H305:AL305-H304:AL304)*24,11),""))</f>
        <v>67.999999999999957</v>
      </c>
      <c r="AS305">
        <v>305</v>
      </c>
    </row>
    <row r="306" spans="1:46" hidden="1" x14ac:dyDescent="0.25">
      <c r="A306">
        <v>305</v>
      </c>
      <c r="B306">
        <v>2025</v>
      </c>
      <c r="C306">
        <v>6</v>
      </c>
      <c r="D306" t="s">
        <v>267</v>
      </c>
      <c r="E306">
        <v>31</v>
      </c>
      <c r="F306">
        <v>5</v>
      </c>
      <c r="G306" t="s">
        <v>536</v>
      </c>
      <c r="H306" s="154">
        <v>317003</v>
      </c>
      <c r="I306" s="154">
        <v>317116</v>
      </c>
      <c r="J306" s="154">
        <v>317233</v>
      </c>
      <c r="K306" s="154">
        <v>317514</v>
      </c>
      <c r="L306" s="154">
        <v>317690</v>
      </c>
      <c r="M306" s="154" t="s">
        <v>424</v>
      </c>
      <c r="N306" s="154">
        <v>317930</v>
      </c>
      <c r="O306" s="154">
        <v>318094</v>
      </c>
      <c r="P306" s="154">
        <v>318250</v>
      </c>
      <c r="Q306" s="154">
        <v>318404</v>
      </c>
      <c r="R306" s="154">
        <v>318590</v>
      </c>
      <c r="S306" s="154">
        <v>318757</v>
      </c>
      <c r="T306" s="154">
        <v>318915</v>
      </c>
      <c r="U306" s="154">
        <v>319104</v>
      </c>
      <c r="V306" s="154">
        <v>319344</v>
      </c>
      <c r="W306" s="154">
        <v>319513</v>
      </c>
      <c r="X306" s="154">
        <v>319693</v>
      </c>
      <c r="Y306" s="154">
        <v>319859</v>
      </c>
      <c r="Z306" s="154">
        <v>320121</v>
      </c>
      <c r="AA306" s="154">
        <v>320290</v>
      </c>
      <c r="AB306" s="154">
        <v>320446</v>
      </c>
      <c r="AC306" s="154">
        <v>320660</v>
      </c>
      <c r="AD306" s="154">
        <v>320829</v>
      </c>
      <c r="AE306" s="154">
        <v>321004</v>
      </c>
      <c r="AF306" s="154">
        <v>321188</v>
      </c>
      <c r="AG306" s="154">
        <v>321365</v>
      </c>
      <c r="AH306" s="154">
        <v>321564</v>
      </c>
      <c r="AI306" s="154">
        <v>321729</v>
      </c>
      <c r="AJ306" s="154">
        <v>321864</v>
      </c>
      <c r="AK306" s="154">
        <v>322054</v>
      </c>
      <c r="AL306" s="154" t="s">
        <v>424</v>
      </c>
      <c r="AS306">
        <v>306</v>
      </c>
    </row>
    <row r="307" spans="1:46" hidden="1" x14ac:dyDescent="0.25">
      <c r="A307">
        <v>306</v>
      </c>
      <c r="B307">
        <v>2025</v>
      </c>
      <c r="C307">
        <v>6</v>
      </c>
      <c r="D307" t="s">
        <v>267</v>
      </c>
      <c r="E307">
        <v>31</v>
      </c>
      <c r="F307">
        <v>5</v>
      </c>
      <c r="G307" t="s">
        <v>537</v>
      </c>
      <c r="H307" s="154">
        <v>317116</v>
      </c>
      <c r="I307" s="154">
        <v>317233</v>
      </c>
      <c r="J307" s="154">
        <v>317514</v>
      </c>
      <c r="K307" s="154">
        <v>317690</v>
      </c>
      <c r="L307" s="154">
        <v>317806</v>
      </c>
      <c r="M307" s="154" t="s">
        <v>424</v>
      </c>
      <c r="N307" s="154">
        <v>318094</v>
      </c>
      <c r="O307" s="154">
        <v>318250</v>
      </c>
      <c r="P307" s="154">
        <v>318404</v>
      </c>
      <c r="Q307" s="154">
        <v>318590</v>
      </c>
      <c r="R307" s="154">
        <v>318757</v>
      </c>
      <c r="S307" s="154">
        <v>318915</v>
      </c>
      <c r="T307" s="154">
        <v>319104</v>
      </c>
      <c r="U307" s="154">
        <v>319344</v>
      </c>
      <c r="V307" s="154">
        <v>319513</v>
      </c>
      <c r="W307" s="154">
        <v>319693</v>
      </c>
      <c r="X307" s="154">
        <v>319859</v>
      </c>
      <c r="Y307" s="154">
        <v>320121</v>
      </c>
      <c r="Z307" s="154">
        <v>320290</v>
      </c>
      <c r="AA307" s="154">
        <v>320446</v>
      </c>
      <c r="AB307" s="154">
        <v>320660</v>
      </c>
      <c r="AC307" s="154">
        <v>320829</v>
      </c>
      <c r="AD307" s="154">
        <v>321004</v>
      </c>
      <c r="AE307" s="154">
        <v>321188</v>
      </c>
      <c r="AF307" s="154">
        <v>321365</v>
      </c>
      <c r="AG307" s="154">
        <v>321564</v>
      </c>
      <c r="AH307" s="154">
        <v>321729</v>
      </c>
      <c r="AI307" s="154">
        <v>321864</v>
      </c>
      <c r="AJ307" s="154">
        <v>322054</v>
      </c>
      <c r="AK307" s="154">
        <v>322290</v>
      </c>
      <c r="AL307" s="154" t="s">
        <v>424</v>
      </c>
      <c r="AP307" cm="1">
        <f t="array" ref="AP307">IF(AQ307="","",SUM(IFERROR(H307:AL307-H306:AL306,0))*AQ307/100)</f>
        <v>774.45</v>
      </c>
      <c r="AQ307">
        <f>_xlfn.XLOOKUP(D307,log_prices!M:M,log_prices!L:L,,0)</f>
        <v>15</v>
      </c>
      <c r="AS307">
        <v>307</v>
      </c>
      <c r="AT307" cm="1">
        <f t="array" ref="AT307">IF(AQ307="","",SUM(IFERROR(H307:AL307-H306:AL306,0)))</f>
        <v>5163</v>
      </c>
    </row>
    <row r="308" spans="1:46" hidden="1" x14ac:dyDescent="0.25">
      <c r="A308">
        <v>307</v>
      </c>
      <c r="B308">
        <v>2025</v>
      </c>
      <c r="C308">
        <v>7</v>
      </c>
      <c r="D308" t="s">
        <v>256</v>
      </c>
      <c r="E308">
        <v>31</v>
      </c>
      <c r="F308">
        <v>6</v>
      </c>
      <c r="G308" t="s">
        <v>534</v>
      </c>
      <c r="H308" s="154" t="s">
        <v>479</v>
      </c>
      <c r="I308" s="154" t="s">
        <v>479</v>
      </c>
      <c r="J308" s="154" t="s">
        <v>479</v>
      </c>
      <c r="K308" s="154" t="s">
        <v>479</v>
      </c>
      <c r="L308" s="154" t="s">
        <v>479</v>
      </c>
      <c r="M308" s="154" t="s">
        <v>479</v>
      </c>
      <c r="N308" s="154" t="s">
        <v>479</v>
      </c>
      <c r="O308" s="154" t="s">
        <v>479</v>
      </c>
      <c r="P308" s="154" t="s">
        <v>479</v>
      </c>
      <c r="Q308" s="154" t="s">
        <v>479</v>
      </c>
      <c r="R308" s="154" t="s">
        <v>479</v>
      </c>
      <c r="S308" s="154" t="s">
        <v>479</v>
      </c>
      <c r="T308" s="154" t="s">
        <v>479</v>
      </c>
      <c r="U308" s="154" t="s">
        <v>479</v>
      </c>
      <c r="V308" s="154" t="s">
        <v>479</v>
      </c>
      <c r="W308" s="154" t="s">
        <v>479</v>
      </c>
      <c r="X308" s="154" t="s">
        <v>479</v>
      </c>
      <c r="Y308" s="154" t="s">
        <v>479</v>
      </c>
      <c r="Z308" s="154" t="s">
        <v>479</v>
      </c>
      <c r="AA308" s="154" t="s">
        <v>479</v>
      </c>
      <c r="AB308" s="154" t="s">
        <v>479</v>
      </c>
      <c r="AC308" s="154" t="s">
        <v>479</v>
      </c>
      <c r="AD308" s="154" t="s">
        <v>479</v>
      </c>
      <c r="AE308" s="154" t="s">
        <v>479</v>
      </c>
      <c r="AF308" s="154" t="s">
        <v>479</v>
      </c>
      <c r="AG308" s="154" t="s">
        <v>479</v>
      </c>
      <c r="AH308" s="154" t="s">
        <v>479</v>
      </c>
      <c r="AI308" s="154" t="s">
        <v>479</v>
      </c>
      <c r="AJ308" s="154" t="s">
        <v>479</v>
      </c>
      <c r="AK308" s="154" t="s">
        <v>479</v>
      </c>
      <c r="AL308" s="154" t="s">
        <v>479</v>
      </c>
      <c r="AS308">
        <v>308</v>
      </c>
    </row>
    <row r="309" spans="1:46" hidden="1" x14ac:dyDescent="0.25">
      <c r="A309">
        <v>308</v>
      </c>
      <c r="B309">
        <v>2025</v>
      </c>
      <c r="C309">
        <v>7</v>
      </c>
      <c r="D309" t="s">
        <v>256</v>
      </c>
      <c r="E309">
        <v>31</v>
      </c>
      <c r="F309">
        <v>6</v>
      </c>
      <c r="G309" t="s">
        <v>535</v>
      </c>
      <c r="H309" s="154">
        <v>0.75</v>
      </c>
      <c r="I309" s="154">
        <v>0.75</v>
      </c>
      <c r="J309" s="154">
        <v>0.75</v>
      </c>
      <c r="K309" s="154">
        <v>0.83333333333333326</v>
      </c>
      <c r="L309" s="154">
        <v>0.75</v>
      </c>
      <c r="M309" s="154">
        <v>0.75</v>
      </c>
      <c r="N309" s="154">
        <v>0.75</v>
      </c>
      <c r="O309" s="154">
        <v>0.79166666666666674</v>
      </c>
      <c r="P309" s="154">
        <v>0.875</v>
      </c>
      <c r="Q309" s="154">
        <v>0.75</v>
      </c>
      <c r="R309" s="154">
        <v>0.83333333333333326</v>
      </c>
      <c r="S309" s="154">
        <v>0.83333333333333326</v>
      </c>
      <c r="T309" s="154">
        <v>0.75</v>
      </c>
      <c r="U309" s="154">
        <v>0.75</v>
      </c>
      <c r="V309" s="154">
        <v>0.75</v>
      </c>
      <c r="W309" s="154">
        <v>0.75</v>
      </c>
      <c r="X309" s="154">
        <v>0.75</v>
      </c>
      <c r="Y309" s="154">
        <v>0.75</v>
      </c>
      <c r="Z309" s="154">
        <v>0.75</v>
      </c>
      <c r="AA309" s="154">
        <v>0.83333333333333326</v>
      </c>
      <c r="AB309" s="154">
        <v>0.75</v>
      </c>
      <c r="AC309" s="154">
        <v>0.75</v>
      </c>
      <c r="AD309" s="154">
        <v>0.83333333333333326</v>
      </c>
      <c r="AE309" s="154">
        <v>0.75</v>
      </c>
      <c r="AF309" s="154">
        <v>0.75</v>
      </c>
      <c r="AG309" s="154">
        <v>0.75</v>
      </c>
      <c r="AH309" s="154">
        <v>0.8125</v>
      </c>
      <c r="AI309" s="154">
        <v>0.75</v>
      </c>
      <c r="AJ309" s="154">
        <v>0.75</v>
      </c>
      <c r="AK309" s="154">
        <v>0.75</v>
      </c>
      <c r="AL309" s="154">
        <v>0.75</v>
      </c>
      <c r="AM309" cm="1">
        <f t="array" ref="AM309">SUM(_xlfn.LET(_xlpm.r,((IFERROR(H309:AL309-H308:AL308,0))*24)/10,IF(_xlpm.r&gt;1,1,_xlpm.r)))</f>
        <v>31</v>
      </c>
      <c r="AO309" cm="1">
        <f t="array" ref="AO309">SUM(IFERROR(MOD((H309:AL309-H308:AL308)*24,11),""))</f>
        <v>15.499999999999979</v>
      </c>
      <c r="AS309">
        <v>309</v>
      </c>
    </row>
    <row r="310" spans="1:46" hidden="1" x14ac:dyDescent="0.25">
      <c r="A310">
        <v>309</v>
      </c>
      <c r="B310">
        <v>2025</v>
      </c>
      <c r="C310">
        <v>7</v>
      </c>
      <c r="D310" t="s">
        <v>256</v>
      </c>
      <c r="E310">
        <v>31</v>
      </c>
      <c r="F310">
        <v>6</v>
      </c>
      <c r="G310" t="s">
        <v>536</v>
      </c>
      <c r="H310" s="154">
        <v>42399</v>
      </c>
      <c r="I310" s="154">
        <v>42451</v>
      </c>
      <c r="J310" s="154">
        <v>42540</v>
      </c>
      <c r="K310" s="154">
        <v>42566</v>
      </c>
      <c r="L310" s="154">
        <v>42669</v>
      </c>
      <c r="M310" s="154">
        <v>42700</v>
      </c>
      <c r="N310" s="154">
        <v>42946</v>
      </c>
      <c r="O310" s="154">
        <v>42965</v>
      </c>
      <c r="P310" s="154">
        <v>42989</v>
      </c>
      <c r="Q310" s="154">
        <v>43018</v>
      </c>
      <c r="R310" s="154">
        <v>43127</v>
      </c>
      <c r="S310" s="154">
        <v>43153</v>
      </c>
      <c r="T310" s="154">
        <v>43313</v>
      </c>
      <c r="U310" s="154">
        <v>43409</v>
      </c>
      <c r="V310" s="154">
        <v>43422</v>
      </c>
      <c r="W310" s="154">
        <v>43447</v>
      </c>
      <c r="X310" s="154">
        <v>43481</v>
      </c>
      <c r="Y310" s="154">
        <v>43517</v>
      </c>
      <c r="Z310" s="154">
        <v>43578</v>
      </c>
      <c r="AA310" s="154">
        <v>43674</v>
      </c>
      <c r="AB310" s="154">
        <v>43748</v>
      </c>
      <c r="AC310" s="154">
        <v>43820</v>
      </c>
      <c r="AD310" s="154">
        <v>43897</v>
      </c>
      <c r="AE310" s="154">
        <v>43927</v>
      </c>
      <c r="AF310" s="154">
        <v>43949</v>
      </c>
      <c r="AG310" s="154">
        <v>44046</v>
      </c>
      <c r="AH310" s="154">
        <v>44134</v>
      </c>
      <c r="AI310" s="154">
        <v>44232</v>
      </c>
      <c r="AJ310" s="154">
        <v>44303</v>
      </c>
      <c r="AK310" s="154">
        <v>44335</v>
      </c>
      <c r="AL310" s="154">
        <v>44421</v>
      </c>
      <c r="AS310">
        <v>310</v>
      </c>
    </row>
    <row r="311" spans="1:46" hidden="1" x14ac:dyDescent="0.25">
      <c r="A311">
        <v>310</v>
      </c>
      <c r="B311">
        <v>2025</v>
      </c>
      <c r="C311">
        <v>7</v>
      </c>
      <c r="D311" t="s">
        <v>256</v>
      </c>
      <c r="E311">
        <v>31</v>
      </c>
      <c r="F311">
        <v>6</v>
      </c>
      <c r="G311" t="s">
        <v>537</v>
      </c>
      <c r="H311" s="154">
        <v>42451</v>
      </c>
      <c r="I311" s="154">
        <v>42540</v>
      </c>
      <c r="J311" s="154">
        <v>42566</v>
      </c>
      <c r="K311" s="154">
        <v>42669</v>
      </c>
      <c r="L311" s="154">
        <v>42700</v>
      </c>
      <c r="M311" s="154">
        <v>42946</v>
      </c>
      <c r="N311" s="154">
        <v>42965</v>
      </c>
      <c r="O311" s="154">
        <v>42989</v>
      </c>
      <c r="P311" s="154">
        <v>43018</v>
      </c>
      <c r="Q311" s="154">
        <v>43127</v>
      </c>
      <c r="R311" s="154">
        <v>43153</v>
      </c>
      <c r="S311" s="154">
        <v>43313</v>
      </c>
      <c r="T311" s="154">
        <v>43409</v>
      </c>
      <c r="U311" s="154">
        <v>43422</v>
      </c>
      <c r="V311" s="154">
        <v>43447</v>
      </c>
      <c r="W311" s="154">
        <v>43481</v>
      </c>
      <c r="X311" s="154">
        <v>43517</v>
      </c>
      <c r="Y311" s="154">
        <v>43578</v>
      </c>
      <c r="Z311" s="154">
        <v>43674</v>
      </c>
      <c r="AA311" s="154">
        <v>43748</v>
      </c>
      <c r="AB311" s="154">
        <v>43820</v>
      </c>
      <c r="AC311" s="154">
        <v>43897</v>
      </c>
      <c r="AD311" s="154">
        <v>43927</v>
      </c>
      <c r="AE311" s="154">
        <v>43949</v>
      </c>
      <c r="AF311" s="154">
        <v>44046</v>
      </c>
      <c r="AG311" s="154">
        <v>44134</v>
      </c>
      <c r="AH311" s="154">
        <v>44232</v>
      </c>
      <c r="AI311" s="154">
        <v>44303</v>
      </c>
      <c r="AJ311" s="154">
        <v>44335</v>
      </c>
      <c r="AK311" s="154">
        <v>44421</v>
      </c>
      <c r="AL311" s="154">
        <v>44519</v>
      </c>
      <c r="AP311" cm="1">
        <f t="array" ref="AP311">IF(AQ311="","",SUM(IFERROR(H311:AL311-H310:AL310,0))*AQ311/100)</f>
        <v>318</v>
      </c>
      <c r="AQ311">
        <f>_xlfn.XLOOKUP(D311,log_prices!M:M,log_prices!L:L,,0)</f>
        <v>15</v>
      </c>
      <c r="AS311">
        <v>311</v>
      </c>
      <c r="AT311" cm="1">
        <f t="array" ref="AT311">IF(AQ311="","",SUM(IFERROR(H311:AL311-H310:AL310,0)))</f>
        <v>2120</v>
      </c>
    </row>
    <row r="312" spans="1:46" hidden="1" x14ac:dyDescent="0.25">
      <c r="A312">
        <v>311</v>
      </c>
      <c r="B312">
        <v>2025</v>
      </c>
      <c r="C312">
        <v>7</v>
      </c>
      <c r="D312" t="s">
        <v>269</v>
      </c>
      <c r="E312">
        <v>31</v>
      </c>
      <c r="F312">
        <v>6</v>
      </c>
      <c r="G312" t="s">
        <v>534</v>
      </c>
      <c r="H312" s="154" t="s">
        <v>479</v>
      </c>
      <c r="I312" s="154" t="s">
        <v>479</v>
      </c>
      <c r="J312" s="154" t="s">
        <v>479</v>
      </c>
      <c r="K312" s="154" t="s">
        <v>479</v>
      </c>
      <c r="L312" s="154" t="s">
        <v>479</v>
      </c>
      <c r="M312" s="154" t="s">
        <v>424</v>
      </c>
      <c r="N312" s="154" t="s">
        <v>479</v>
      </c>
      <c r="O312" s="154" t="s">
        <v>479</v>
      </c>
      <c r="P312" s="154" t="s">
        <v>479</v>
      </c>
      <c r="Q312" s="154" t="s">
        <v>479</v>
      </c>
      <c r="R312" s="154" t="s">
        <v>479</v>
      </c>
      <c r="S312" s="154" t="s">
        <v>479</v>
      </c>
      <c r="T312" s="154" t="s">
        <v>479</v>
      </c>
      <c r="U312" s="154" t="s">
        <v>479</v>
      </c>
      <c r="V312" s="154" t="s">
        <v>479</v>
      </c>
      <c r="W312" s="154" t="s">
        <v>479</v>
      </c>
      <c r="X312" s="154" t="s">
        <v>479</v>
      </c>
      <c r="Y312" s="154" t="s">
        <v>479</v>
      </c>
      <c r="Z312" s="154" t="s">
        <v>479</v>
      </c>
      <c r="AA312" s="154" t="s">
        <v>479</v>
      </c>
      <c r="AB312" s="154" t="s">
        <v>479</v>
      </c>
      <c r="AC312" s="154" t="s">
        <v>479</v>
      </c>
      <c r="AD312" s="154" t="s">
        <v>479</v>
      </c>
      <c r="AE312" s="154" t="s">
        <v>479</v>
      </c>
      <c r="AF312" s="154" t="s">
        <v>479</v>
      </c>
      <c r="AG312" s="154" t="s">
        <v>479</v>
      </c>
      <c r="AH312" s="154" t="s">
        <v>479</v>
      </c>
      <c r="AI312" s="154" t="s">
        <v>479</v>
      </c>
      <c r="AJ312" s="154" t="s">
        <v>479</v>
      </c>
      <c r="AK312" s="154" t="s">
        <v>479</v>
      </c>
      <c r="AL312" s="154" t="s">
        <v>479</v>
      </c>
      <c r="AS312">
        <v>312</v>
      </c>
    </row>
    <row r="313" spans="1:46" hidden="1" x14ac:dyDescent="0.25">
      <c r="A313">
        <v>312</v>
      </c>
      <c r="B313">
        <v>2025</v>
      </c>
      <c r="C313">
        <v>7</v>
      </c>
      <c r="D313" t="s">
        <v>269</v>
      </c>
      <c r="E313">
        <v>31</v>
      </c>
      <c r="F313">
        <v>6</v>
      </c>
      <c r="G313" t="s">
        <v>535</v>
      </c>
      <c r="H313" s="154">
        <v>0.91666666666666674</v>
      </c>
      <c r="I313" s="154">
        <v>0.875</v>
      </c>
      <c r="J313" s="154">
        <v>0.75</v>
      </c>
      <c r="K313" s="154">
        <v>0.875</v>
      </c>
      <c r="L313" s="154">
        <v>0.91666666666666674</v>
      </c>
      <c r="M313" s="154" t="s">
        <v>424</v>
      </c>
      <c r="N313" s="154">
        <v>0.75</v>
      </c>
      <c r="O313" s="154">
        <v>0.95833333333333326</v>
      </c>
      <c r="P313" s="154">
        <v>0.91666666666666674</v>
      </c>
      <c r="Q313" s="154">
        <v>0.83333333333333326</v>
      </c>
      <c r="R313" s="154">
        <v>0.83333333333333326</v>
      </c>
      <c r="S313" s="154">
        <v>0.83333333333333326</v>
      </c>
      <c r="T313" s="154">
        <v>0.91666666666666674</v>
      </c>
      <c r="U313" s="154">
        <v>0.95833333333333326</v>
      </c>
      <c r="V313" s="154">
        <v>0.875</v>
      </c>
      <c r="W313" s="154">
        <v>0.83333333333333326</v>
      </c>
      <c r="X313" s="154">
        <v>0.75</v>
      </c>
      <c r="Y313" s="154">
        <v>0.83333333333333326</v>
      </c>
      <c r="Z313" s="154">
        <v>0.875</v>
      </c>
      <c r="AA313" s="154">
        <v>0.875</v>
      </c>
      <c r="AB313" s="154">
        <v>0.83333333333333326</v>
      </c>
      <c r="AC313" s="154">
        <v>0.83333333333333326</v>
      </c>
      <c r="AD313" s="154">
        <v>0.875</v>
      </c>
      <c r="AE313" s="154">
        <v>0.875</v>
      </c>
      <c r="AF313" s="154">
        <v>0.83333333333333326</v>
      </c>
      <c r="AG313" s="154">
        <v>0.75</v>
      </c>
      <c r="AH313" s="154">
        <v>0.75</v>
      </c>
      <c r="AI313" s="154">
        <v>0.83333333333333326</v>
      </c>
      <c r="AJ313" s="154">
        <v>0.75</v>
      </c>
      <c r="AK313" s="154">
        <v>0.75</v>
      </c>
      <c r="AL313" s="154">
        <v>0.83333333333333326</v>
      </c>
      <c r="AM313" cm="1">
        <f t="array" ref="AM313">SUM(_xlfn.LET(_xlpm.r,((IFERROR(H313:AL313-H312:AL312,0))*24)/10,IF(_xlpm.r&gt;1,1,_xlpm.r)))</f>
        <v>30</v>
      </c>
      <c r="AO313" cm="1">
        <f t="array" ref="AO313">SUM(IFERROR(MOD((H313:AL313-H312:AL312)*24,11),""))</f>
        <v>66.999999999999986</v>
      </c>
      <c r="AS313">
        <v>313</v>
      </c>
    </row>
    <row r="314" spans="1:46" hidden="1" x14ac:dyDescent="0.25">
      <c r="A314">
        <v>313</v>
      </c>
      <c r="B314">
        <v>2025</v>
      </c>
      <c r="C314">
        <v>7</v>
      </c>
      <c r="D314" t="s">
        <v>269</v>
      </c>
      <c r="E314">
        <v>31</v>
      </c>
      <c r="F314">
        <v>6</v>
      </c>
      <c r="G314" t="s">
        <v>536</v>
      </c>
      <c r="H314" s="154">
        <v>28069</v>
      </c>
      <c r="I314" s="154">
        <v>28091</v>
      </c>
      <c r="J314" s="154">
        <v>28121</v>
      </c>
      <c r="K314" s="154">
        <v>28146</v>
      </c>
      <c r="L314" s="154">
        <v>28224</v>
      </c>
      <c r="M314" s="154" t="s">
        <v>424</v>
      </c>
      <c r="N314" s="154">
        <v>28296</v>
      </c>
      <c r="O314" s="154">
        <v>28362</v>
      </c>
      <c r="P314" s="154">
        <v>28394</v>
      </c>
      <c r="Q314" s="154">
        <v>28418</v>
      </c>
      <c r="R314" s="154">
        <v>28450</v>
      </c>
      <c r="S314" s="154">
        <v>28490</v>
      </c>
      <c r="T314" s="154">
        <v>28510</v>
      </c>
      <c r="U314" s="154">
        <v>28543</v>
      </c>
      <c r="V314" s="154">
        <v>28582</v>
      </c>
      <c r="W314" s="154">
        <v>28606</v>
      </c>
      <c r="X314" s="154">
        <v>28628</v>
      </c>
      <c r="Y314" s="154">
        <v>28635</v>
      </c>
      <c r="Z314" s="154">
        <v>28728</v>
      </c>
      <c r="AA314" s="154">
        <v>28745</v>
      </c>
      <c r="AB314" s="154">
        <v>28763</v>
      </c>
      <c r="AC314" s="154">
        <v>28777</v>
      </c>
      <c r="AD314" s="154">
        <v>28792</v>
      </c>
      <c r="AE314" s="154">
        <v>28811</v>
      </c>
      <c r="AF314" s="154">
        <v>28825</v>
      </c>
      <c r="AG314" s="154">
        <v>28837</v>
      </c>
      <c r="AH314" s="154">
        <v>28866</v>
      </c>
      <c r="AI314" s="154">
        <v>28891</v>
      </c>
      <c r="AJ314" s="154">
        <v>28910</v>
      </c>
      <c r="AK314" s="154">
        <v>28929</v>
      </c>
      <c r="AL314" s="154">
        <v>28945</v>
      </c>
      <c r="AS314">
        <v>314</v>
      </c>
    </row>
    <row r="315" spans="1:46" hidden="1" x14ac:dyDescent="0.25">
      <c r="A315">
        <v>314</v>
      </c>
      <c r="B315">
        <v>2025</v>
      </c>
      <c r="C315">
        <v>7</v>
      </c>
      <c r="D315" t="s">
        <v>269</v>
      </c>
      <c r="E315">
        <v>31</v>
      </c>
      <c r="F315">
        <v>6</v>
      </c>
      <c r="G315" t="s">
        <v>537</v>
      </c>
      <c r="H315" s="154">
        <v>28091</v>
      </c>
      <c r="I315" s="154">
        <v>28120</v>
      </c>
      <c r="J315" s="154">
        <v>28140</v>
      </c>
      <c r="K315" s="154">
        <v>28205</v>
      </c>
      <c r="L315" s="154">
        <v>28259</v>
      </c>
      <c r="M315" s="154" t="s">
        <v>424</v>
      </c>
      <c r="N315" s="154">
        <v>28362</v>
      </c>
      <c r="O315" s="154">
        <v>28394</v>
      </c>
      <c r="P315" s="154">
        <v>28418</v>
      </c>
      <c r="Q315" s="154">
        <v>28427</v>
      </c>
      <c r="R315" s="154">
        <v>28490</v>
      </c>
      <c r="S315" s="154">
        <v>28510</v>
      </c>
      <c r="T315" s="154">
        <v>28543</v>
      </c>
      <c r="U315" s="154">
        <v>28582</v>
      </c>
      <c r="V315" s="154">
        <v>28606</v>
      </c>
      <c r="W315" s="154">
        <v>28628</v>
      </c>
      <c r="X315" s="154">
        <v>28635</v>
      </c>
      <c r="Y315" s="154">
        <v>28728</v>
      </c>
      <c r="Z315" s="154">
        <v>28745</v>
      </c>
      <c r="AA315" s="154">
        <v>28763</v>
      </c>
      <c r="AB315" s="154">
        <v>28777</v>
      </c>
      <c r="AC315" s="154">
        <v>28792</v>
      </c>
      <c r="AD315" s="154">
        <v>28811</v>
      </c>
      <c r="AE315" s="154">
        <v>28825</v>
      </c>
      <c r="AF315" s="154">
        <v>28837</v>
      </c>
      <c r="AG315" s="154">
        <v>28866</v>
      </c>
      <c r="AH315" s="154">
        <v>28891</v>
      </c>
      <c r="AI315" s="154">
        <v>28910</v>
      </c>
      <c r="AJ315" s="154">
        <v>28929</v>
      </c>
      <c r="AK315" s="154">
        <v>28945</v>
      </c>
      <c r="AL315" s="154">
        <v>28960</v>
      </c>
      <c r="AP315" cm="1">
        <f t="array" ref="AP315">IF(AQ315="","",SUM(IFERROR(H315:AL315-H314:AL314,0))*AQ315/100)</f>
        <v>120.75</v>
      </c>
      <c r="AQ315">
        <f>_xlfn.XLOOKUP(D315,log_prices!M:M,log_prices!L:L,,0)</f>
        <v>15</v>
      </c>
      <c r="AS315">
        <v>315</v>
      </c>
      <c r="AT315" cm="1">
        <f t="array" ref="AT315">IF(AQ315="","",SUM(IFERROR(H315:AL315-H314:AL314,0)))</f>
        <v>805</v>
      </c>
    </row>
    <row r="316" spans="1:46" hidden="1" x14ac:dyDescent="0.25">
      <c r="A316">
        <v>315</v>
      </c>
      <c r="B316">
        <v>2025</v>
      </c>
      <c r="C316">
        <v>7</v>
      </c>
      <c r="D316" t="s">
        <v>258</v>
      </c>
      <c r="E316">
        <v>31</v>
      </c>
      <c r="F316">
        <v>6</v>
      </c>
      <c r="G316" t="s">
        <v>534</v>
      </c>
      <c r="H316" s="154" t="s">
        <v>424</v>
      </c>
      <c r="I316" s="154" t="s">
        <v>424</v>
      </c>
      <c r="J316" s="154" t="s">
        <v>424</v>
      </c>
      <c r="K316" s="154" t="s">
        <v>424</v>
      </c>
      <c r="L316" s="154" t="s">
        <v>424</v>
      </c>
      <c r="M316" s="154" t="s">
        <v>424</v>
      </c>
      <c r="N316" s="154" t="s">
        <v>424</v>
      </c>
      <c r="O316" s="154" t="s">
        <v>424</v>
      </c>
      <c r="P316" s="154" t="s">
        <v>424</v>
      </c>
      <c r="Q316" s="154" t="s">
        <v>424</v>
      </c>
      <c r="R316" s="154" t="s">
        <v>424</v>
      </c>
      <c r="S316" s="154" t="s">
        <v>424</v>
      </c>
      <c r="T316" s="154" t="s">
        <v>424</v>
      </c>
      <c r="U316" s="154" t="s">
        <v>424</v>
      </c>
      <c r="V316" s="154" t="s">
        <v>424</v>
      </c>
      <c r="W316" s="154" t="s">
        <v>479</v>
      </c>
      <c r="X316" s="154" t="s">
        <v>479</v>
      </c>
      <c r="Y316" s="154" t="s">
        <v>479</v>
      </c>
      <c r="Z316" s="154" t="s">
        <v>479</v>
      </c>
      <c r="AA316" s="154" t="s">
        <v>479</v>
      </c>
      <c r="AB316" s="154" t="s">
        <v>479</v>
      </c>
      <c r="AC316" s="154" t="s">
        <v>479</v>
      </c>
      <c r="AD316" s="154" t="s">
        <v>479</v>
      </c>
      <c r="AE316" s="154" t="s">
        <v>479</v>
      </c>
      <c r="AF316" s="154" t="s">
        <v>479</v>
      </c>
      <c r="AG316" s="154" t="s">
        <v>479</v>
      </c>
      <c r="AH316" s="154" t="s">
        <v>479</v>
      </c>
      <c r="AI316" s="154" t="s">
        <v>479</v>
      </c>
      <c r="AJ316" s="154" t="s">
        <v>479</v>
      </c>
      <c r="AK316" s="154" t="s">
        <v>479</v>
      </c>
      <c r="AL316" s="154" t="s">
        <v>479</v>
      </c>
      <c r="AS316">
        <v>316</v>
      </c>
    </row>
    <row r="317" spans="1:46" hidden="1" x14ac:dyDescent="0.25">
      <c r="A317">
        <v>316</v>
      </c>
      <c r="B317">
        <v>2025</v>
      </c>
      <c r="C317">
        <v>7</v>
      </c>
      <c r="D317" t="s">
        <v>258</v>
      </c>
      <c r="E317">
        <v>31</v>
      </c>
      <c r="F317">
        <v>6</v>
      </c>
      <c r="G317" t="s">
        <v>535</v>
      </c>
      <c r="H317" s="154" t="s">
        <v>424</v>
      </c>
      <c r="I317" s="154" t="s">
        <v>424</v>
      </c>
      <c r="J317" s="154" t="s">
        <v>424</v>
      </c>
      <c r="K317" s="154" t="s">
        <v>424</v>
      </c>
      <c r="L317" s="154" t="s">
        <v>424</v>
      </c>
      <c r="M317" s="154" t="s">
        <v>424</v>
      </c>
      <c r="N317" s="154" t="s">
        <v>424</v>
      </c>
      <c r="O317" s="154" t="s">
        <v>424</v>
      </c>
      <c r="P317" s="154" t="s">
        <v>424</v>
      </c>
      <c r="Q317" s="154" t="s">
        <v>424</v>
      </c>
      <c r="R317" s="154" t="s">
        <v>424</v>
      </c>
      <c r="S317" s="154" t="s">
        <v>424</v>
      </c>
      <c r="T317" s="154" t="s">
        <v>424</v>
      </c>
      <c r="U317" s="154" t="s">
        <v>424</v>
      </c>
      <c r="V317" s="154" t="s">
        <v>424</v>
      </c>
      <c r="W317" s="154">
        <v>0.79166666666666674</v>
      </c>
      <c r="X317" s="154">
        <v>0.79166666666666674</v>
      </c>
      <c r="Y317" s="154">
        <v>0.79166666666666674</v>
      </c>
      <c r="Z317" s="154">
        <v>0.79166666666666674</v>
      </c>
      <c r="AA317" s="154">
        <v>0.79166666666666674</v>
      </c>
      <c r="AB317" s="154">
        <v>0.79166666666666674</v>
      </c>
      <c r="AC317" s="154">
        <v>0.79166666666666674</v>
      </c>
      <c r="AD317" s="154">
        <v>0.83333333333333326</v>
      </c>
      <c r="AE317" s="154">
        <v>0.875</v>
      </c>
      <c r="AF317" s="154">
        <v>0.875</v>
      </c>
      <c r="AG317" s="154">
        <v>0.83333333333333326</v>
      </c>
      <c r="AH317" s="154">
        <v>0.83333333333333326</v>
      </c>
      <c r="AI317" s="154">
        <v>0.79166666666666674</v>
      </c>
      <c r="AJ317" s="154">
        <v>0.79166666666666674</v>
      </c>
      <c r="AK317" s="154">
        <v>0.83333333333333326</v>
      </c>
      <c r="AL317" s="154">
        <v>0.83333333333333326</v>
      </c>
      <c r="AM317" cm="1">
        <f t="array" ref="AM317">SUM(_xlfn.LET(_xlpm.r,((IFERROR(H317:AL317-H316:AL316,0))*24)/10,IF(_xlpm.r&gt;1,1,_xlpm.r)))</f>
        <v>16</v>
      </c>
      <c r="AO317" cm="1">
        <f t="array" ref="AO317">SUM(IFERROR(MOD((H317:AL317-H316:AL316)*24,11),""))</f>
        <v>24.999999999999979</v>
      </c>
      <c r="AS317">
        <v>317</v>
      </c>
    </row>
    <row r="318" spans="1:46" hidden="1" x14ac:dyDescent="0.25">
      <c r="A318">
        <v>317</v>
      </c>
      <c r="B318">
        <v>2025</v>
      </c>
      <c r="C318">
        <v>7</v>
      </c>
      <c r="D318" t="s">
        <v>258</v>
      </c>
      <c r="E318">
        <v>31</v>
      </c>
      <c r="F318">
        <v>6</v>
      </c>
      <c r="G318" t="s">
        <v>536</v>
      </c>
      <c r="H318" s="154" t="s">
        <v>424</v>
      </c>
      <c r="I318" s="154" t="s">
        <v>424</v>
      </c>
      <c r="J318" s="154" t="s">
        <v>424</v>
      </c>
      <c r="K318" s="154" t="s">
        <v>424</v>
      </c>
      <c r="L318" s="154" t="s">
        <v>424</v>
      </c>
      <c r="M318" s="154" t="s">
        <v>424</v>
      </c>
      <c r="N318" s="154" t="s">
        <v>424</v>
      </c>
      <c r="O318" s="154" t="s">
        <v>424</v>
      </c>
      <c r="P318" s="154" t="s">
        <v>424</v>
      </c>
      <c r="Q318" s="154" t="s">
        <v>424</v>
      </c>
      <c r="R318" s="154" t="s">
        <v>424</v>
      </c>
      <c r="S318" s="154" t="s">
        <v>424</v>
      </c>
      <c r="T318" s="154" t="s">
        <v>424</v>
      </c>
      <c r="U318" s="154" t="s">
        <v>424</v>
      </c>
      <c r="V318" s="154" t="s">
        <v>424</v>
      </c>
      <c r="W318" s="154">
        <v>236391</v>
      </c>
      <c r="X318" s="154">
        <v>236391</v>
      </c>
      <c r="Y318" s="154">
        <v>236587</v>
      </c>
      <c r="Z318" s="154">
        <v>236677</v>
      </c>
      <c r="AA318" s="154">
        <v>236801</v>
      </c>
      <c r="AB318" s="154">
        <v>236916</v>
      </c>
      <c r="AC318" s="154">
        <v>236935</v>
      </c>
      <c r="AD318" s="154">
        <v>236965</v>
      </c>
      <c r="AE318" s="154">
        <v>237072</v>
      </c>
      <c r="AF318" s="154">
        <v>237222</v>
      </c>
      <c r="AG318" s="154">
        <v>237246</v>
      </c>
      <c r="AH318" s="154">
        <v>237253</v>
      </c>
      <c r="AI318" s="154">
        <v>237368</v>
      </c>
      <c r="AJ318" s="154">
        <v>237486</v>
      </c>
      <c r="AK318" s="154">
        <v>237508</v>
      </c>
      <c r="AL318" s="154">
        <v>237529</v>
      </c>
      <c r="AS318">
        <v>318</v>
      </c>
    </row>
    <row r="319" spans="1:46" hidden="1" x14ac:dyDescent="0.25">
      <c r="A319">
        <v>318</v>
      </c>
      <c r="B319">
        <v>2025</v>
      </c>
      <c r="C319">
        <v>7</v>
      </c>
      <c r="D319" t="s">
        <v>258</v>
      </c>
      <c r="E319">
        <v>31</v>
      </c>
      <c r="F319">
        <v>6</v>
      </c>
      <c r="G319" t="s">
        <v>537</v>
      </c>
      <c r="H319" s="154" t="s">
        <v>424</v>
      </c>
      <c r="I319" s="154" t="s">
        <v>424</v>
      </c>
      <c r="J319" s="154" t="s">
        <v>424</v>
      </c>
      <c r="K319" s="154" t="s">
        <v>424</v>
      </c>
      <c r="L319" s="154" t="s">
        <v>424</v>
      </c>
      <c r="M319" s="154" t="s">
        <v>424</v>
      </c>
      <c r="N319" s="154" t="s">
        <v>424</v>
      </c>
      <c r="O319" s="154" t="s">
        <v>424</v>
      </c>
      <c r="P319" s="154" t="s">
        <v>424</v>
      </c>
      <c r="Q319" s="154" t="s">
        <v>424</v>
      </c>
      <c r="R319" s="154" t="s">
        <v>424</v>
      </c>
      <c r="S319" s="154" t="s">
        <v>424</v>
      </c>
      <c r="T319" s="154" t="s">
        <v>424</v>
      </c>
      <c r="U319" s="154" t="s">
        <v>424</v>
      </c>
      <c r="V319" s="154" t="s">
        <v>424</v>
      </c>
      <c r="W319" s="154">
        <v>236433</v>
      </c>
      <c r="X319" s="154">
        <v>236433</v>
      </c>
      <c r="Y319" s="154">
        <v>236677</v>
      </c>
      <c r="Z319" s="154">
        <v>236695</v>
      </c>
      <c r="AA319" s="154">
        <v>236916</v>
      </c>
      <c r="AB319" s="154">
        <v>236935</v>
      </c>
      <c r="AC319" s="154">
        <v>236958</v>
      </c>
      <c r="AD319" s="154">
        <v>237072</v>
      </c>
      <c r="AE319" s="154">
        <v>237222</v>
      </c>
      <c r="AF319" s="154">
        <v>237245</v>
      </c>
      <c r="AG319" s="154">
        <v>237253</v>
      </c>
      <c r="AH319" s="154">
        <v>237368</v>
      </c>
      <c r="AI319" s="154">
        <v>237486</v>
      </c>
      <c r="AJ319" s="154">
        <v>237508</v>
      </c>
      <c r="AK319" s="154">
        <v>237527</v>
      </c>
      <c r="AL319" s="154">
        <v>237630</v>
      </c>
      <c r="AP319" cm="1">
        <f t="array" ref="AP319">IF(AQ319="","",SUM(IFERROR(H319:AL319-H318:AL318,0))*AQ319/100)</f>
        <v>151.65</v>
      </c>
      <c r="AQ319">
        <v>15</v>
      </c>
      <c r="AS319">
        <v>319</v>
      </c>
      <c r="AT319" cm="1">
        <f t="array" ref="AT319">IF(AQ319="","",SUM(IFERROR(H319:AL319-H318:AL318,0)))</f>
        <v>1011</v>
      </c>
    </row>
    <row r="320" spans="1:46" hidden="1" x14ac:dyDescent="0.25">
      <c r="A320">
        <v>319</v>
      </c>
      <c r="B320">
        <v>2025</v>
      </c>
      <c r="C320">
        <v>7</v>
      </c>
      <c r="D320" t="s">
        <v>266</v>
      </c>
      <c r="E320">
        <v>31</v>
      </c>
      <c r="F320">
        <v>6</v>
      </c>
      <c r="G320" t="s">
        <v>534</v>
      </c>
      <c r="H320" s="154" t="s">
        <v>486</v>
      </c>
      <c r="I320" s="154" t="s">
        <v>486</v>
      </c>
      <c r="J320" s="154" t="s">
        <v>486</v>
      </c>
      <c r="K320" s="154" t="s">
        <v>486</v>
      </c>
      <c r="L320" s="154" t="s">
        <v>486</v>
      </c>
      <c r="M320" s="154" t="s">
        <v>486</v>
      </c>
      <c r="N320" s="154" t="s">
        <v>486</v>
      </c>
      <c r="O320" s="154" t="s">
        <v>486</v>
      </c>
      <c r="P320" s="154" t="s">
        <v>486</v>
      </c>
      <c r="Q320" s="154" t="s">
        <v>486</v>
      </c>
      <c r="R320" s="154" t="s">
        <v>486</v>
      </c>
      <c r="S320" s="154" t="s">
        <v>486</v>
      </c>
      <c r="T320" s="154" t="s">
        <v>486</v>
      </c>
      <c r="U320" s="154" t="s">
        <v>486</v>
      </c>
      <c r="V320" s="154" t="s">
        <v>486</v>
      </c>
      <c r="W320" s="154" t="s">
        <v>486</v>
      </c>
      <c r="X320" s="154" t="s">
        <v>486</v>
      </c>
      <c r="Y320" s="154" t="s">
        <v>486</v>
      </c>
      <c r="Z320" s="154" t="s">
        <v>486</v>
      </c>
      <c r="AA320" s="154" t="s">
        <v>486</v>
      </c>
      <c r="AB320" s="154" t="s">
        <v>486</v>
      </c>
      <c r="AC320" s="154" t="s">
        <v>486</v>
      </c>
      <c r="AD320" s="154" t="s">
        <v>486</v>
      </c>
      <c r="AE320" s="154" t="s">
        <v>486</v>
      </c>
      <c r="AF320" s="154" t="s">
        <v>486</v>
      </c>
      <c r="AG320" s="154" t="s">
        <v>486</v>
      </c>
      <c r="AH320" s="154" t="s">
        <v>486</v>
      </c>
      <c r="AI320" s="154" t="s">
        <v>486</v>
      </c>
      <c r="AJ320" s="154" t="s">
        <v>486</v>
      </c>
      <c r="AK320" s="154" t="s">
        <v>486</v>
      </c>
      <c r="AL320" s="154" t="s">
        <v>486</v>
      </c>
      <c r="AS320">
        <v>320</v>
      </c>
    </row>
    <row r="321" spans="1:46" hidden="1" x14ac:dyDescent="0.25">
      <c r="A321">
        <v>320</v>
      </c>
      <c r="B321">
        <v>2025</v>
      </c>
      <c r="C321">
        <v>7</v>
      </c>
      <c r="D321" t="s">
        <v>266</v>
      </c>
      <c r="E321">
        <v>31</v>
      </c>
      <c r="F321">
        <v>6</v>
      </c>
      <c r="G321" t="s">
        <v>535</v>
      </c>
      <c r="H321" s="154">
        <v>0.79166666666666674</v>
      </c>
      <c r="I321" s="154">
        <v>0.79166666666666674</v>
      </c>
      <c r="J321" s="154">
        <v>0.79166666666666674</v>
      </c>
      <c r="K321" s="154">
        <v>0.79166666666666674</v>
      </c>
      <c r="L321" s="154">
        <v>0.79166666666666674</v>
      </c>
      <c r="M321" s="154">
        <v>0.79166666666666674</v>
      </c>
      <c r="N321" s="154">
        <v>0.79166666666666674</v>
      </c>
      <c r="O321" s="154">
        <v>0.79166666666666674</v>
      </c>
      <c r="P321" s="154">
        <v>0.79166666666666674</v>
      </c>
      <c r="Q321" s="154">
        <v>0.79166666666666674</v>
      </c>
      <c r="R321" s="154">
        <v>0.79166666666666674</v>
      </c>
      <c r="S321" s="154">
        <v>0.79166666666666674</v>
      </c>
      <c r="T321" s="154">
        <v>0.79166666666666674</v>
      </c>
      <c r="U321" s="154">
        <v>0.79166666666666674</v>
      </c>
      <c r="V321" s="154">
        <v>0.79166666666666674</v>
      </c>
      <c r="W321" s="154">
        <v>0.79166666666666674</v>
      </c>
      <c r="X321" s="154">
        <v>0.79166666666666674</v>
      </c>
      <c r="Y321" s="154">
        <v>0.79166666666666674</v>
      </c>
      <c r="Z321" s="154">
        <v>0.79166666666666674</v>
      </c>
      <c r="AA321" s="154">
        <v>0.79166666666666674</v>
      </c>
      <c r="AB321" s="154">
        <v>0.79166666666666674</v>
      </c>
      <c r="AC321" s="154">
        <v>0.79166666666666674</v>
      </c>
      <c r="AD321" s="154">
        <v>0.79166666666666674</v>
      </c>
      <c r="AE321" s="154">
        <v>0.79166666666666674</v>
      </c>
      <c r="AF321" s="154">
        <v>0.79166666666666674</v>
      </c>
      <c r="AG321" s="154">
        <v>0.79166666666666674</v>
      </c>
      <c r="AH321" s="154">
        <v>0.83333333333333326</v>
      </c>
      <c r="AI321" s="154">
        <v>0.79166666666666674</v>
      </c>
      <c r="AJ321" s="154">
        <v>0.79166666666666674</v>
      </c>
      <c r="AK321" s="154">
        <v>0.79166666666666674</v>
      </c>
      <c r="AL321" s="154">
        <v>0.79166666666666674</v>
      </c>
      <c r="AM321" cm="1">
        <f t="array" ref="AM321">SUM(_xlfn.LET(_xlpm.r,((IFERROR(H321:AL321-H320:AL320,0))*24)/10,IF(_xlpm.r&gt;1,1,_xlpm.r)))</f>
        <v>31</v>
      </c>
      <c r="AO321" cm="1">
        <f t="array" ref="AO321">SUM(IFERROR(MOD((H321:AL321-H320:AL320)*24,11),""))</f>
        <v>94</v>
      </c>
      <c r="AS321">
        <v>321</v>
      </c>
    </row>
    <row r="322" spans="1:46" hidden="1" x14ac:dyDescent="0.25">
      <c r="A322">
        <v>321</v>
      </c>
      <c r="B322">
        <v>2025</v>
      </c>
      <c r="C322">
        <v>7</v>
      </c>
      <c r="D322" t="s">
        <v>266</v>
      </c>
      <c r="E322">
        <v>31</v>
      </c>
      <c r="F322">
        <v>6</v>
      </c>
      <c r="G322" t="s">
        <v>536</v>
      </c>
      <c r="H322" s="154">
        <v>85044</v>
      </c>
      <c r="I322" s="154">
        <v>85179</v>
      </c>
      <c r="J322" s="154">
        <v>85396</v>
      </c>
      <c r="K322" s="154">
        <v>85564</v>
      </c>
      <c r="L322" s="154">
        <v>85746</v>
      </c>
      <c r="M322" s="154">
        <v>85924</v>
      </c>
      <c r="N322" s="154">
        <v>86089</v>
      </c>
      <c r="O322" s="154">
        <v>86265</v>
      </c>
      <c r="P322" s="154">
        <v>86496</v>
      </c>
      <c r="Q322" s="154">
        <v>86678</v>
      </c>
      <c r="R322" s="154">
        <v>86856</v>
      </c>
      <c r="S322" s="154">
        <v>87029</v>
      </c>
      <c r="T322" s="154">
        <v>87205</v>
      </c>
      <c r="U322" s="154">
        <v>87373</v>
      </c>
      <c r="V322" s="154">
        <v>87556</v>
      </c>
      <c r="W322" s="154">
        <v>87782</v>
      </c>
      <c r="X322" s="154">
        <v>87955</v>
      </c>
      <c r="Y322" s="154">
        <v>88123</v>
      </c>
      <c r="Z322" s="154">
        <v>88298</v>
      </c>
      <c r="AA322" s="154">
        <v>88480</v>
      </c>
      <c r="AB322" s="154">
        <v>88710</v>
      </c>
      <c r="AC322" s="154">
        <v>88882</v>
      </c>
      <c r="AD322" s="154">
        <v>89111</v>
      </c>
      <c r="AE322" s="154">
        <v>89279</v>
      </c>
      <c r="AF322" s="154">
        <v>89443</v>
      </c>
      <c r="AG322" s="154">
        <v>89610</v>
      </c>
      <c r="AH322" s="154">
        <v>89782</v>
      </c>
      <c r="AI322" s="154">
        <v>90035</v>
      </c>
      <c r="AJ322" s="154">
        <v>90203</v>
      </c>
      <c r="AK322" s="154">
        <v>90377</v>
      </c>
      <c r="AL322" s="154">
        <v>90542</v>
      </c>
      <c r="AS322">
        <v>322</v>
      </c>
    </row>
    <row r="323" spans="1:46" hidden="1" x14ac:dyDescent="0.25">
      <c r="A323">
        <v>322</v>
      </c>
      <c r="B323">
        <v>2025</v>
      </c>
      <c r="C323">
        <v>7</v>
      </c>
      <c r="D323" t="s">
        <v>266</v>
      </c>
      <c r="E323">
        <v>31</v>
      </c>
      <c r="F323">
        <v>6</v>
      </c>
      <c r="G323" t="s">
        <v>537</v>
      </c>
      <c r="H323" s="154">
        <v>85223</v>
      </c>
      <c r="I323" s="154">
        <v>85352</v>
      </c>
      <c r="J323" s="154">
        <v>85564</v>
      </c>
      <c r="K323" s="154">
        <v>85746</v>
      </c>
      <c r="L323" s="154">
        <v>85924</v>
      </c>
      <c r="M323" s="154">
        <v>86089</v>
      </c>
      <c r="N323" s="154">
        <v>86265</v>
      </c>
      <c r="O323" s="154">
        <v>86496</v>
      </c>
      <c r="P323" s="154">
        <v>86678</v>
      </c>
      <c r="Q323" s="154">
        <v>86856</v>
      </c>
      <c r="R323" s="154">
        <v>87029</v>
      </c>
      <c r="S323" s="154">
        <v>87205</v>
      </c>
      <c r="T323" s="154">
        <v>87373</v>
      </c>
      <c r="U323" s="154">
        <v>87556</v>
      </c>
      <c r="V323" s="154">
        <v>87782</v>
      </c>
      <c r="W323" s="154">
        <v>87955</v>
      </c>
      <c r="X323" s="154">
        <v>88123</v>
      </c>
      <c r="Y323" s="154">
        <v>88298</v>
      </c>
      <c r="Z323" s="154">
        <v>88480</v>
      </c>
      <c r="AA323" s="154">
        <v>88710</v>
      </c>
      <c r="AB323" s="154">
        <v>88882</v>
      </c>
      <c r="AC323" s="154">
        <v>89111</v>
      </c>
      <c r="AD323" s="154">
        <v>89279</v>
      </c>
      <c r="AE323" s="154">
        <v>89443</v>
      </c>
      <c r="AF323" s="154">
        <v>89610</v>
      </c>
      <c r="AG323" s="154">
        <v>89782</v>
      </c>
      <c r="AH323" s="154">
        <v>90035</v>
      </c>
      <c r="AI323" s="154">
        <v>90203</v>
      </c>
      <c r="AJ323" s="154">
        <v>90377</v>
      </c>
      <c r="AK323" s="154">
        <v>90542</v>
      </c>
      <c r="AL323" s="154">
        <v>90710</v>
      </c>
      <c r="AP323" cm="1">
        <f t="array" ref="AP323">IF(AQ323="","",SUM(IFERROR(H323:AL323-H322:AL322,0))*AQ323/100)-AM321*6</f>
        <v>663.89999999999986</v>
      </c>
      <c r="AQ323">
        <f>_xlfn.XLOOKUP(D323,log_prices!M:M,log_prices!L:L,,0)</f>
        <v>14.999999999999998</v>
      </c>
      <c r="AR323" t="s">
        <v>449</v>
      </c>
      <c r="AS323">
        <v>323</v>
      </c>
      <c r="AT323" cm="1">
        <f t="array" ref="AT323">IF(AQ323="","",SUM(IFERROR(H323:AL323-H322:AL322,0)))</f>
        <v>5666</v>
      </c>
    </row>
    <row r="324" spans="1:46" hidden="1" x14ac:dyDescent="0.25">
      <c r="A324">
        <v>323</v>
      </c>
      <c r="B324">
        <v>2025</v>
      </c>
      <c r="C324">
        <v>7</v>
      </c>
      <c r="D324" t="s">
        <v>254</v>
      </c>
      <c r="E324">
        <v>31</v>
      </c>
      <c r="F324">
        <v>6</v>
      </c>
      <c r="G324" t="s">
        <v>534</v>
      </c>
      <c r="H324" s="154" t="s">
        <v>510</v>
      </c>
      <c r="I324" s="154" t="s">
        <v>510</v>
      </c>
      <c r="J324" s="154" t="s">
        <v>510</v>
      </c>
      <c r="K324" s="154" t="s">
        <v>510</v>
      </c>
      <c r="L324" s="154" t="s">
        <v>510</v>
      </c>
      <c r="M324" s="154" t="s">
        <v>424</v>
      </c>
      <c r="N324" s="154" t="s">
        <v>510</v>
      </c>
      <c r="O324" s="154" t="s">
        <v>511</v>
      </c>
      <c r="P324" s="154" t="s">
        <v>511</v>
      </c>
      <c r="Q324" s="154" t="s">
        <v>511</v>
      </c>
      <c r="R324" s="154" t="s">
        <v>511</v>
      </c>
      <c r="S324" s="154" t="s">
        <v>511</v>
      </c>
      <c r="T324" s="154" t="s">
        <v>511</v>
      </c>
      <c r="U324" s="154" t="s">
        <v>511</v>
      </c>
      <c r="V324" s="154" t="s">
        <v>511</v>
      </c>
      <c r="W324" s="154" t="s">
        <v>511</v>
      </c>
      <c r="X324" s="154" t="s">
        <v>511</v>
      </c>
      <c r="Y324" s="154" t="s">
        <v>511</v>
      </c>
      <c r="Z324" s="154" t="s">
        <v>511</v>
      </c>
      <c r="AA324" s="154" t="s">
        <v>511</v>
      </c>
      <c r="AB324" s="154" t="s">
        <v>511</v>
      </c>
      <c r="AC324" s="154" t="s">
        <v>511</v>
      </c>
      <c r="AD324" s="154" t="s">
        <v>511</v>
      </c>
      <c r="AE324" s="154" t="s">
        <v>511</v>
      </c>
      <c r="AF324" s="154" t="s">
        <v>511</v>
      </c>
      <c r="AG324" s="154" t="s">
        <v>511</v>
      </c>
      <c r="AH324" s="154" t="s">
        <v>511</v>
      </c>
      <c r="AI324" s="154" t="s">
        <v>511</v>
      </c>
      <c r="AJ324" s="154" t="s">
        <v>511</v>
      </c>
      <c r="AK324" s="154" t="s">
        <v>511</v>
      </c>
      <c r="AL324" s="154" t="s">
        <v>511</v>
      </c>
      <c r="AS324">
        <v>324</v>
      </c>
    </row>
    <row r="325" spans="1:46" hidden="1" x14ac:dyDescent="0.25">
      <c r="A325">
        <v>324</v>
      </c>
      <c r="B325">
        <v>2025</v>
      </c>
      <c r="C325">
        <v>7</v>
      </c>
      <c r="D325" t="s">
        <v>254</v>
      </c>
      <c r="E325">
        <v>31</v>
      </c>
      <c r="F325">
        <v>6</v>
      </c>
      <c r="G325" t="s">
        <v>535</v>
      </c>
      <c r="H325" s="154">
        <v>0.91666666666666674</v>
      </c>
      <c r="I325" s="154">
        <v>0.83333333333333326</v>
      </c>
      <c r="J325" s="154">
        <v>0.83333333333333326</v>
      </c>
      <c r="K325" s="154">
        <v>0.83333333333333326</v>
      </c>
      <c r="L325" s="154">
        <v>0.83333333333333326</v>
      </c>
      <c r="M325" s="154" t="s">
        <v>424</v>
      </c>
      <c r="N325" s="154">
        <v>0.83333333333333326</v>
      </c>
      <c r="O325" s="154">
        <v>0.85416666666666663</v>
      </c>
      <c r="P325" s="154">
        <v>0.9375</v>
      </c>
      <c r="Q325" s="154">
        <v>0.85416666666666663</v>
      </c>
      <c r="R325" s="154">
        <v>0.97916666666666652</v>
      </c>
      <c r="S325" s="154">
        <v>0.85416666666666663</v>
      </c>
      <c r="T325" s="154">
        <v>0.85416666666666663</v>
      </c>
      <c r="U325" s="154">
        <v>0.85416666666666663</v>
      </c>
      <c r="V325" s="154">
        <v>0.85416666666666663</v>
      </c>
      <c r="W325" s="154">
        <v>0.85416666666666663</v>
      </c>
      <c r="X325" s="154">
        <v>0.85416666666666663</v>
      </c>
      <c r="Y325" s="154">
        <v>0.85416666666666663</v>
      </c>
      <c r="Z325" s="154">
        <v>0.85416666666666663</v>
      </c>
      <c r="AA325" s="154">
        <v>0.85416666666666663</v>
      </c>
      <c r="AB325" s="154">
        <v>0.85416666666666663</v>
      </c>
      <c r="AC325" s="154">
        <v>0.85416666666666663</v>
      </c>
      <c r="AD325" s="154">
        <v>0.85416666666666663</v>
      </c>
      <c r="AE325" s="154">
        <v>0.85416666666666663</v>
      </c>
      <c r="AF325" s="154">
        <v>0.89583333333333326</v>
      </c>
      <c r="AG325" s="154">
        <v>0.85416666666666663</v>
      </c>
      <c r="AH325" s="154">
        <v>0.85416666666666663</v>
      </c>
      <c r="AI325" s="154">
        <v>0.85416666666666663</v>
      </c>
      <c r="AJ325" s="154">
        <v>0.85416666666666663</v>
      </c>
      <c r="AK325" s="154">
        <v>0.85416666666666663</v>
      </c>
      <c r="AL325" s="154">
        <v>0.85416666666666663</v>
      </c>
      <c r="AM325" cm="1">
        <f t="array" ref="AM325">SUM(_xlfn.LET(_xlpm.r,((IFERROR(H325:AL325-H324:AL324,0))*24)/10,IF(_xlpm.r&gt;1,1,_xlpm.r)))</f>
        <v>30</v>
      </c>
      <c r="AO325" cm="1">
        <f t="array" ref="AO325">SUM(IFERROR(MOD((H325:AL325-H324:AL324)*24,11),""))</f>
        <v>97.999999999999986</v>
      </c>
      <c r="AS325">
        <v>325</v>
      </c>
    </row>
    <row r="326" spans="1:46" hidden="1" x14ac:dyDescent="0.25">
      <c r="A326">
        <v>325</v>
      </c>
      <c r="B326">
        <v>2025</v>
      </c>
      <c r="C326">
        <v>7</v>
      </c>
      <c r="D326" t="s">
        <v>254</v>
      </c>
      <c r="E326">
        <v>31</v>
      </c>
      <c r="F326">
        <v>6</v>
      </c>
      <c r="G326" t="s">
        <v>536</v>
      </c>
      <c r="H326" s="154">
        <v>774895</v>
      </c>
      <c r="I326" s="154">
        <v>775114</v>
      </c>
      <c r="J326" s="154">
        <v>775302</v>
      </c>
      <c r="K326" s="154">
        <v>775465</v>
      </c>
      <c r="L326" s="154">
        <v>775713</v>
      </c>
      <c r="M326" s="154" t="s">
        <v>424</v>
      </c>
      <c r="N326" s="154">
        <v>776043</v>
      </c>
      <c r="O326" s="154">
        <v>776316</v>
      </c>
      <c r="P326" s="154">
        <v>776541</v>
      </c>
      <c r="Q326" s="154">
        <v>776775</v>
      </c>
      <c r="R326" s="154">
        <v>776994</v>
      </c>
      <c r="S326" s="154">
        <v>777155</v>
      </c>
      <c r="T326" s="154">
        <v>777460</v>
      </c>
      <c r="U326" s="154">
        <v>777622</v>
      </c>
      <c r="V326" s="154">
        <v>777827</v>
      </c>
      <c r="W326" s="154">
        <v>778087</v>
      </c>
      <c r="X326" s="154">
        <v>778347</v>
      </c>
      <c r="Y326" s="154">
        <v>778533</v>
      </c>
      <c r="Z326" s="154">
        <v>778778</v>
      </c>
      <c r="AA326" s="154">
        <v>778989</v>
      </c>
      <c r="AB326" s="154">
        <v>779267</v>
      </c>
      <c r="AC326" s="154">
        <v>779471</v>
      </c>
      <c r="AD326" s="154">
        <v>779762</v>
      </c>
      <c r="AE326" s="154">
        <v>779979</v>
      </c>
      <c r="AF326" s="154">
        <v>780115</v>
      </c>
      <c r="AG326" s="154">
        <v>780286</v>
      </c>
      <c r="AH326" s="154">
        <v>780556</v>
      </c>
      <c r="AI326" s="154">
        <v>780776</v>
      </c>
      <c r="AJ326" s="154">
        <v>781119</v>
      </c>
      <c r="AK326" s="154">
        <v>781389</v>
      </c>
      <c r="AL326" s="154">
        <v>781611</v>
      </c>
      <c r="AS326">
        <v>326</v>
      </c>
    </row>
    <row r="327" spans="1:46" hidden="1" x14ac:dyDescent="0.25">
      <c r="A327">
        <v>326</v>
      </c>
      <c r="B327">
        <v>2025</v>
      </c>
      <c r="C327">
        <v>7</v>
      </c>
      <c r="D327" t="s">
        <v>254</v>
      </c>
      <c r="E327">
        <v>31</v>
      </c>
      <c r="F327">
        <v>6</v>
      </c>
      <c r="G327" t="s">
        <v>537</v>
      </c>
      <c r="H327" s="154">
        <v>775112</v>
      </c>
      <c r="I327" s="154">
        <v>775302</v>
      </c>
      <c r="J327" s="154">
        <v>775465</v>
      </c>
      <c r="K327" s="154">
        <v>775713</v>
      </c>
      <c r="L327" s="154">
        <v>775969</v>
      </c>
      <c r="M327" s="154" t="s">
        <v>424</v>
      </c>
      <c r="N327" s="154">
        <v>776316</v>
      </c>
      <c r="O327" s="154">
        <v>776541</v>
      </c>
      <c r="P327" s="154">
        <v>776775</v>
      </c>
      <c r="Q327" s="154">
        <v>776984</v>
      </c>
      <c r="R327" s="154">
        <v>777155</v>
      </c>
      <c r="S327" s="154">
        <v>777358</v>
      </c>
      <c r="T327" s="154">
        <v>777622</v>
      </c>
      <c r="U327" s="154">
        <v>777827</v>
      </c>
      <c r="V327" s="154">
        <v>778087</v>
      </c>
      <c r="W327" s="154">
        <v>778347</v>
      </c>
      <c r="X327" s="154">
        <v>778533</v>
      </c>
      <c r="Y327" s="154">
        <v>778778</v>
      </c>
      <c r="Z327" s="154">
        <v>778989</v>
      </c>
      <c r="AA327" s="154">
        <v>779258</v>
      </c>
      <c r="AB327" s="154">
        <v>779471</v>
      </c>
      <c r="AC327" s="154">
        <v>779743</v>
      </c>
      <c r="AD327" s="154">
        <v>779979</v>
      </c>
      <c r="AE327" s="154">
        <v>780115</v>
      </c>
      <c r="AF327" s="154">
        <v>780286</v>
      </c>
      <c r="AG327" s="154">
        <v>780556</v>
      </c>
      <c r="AH327" s="154">
        <v>780776</v>
      </c>
      <c r="AI327" s="154">
        <v>781030</v>
      </c>
      <c r="AJ327" s="154">
        <v>781389</v>
      </c>
      <c r="AK327" s="154">
        <v>781611</v>
      </c>
      <c r="AL327" s="154">
        <v>781847</v>
      </c>
      <c r="AP327" cm="1">
        <f t="array" ref="AP327">IF(AQ327="","",SUM(IFERROR(H327:AL327-H326:AL326,0))*AQ327/100)-AM325*9</f>
        <v>727.05</v>
      </c>
      <c r="AQ327">
        <f>_xlfn.XLOOKUP(D327,log_prices!M:M,log_prices!L:L,,0)</f>
        <v>15</v>
      </c>
      <c r="AS327">
        <v>327</v>
      </c>
      <c r="AT327" cm="1">
        <f t="array" ref="AT327">IF(AQ327="","",SUM(IFERROR(H327:AL327-H326:AL326,0)))</f>
        <v>6647</v>
      </c>
    </row>
    <row r="328" spans="1:46" hidden="1" x14ac:dyDescent="0.25">
      <c r="A328">
        <v>327</v>
      </c>
      <c r="B328">
        <v>2025</v>
      </c>
      <c r="C328">
        <v>7</v>
      </c>
      <c r="D328" t="s">
        <v>265</v>
      </c>
      <c r="E328">
        <v>31</v>
      </c>
      <c r="F328">
        <v>6</v>
      </c>
      <c r="G328" t="s">
        <v>534</v>
      </c>
      <c r="H328" s="154" t="s">
        <v>479</v>
      </c>
      <c r="I328" s="154" t="s">
        <v>479</v>
      </c>
      <c r="J328" s="154" t="s">
        <v>479</v>
      </c>
      <c r="K328" s="154" t="s">
        <v>479</v>
      </c>
      <c r="L328" s="154" t="s">
        <v>479</v>
      </c>
      <c r="M328" s="154" t="s">
        <v>424</v>
      </c>
      <c r="N328" s="154" t="s">
        <v>479</v>
      </c>
      <c r="O328" s="154" t="s">
        <v>479</v>
      </c>
      <c r="P328" s="154" t="s">
        <v>479</v>
      </c>
      <c r="Q328" s="154" t="s">
        <v>479</v>
      </c>
      <c r="R328" s="154" t="s">
        <v>479</v>
      </c>
      <c r="S328" s="154" t="s">
        <v>479</v>
      </c>
      <c r="T328" s="154" t="s">
        <v>479</v>
      </c>
      <c r="U328" s="154" t="s">
        <v>479</v>
      </c>
      <c r="V328" s="154" t="s">
        <v>479</v>
      </c>
      <c r="W328" s="154" t="s">
        <v>479</v>
      </c>
      <c r="X328" s="154" t="s">
        <v>479</v>
      </c>
      <c r="Y328" s="154" t="s">
        <v>479</v>
      </c>
      <c r="Z328" s="154" t="s">
        <v>479</v>
      </c>
      <c r="AA328" s="154" t="s">
        <v>479</v>
      </c>
      <c r="AB328" s="154" t="s">
        <v>479</v>
      </c>
      <c r="AC328" s="154" t="s">
        <v>479</v>
      </c>
      <c r="AD328" s="154" t="s">
        <v>479</v>
      </c>
      <c r="AE328" s="154" t="s">
        <v>479</v>
      </c>
      <c r="AF328" s="154" t="s">
        <v>479</v>
      </c>
      <c r="AG328" s="154" t="s">
        <v>479</v>
      </c>
      <c r="AH328" s="154" t="s">
        <v>479</v>
      </c>
      <c r="AI328" s="154" t="s">
        <v>479</v>
      </c>
      <c r="AJ328" s="154">
        <v>0.29166666666666669</v>
      </c>
      <c r="AK328" s="154">
        <v>0.29166666666666669</v>
      </c>
      <c r="AL328" s="154">
        <v>0.29166666666666669</v>
      </c>
      <c r="AS328">
        <v>328</v>
      </c>
    </row>
    <row r="329" spans="1:46" hidden="1" x14ac:dyDescent="0.25">
      <c r="A329">
        <v>328</v>
      </c>
      <c r="B329">
        <v>2025</v>
      </c>
      <c r="C329">
        <v>7</v>
      </c>
      <c r="D329" t="s">
        <v>265</v>
      </c>
      <c r="E329">
        <v>31</v>
      </c>
      <c r="F329">
        <v>6</v>
      </c>
      <c r="G329" t="s">
        <v>535</v>
      </c>
      <c r="H329" s="154">
        <v>0.75</v>
      </c>
      <c r="I329" s="154">
        <v>1.0833333333333333</v>
      </c>
      <c r="J329" s="154">
        <v>0.79166666666666674</v>
      </c>
      <c r="K329" s="154">
        <v>0.75</v>
      </c>
      <c r="L329" s="154">
        <v>0.75</v>
      </c>
      <c r="M329" s="154" t="s">
        <v>424</v>
      </c>
      <c r="N329" s="154">
        <v>0.79166666666666674</v>
      </c>
      <c r="O329" s="154">
        <v>0.79166666666666674</v>
      </c>
      <c r="P329" s="154">
        <v>0.79166666666666674</v>
      </c>
      <c r="Q329" s="154">
        <v>0.79166666666666674</v>
      </c>
      <c r="R329" s="154">
        <v>0.79166666666666674</v>
      </c>
      <c r="S329" s="154">
        <v>1</v>
      </c>
      <c r="T329" s="154">
        <v>0.75</v>
      </c>
      <c r="U329" s="154">
        <v>1</v>
      </c>
      <c r="V329" s="154">
        <v>1.1666666666666667</v>
      </c>
      <c r="W329" s="154">
        <v>1.0833333333333333</v>
      </c>
      <c r="X329" s="154">
        <v>1.0416666666666667</v>
      </c>
      <c r="Y329" s="154">
        <v>1</v>
      </c>
      <c r="Z329" s="154">
        <v>1.0416666666666667</v>
      </c>
      <c r="AA329" s="154">
        <v>1</v>
      </c>
      <c r="AB329" s="154">
        <v>1</v>
      </c>
      <c r="AC329" s="154">
        <v>0.79166666666666674</v>
      </c>
      <c r="AD329" s="154">
        <v>0.75</v>
      </c>
      <c r="AE329" s="154">
        <v>1</v>
      </c>
      <c r="AF329" s="154">
        <v>1</v>
      </c>
      <c r="AG329" s="154">
        <v>0.75</v>
      </c>
      <c r="AH329" s="154">
        <v>0.95833333333333326</v>
      </c>
      <c r="AI329" s="154">
        <v>0.75</v>
      </c>
      <c r="AJ329" s="154">
        <v>1</v>
      </c>
      <c r="AK329" s="154">
        <v>0.75</v>
      </c>
      <c r="AL329" s="154">
        <v>1.0416666666666667</v>
      </c>
      <c r="AM329" cm="1">
        <f t="array" ref="AM329">SUM(_xlfn.LET(_xlpm.r,((IFERROR(H329:AL329-H328:AL328,0))*24)/10,IF(_xlpm.r&gt;1,1,_xlpm.r)))</f>
        <v>30</v>
      </c>
      <c r="AO329" cm="1">
        <f t="array" ref="AO329">SUM(IFERROR(MOD((H329:AL329-H328:AL328)*24,11),""))</f>
        <v>107</v>
      </c>
      <c r="AS329">
        <v>329</v>
      </c>
    </row>
    <row r="330" spans="1:46" hidden="1" x14ac:dyDescent="0.25">
      <c r="A330">
        <v>329</v>
      </c>
      <c r="B330">
        <v>2025</v>
      </c>
      <c r="C330">
        <v>7</v>
      </c>
      <c r="D330" t="s">
        <v>265</v>
      </c>
      <c r="E330">
        <v>31</v>
      </c>
      <c r="F330">
        <v>6</v>
      </c>
      <c r="G330" t="s">
        <v>536</v>
      </c>
      <c r="H330" s="154">
        <v>813922</v>
      </c>
      <c r="I330" s="154">
        <v>813993</v>
      </c>
      <c r="J330" s="154">
        <v>814044</v>
      </c>
      <c r="K330" s="154">
        <v>814086</v>
      </c>
      <c r="L330" s="154">
        <v>814162</v>
      </c>
      <c r="M330" s="154" t="s">
        <v>424</v>
      </c>
      <c r="N330" s="154">
        <v>814258</v>
      </c>
      <c r="O330" s="154">
        <v>814309</v>
      </c>
      <c r="P330" s="154">
        <v>814391</v>
      </c>
      <c r="Q330" s="154">
        <v>814462</v>
      </c>
      <c r="R330" s="154">
        <v>814545</v>
      </c>
      <c r="S330" s="154">
        <v>814627</v>
      </c>
      <c r="T330" s="154">
        <v>814719</v>
      </c>
      <c r="U330" s="154">
        <v>814769</v>
      </c>
      <c r="V330" s="154">
        <v>814849</v>
      </c>
      <c r="W330" s="154">
        <v>814939</v>
      </c>
      <c r="X330" s="154">
        <v>814992</v>
      </c>
      <c r="Y330" s="154">
        <v>815076</v>
      </c>
      <c r="Z330" s="154">
        <v>815167</v>
      </c>
      <c r="AA330" s="154">
        <v>815211</v>
      </c>
      <c r="AB330" s="154">
        <v>815273</v>
      </c>
      <c r="AC330" s="154">
        <v>815336</v>
      </c>
      <c r="AD330" s="154">
        <v>815401</v>
      </c>
      <c r="AE330" s="154">
        <v>815466</v>
      </c>
      <c r="AF330" s="154">
        <v>815519</v>
      </c>
      <c r="AG330" s="154">
        <v>815593</v>
      </c>
      <c r="AH330" s="154">
        <v>815665</v>
      </c>
      <c r="AI330" s="154">
        <v>815747</v>
      </c>
      <c r="AJ330" s="154">
        <v>815808</v>
      </c>
      <c r="AK330" s="154">
        <v>815891</v>
      </c>
      <c r="AL330" s="154">
        <v>815964</v>
      </c>
      <c r="AS330">
        <v>330</v>
      </c>
    </row>
    <row r="331" spans="1:46" hidden="1" x14ac:dyDescent="0.25">
      <c r="A331">
        <v>330</v>
      </c>
      <c r="B331">
        <v>2025</v>
      </c>
      <c r="C331">
        <v>7</v>
      </c>
      <c r="D331" t="s">
        <v>265</v>
      </c>
      <c r="E331">
        <v>31</v>
      </c>
      <c r="F331">
        <v>6</v>
      </c>
      <c r="G331" t="s">
        <v>537</v>
      </c>
      <c r="H331" s="154">
        <v>813993</v>
      </c>
      <c r="I331" s="154">
        <v>814044</v>
      </c>
      <c r="J331" s="154">
        <v>814086</v>
      </c>
      <c r="K331" s="154">
        <v>814162</v>
      </c>
      <c r="L331" s="154">
        <v>814258</v>
      </c>
      <c r="M331" s="154" t="s">
        <v>424</v>
      </c>
      <c r="N331" s="154">
        <v>814309</v>
      </c>
      <c r="O331" s="154">
        <v>814391</v>
      </c>
      <c r="P331" s="154">
        <v>814462</v>
      </c>
      <c r="Q331" s="154">
        <v>814545</v>
      </c>
      <c r="R331" s="154">
        <v>814627</v>
      </c>
      <c r="S331" s="154">
        <v>814719</v>
      </c>
      <c r="T331" s="154">
        <v>814769</v>
      </c>
      <c r="U331" s="154">
        <v>814849</v>
      </c>
      <c r="V331" s="154">
        <v>814939</v>
      </c>
      <c r="W331" s="154">
        <v>814992</v>
      </c>
      <c r="X331" s="154">
        <v>815076</v>
      </c>
      <c r="Y331" s="154">
        <v>815167</v>
      </c>
      <c r="Z331" s="154">
        <v>815211</v>
      </c>
      <c r="AA331" s="154">
        <v>815273</v>
      </c>
      <c r="AB331" s="154">
        <v>815336</v>
      </c>
      <c r="AC331" s="154">
        <v>815401</v>
      </c>
      <c r="AD331" s="154">
        <v>815466</v>
      </c>
      <c r="AE331" s="154">
        <v>815519</v>
      </c>
      <c r="AF331" s="154">
        <v>815593</v>
      </c>
      <c r="AG331" s="154">
        <v>815665</v>
      </c>
      <c r="AH331" s="154">
        <v>815747</v>
      </c>
      <c r="AI331" s="154">
        <v>815808</v>
      </c>
      <c r="AJ331" s="154">
        <v>815891</v>
      </c>
      <c r="AK331" s="154">
        <v>815964</v>
      </c>
      <c r="AL331" s="154">
        <v>816037</v>
      </c>
      <c r="AP331" cm="1">
        <f t="array" ref="AP331">IF(AQ331="","",SUM(IFERROR(H331:AL331-H330:AL330,0))*AQ331/100)</f>
        <v>317.25</v>
      </c>
      <c r="AQ331">
        <v>15</v>
      </c>
      <c r="AS331">
        <v>331</v>
      </c>
      <c r="AT331" cm="1">
        <f t="array" ref="AT331">IF(AQ331="","",SUM(IFERROR(H331:AL331-H330:AL330,0)))</f>
        <v>2115</v>
      </c>
    </row>
    <row r="332" spans="1:46" hidden="1" x14ac:dyDescent="0.25">
      <c r="A332">
        <v>331</v>
      </c>
      <c r="B332">
        <v>2025</v>
      </c>
      <c r="C332">
        <v>7</v>
      </c>
      <c r="D332" t="s">
        <v>261</v>
      </c>
      <c r="E332">
        <v>31</v>
      </c>
      <c r="F332">
        <v>6</v>
      </c>
      <c r="G332" t="s">
        <v>534</v>
      </c>
      <c r="H332" s="154">
        <v>0.29166666666666669</v>
      </c>
      <c r="I332" s="154">
        <v>0.29166666666666669</v>
      </c>
      <c r="J332" s="154">
        <v>0.29166666666666669</v>
      </c>
      <c r="K332" s="154">
        <v>0.29166666666666669</v>
      </c>
      <c r="L332" s="154">
        <v>0.29166666666666669</v>
      </c>
      <c r="M332" s="154">
        <v>0.29166666666666669</v>
      </c>
      <c r="N332" s="154">
        <v>0.29166666666666669</v>
      </c>
      <c r="O332" s="154">
        <v>0.29166666666666669</v>
      </c>
      <c r="P332" s="154">
        <v>0.29166666666666669</v>
      </c>
      <c r="Q332" s="154">
        <v>0.29166666666666669</v>
      </c>
      <c r="R332" s="154">
        <v>0.29166666666666669</v>
      </c>
      <c r="S332" s="154">
        <v>0.29166666666666669</v>
      </c>
      <c r="T332" s="154">
        <v>0.29166666666666669</v>
      </c>
      <c r="U332" s="154">
        <v>0.29166666666666669</v>
      </c>
      <c r="V332" s="154">
        <v>0.29166666666666669</v>
      </c>
      <c r="W332" s="154">
        <v>0.29166666666666669</v>
      </c>
      <c r="X332" s="154">
        <v>0.29166666666666669</v>
      </c>
      <c r="Y332" s="154">
        <v>0.29166666666666669</v>
      </c>
      <c r="Z332" s="154">
        <v>0.29166666666666669</v>
      </c>
      <c r="AA332" s="154">
        <v>0.29166666666666669</v>
      </c>
      <c r="AB332" s="154">
        <v>0.29166666666666669</v>
      </c>
      <c r="AC332" s="154">
        <v>0.29166666666666669</v>
      </c>
      <c r="AD332" s="154">
        <v>0.29166666666666669</v>
      </c>
      <c r="AE332" s="154">
        <v>0.29166666666666669</v>
      </c>
      <c r="AF332" s="154">
        <v>0.29166666666666669</v>
      </c>
      <c r="AG332" s="154">
        <v>0.29166666666666669</v>
      </c>
      <c r="AH332" s="154">
        <v>0.29166666666666669</v>
      </c>
      <c r="AI332" s="154">
        <v>0.29166666666666669</v>
      </c>
      <c r="AJ332" s="154">
        <v>0.29166666666666669</v>
      </c>
      <c r="AK332" s="154">
        <v>0.29166666666666669</v>
      </c>
      <c r="AL332" s="154" t="s">
        <v>424</v>
      </c>
      <c r="AS332">
        <v>332</v>
      </c>
    </row>
    <row r="333" spans="1:46" hidden="1" x14ac:dyDescent="0.25">
      <c r="A333">
        <v>332</v>
      </c>
      <c r="B333">
        <v>2025</v>
      </c>
      <c r="C333">
        <v>7</v>
      </c>
      <c r="D333" t="s">
        <v>261</v>
      </c>
      <c r="E333">
        <v>31</v>
      </c>
      <c r="F333">
        <v>6</v>
      </c>
      <c r="G333" t="s">
        <v>535</v>
      </c>
      <c r="H333" s="154">
        <v>0.75</v>
      </c>
      <c r="I333" s="154">
        <v>0.75</v>
      </c>
      <c r="J333" s="154">
        <v>0.75</v>
      </c>
      <c r="K333" s="154">
        <v>0.75</v>
      </c>
      <c r="L333" s="154">
        <v>0.75</v>
      </c>
      <c r="M333" s="154">
        <v>0.75</v>
      </c>
      <c r="N333" s="154">
        <v>0.75</v>
      </c>
      <c r="O333" s="154">
        <v>0.75</v>
      </c>
      <c r="P333" s="154">
        <v>0.75</v>
      </c>
      <c r="Q333" s="154">
        <v>0.75</v>
      </c>
      <c r="R333" s="154">
        <v>0.75</v>
      </c>
      <c r="S333" s="154">
        <v>0.75</v>
      </c>
      <c r="T333" s="154">
        <v>0.75</v>
      </c>
      <c r="U333" s="154">
        <v>0.75</v>
      </c>
      <c r="V333" s="154">
        <v>0.75</v>
      </c>
      <c r="W333" s="154">
        <v>0.75</v>
      </c>
      <c r="X333" s="154">
        <v>0.75</v>
      </c>
      <c r="Y333" s="154">
        <v>0.75</v>
      </c>
      <c r="Z333" s="154">
        <v>0.75</v>
      </c>
      <c r="AA333" s="154">
        <v>0.75</v>
      </c>
      <c r="AB333" s="154">
        <v>0.75</v>
      </c>
      <c r="AC333" s="154">
        <v>0.75</v>
      </c>
      <c r="AD333" s="154">
        <v>0.75</v>
      </c>
      <c r="AE333" s="154">
        <v>0.75</v>
      </c>
      <c r="AF333" s="154">
        <v>0.75</v>
      </c>
      <c r="AG333" s="154">
        <v>0.75</v>
      </c>
      <c r="AH333" s="154">
        <v>0.75</v>
      </c>
      <c r="AI333" s="154">
        <v>0.75</v>
      </c>
      <c r="AJ333" s="154">
        <v>0.75</v>
      </c>
      <c r="AK333" s="154">
        <v>0.75</v>
      </c>
      <c r="AL333" s="154" t="s">
        <v>424</v>
      </c>
      <c r="AM333" cm="1">
        <f t="array" ref="AM333">SUM(_xlfn.LET(_xlpm.r,((IFERROR(H333:AL333-H332:AL332,0))*24)/10,IF(_xlpm.r&gt;1,1,_xlpm.r)))</f>
        <v>30</v>
      </c>
      <c r="AO333" cm="1">
        <f t="array" ref="AO333">SUM(IFERROR(MOD((H333:AL333-H332:AL332)*24,11),""))</f>
        <v>0</v>
      </c>
      <c r="AS333">
        <v>333</v>
      </c>
    </row>
    <row r="334" spans="1:46" hidden="1" x14ac:dyDescent="0.25">
      <c r="A334">
        <v>333</v>
      </c>
      <c r="B334">
        <v>2025</v>
      </c>
      <c r="C334">
        <v>7</v>
      </c>
      <c r="D334" t="s">
        <v>253</v>
      </c>
      <c r="E334">
        <v>31</v>
      </c>
      <c r="F334">
        <v>6</v>
      </c>
      <c r="G334" t="s">
        <v>534</v>
      </c>
      <c r="H334" s="154" t="s">
        <v>479</v>
      </c>
      <c r="I334" s="154" t="s">
        <v>479</v>
      </c>
      <c r="J334" s="154" t="s">
        <v>479</v>
      </c>
      <c r="K334" s="154" t="s">
        <v>479</v>
      </c>
      <c r="L334" s="154" t="s">
        <v>479</v>
      </c>
      <c r="M334" s="154" t="s">
        <v>479</v>
      </c>
      <c r="N334" s="154" t="s">
        <v>479</v>
      </c>
      <c r="O334" s="154" t="s">
        <v>479</v>
      </c>
      <c r="P334" s="154" t="s">
        <v>479</v>
      </c>
      <c r="Q334" s="154" t="s">
        <v>479</v>
      </c>
      <c r="R334" s="154" t="s">
        <v>479</v>
      </c>
      <c r="S334" s="154" t="s">
        <v>479</v>
      </c>
      <c r="T334" s="154" t="s">
        <v>479</v>
      </c>
      <c r="U334" s="154" t="s">
        <v>479</v>
      </c>
      <c r="V334" s="154" t="s">
        <v>479</v>
      </c>
      <c r="W334" s="154" t="s">
        <v>479</v>
      </c>
      <c r="X334" s="154" t="s">
        <v>479</v>
      </c>
      <c r="Y334" s="154" t="s">
        <v>479</v>
      </c>
      <c r="Z334" s="154" t="s">
        <v>479</v>
      </c>
      <c r="AA334" s="154" t="s">
        <v>479</v>
      </c>
      <c r="AB334" s="154" t="s">
        <v>479</v>
      </c>
      <c r="AC334" s="154" t="s">
        <v>479</v>
      </c>
      <c r="AD334" s="154" t="s">
        <v>479</v>
      </c>
      <c r="AE334" s="154" t="s">
        <v>479</v>
      </c>
      <c r="AF334" s="154" t="s">
        <v>479</v>
      </c>
      <c r="AG334" s="154" t="s">
        <v>479</v>
      </c>
      <c r="AH334" s="154" t="s">
        <v>424</v>
      </c>
      <c r="AI334" s="154" t="s">
        <v>479</v>
      </c>
      <c r="AJ334" s="154" t="s">
        <v>479</v>
      </c>
      <c r="AK334" s="154" t="s">
        <v>479</v>
      </c>
      <c r="AL334" s="154" t="s">
        <v>479</v>
      </c>
      <c r="AS334">
        <v>334</v>
      </c>
    </row>
    <row r="335" spans="1:46" hidden="1" x14ac:dyDescent="0.25">
      <c r="A335">
        <v>334</v>
      </c>
      <c r="B335">
        <v>2025</v>
      </c>
      <c r="C335">
        <v>7</v>
      </c>
      <c r="D335" t="s">
        <v>253</v>
      </c>
      <c r="E335">
        <v>31</v>
      </c>
      <c r="F335">
        <v>6</v>
      </c>
      <c r="G335" t="s">
        <v>535</v>
      </c>
      <c r="H335" s="154">
        <v>0.75</v>
      </c>
      <c r="I335" s="154">
        <v>0.75</v>
      </c>
      <c r="J335" s="154">
        <v>0.75</v>
      </c>
      <c r="K335" s="154">
        <v>0.75</v>
      </c>
      <c r="L335" s="154">
        <v>0.75</v>
      </c>
      <c r="M335" s="154">
        <v>0.75</v>
      </c>
      <c r="N335" s="154">
        <v>0.75</v>
      </c>
      <c r="O335" s="154">
        <v>0.75</v>
      </c>
      <c r="P335" s="154">
        <v>0.75</v>
      </c>
      <c r="Q335" s="154">
        <v>0.75</v>
      </c>
      <c r="R335" s="154">
        <v>0.75</v>
      </c>
      <c r="S335" s="154">
        <v>0.75</v>
      </c>
      <c r="T335" s="154">
        <v>0.75</v>
      </c>
      <c r="U335" s="154">
        <v>0.75</v>
      </c>
      <c r="V335" s="154">
        <v>0.75</v>
      </c>
      <c r="W335" s="154">
        <v>0.75</v>
      </c>
      <c r="X335" s="154">
        <v>0.75</v>
      </c>
      <c r="Y335" s="154">
        <v>0.75</v>
      </c>
      <c r="Z335" s="154">
        <v>0.75</v>
      </c>
      <c r="AA335" s="154">
        <v>0.75</v>
      </c>
      <c r="AB335" s="154">
        <v>0.75</v>
      </c>
      <c r="AC335" s="154">
        <v>0.75</v>
      </c>
      <c r="AD335" s="154">
        <v>0.75</v>
      </c>
      <c r="AE335" s="154">
        <v>0.75</v>
      </c>
      <c r="AF335" s="154">
        <v>0.75</v>
      </c>
      <c r="AG335" s="154">
        <v>0.75</v>
      </c>
      <c r="AH335" s="154" t="s">
        <v>424</v>
      </c>
      <c r="AI335" s="154">
        <v>1.1666666666666667</v>
      </c>
      <c r="AJ335" s="154">
        <v>1.1666666666666667</v>
      </c>
      <c r="AK335" s="154">
        <v>1.1666666666666667</v>
      </c>
      <c r="AL335" s="154">
        <v>1.1666666666666667</v>
      </c>
      <c r="AM335" cm="1">
        <f t="array" ref="AM335">SUM(_xlfn.LET(_xlpm.r,((IFERROR(H335:AL335-H334:AL334,0))*24)/10,IF(_xlpm.r&gt;1,1,_xlpm.r)))</f>
        <v>30</v>
      </c>
      <c r="AO335" cm="1">
        <f t="array" ref="AO335">SUM(IFERROR(MOD((H335:AL335-H334:AL334)*24,11),""))</f>
        <v>40</v>
      </c>
      <c r="AR335" t="s">
        <v>446</v>
      </c>
      <c r="AS335">
        <v>335</v>
      </c>
    </row>
    <row r="336" spans="1:46" hidden="1" x14ac:dyDescent="0.25">
      <c r="A336">
        <v>335</v>
      </c>
      <c r="B336">
        <v>2025</v>
      </c>
      <c r="C336">
        <v>7</v>
      </c>
      <c r="D336" t="s">
        <v>253</v>
      </c>
      <c r="E336">
        <v>31</v>
      </c>
      <c r="F336">
        <v>6</v>
      </c>
      <c r="G336" t="s">
        <v>536</v>
      </c>
      <c r="H336" s="154">
        <v>839336</v>
      </c>
      <c r="I336" s="154">
        <v>839545</v>
      </c>
      <c r="J336" s="154">
        <v>839758</v>
      </c>
      <c r="K336" s="154">
        <v>839972</v>
      </c>
      <c r="L336" s="154">
        <v>840191</v>
      </c>
      <c r="M336" s="154" t="s">
        <v>424</v>
      </c>
      <c r="N336" s="154">
        <v>840386</v>
      </c>
      <c r="O336" s="154">
        <v>840608</v>
      </c>
      <c r="P336" s="154">
        <v>840815</v>
      </c>
      <c r="Q336" s="154">
        <v>841027</v>
      </c>
      <c r="R336" s="154">
        <v>841237</v>
      </c>
      <c r="S336" s="154">
        <v>841446</v>
      </c>
      <c r="T336" s="154" t="s">
        <v>424</v>
      </c>
      <c r="U336" s="154">
        <v>841731</v>
      </c>
      <c r="V336" s="154">
        <v>841940</v>
      </c>
      <c r="W336" s="154">
        <v>842149</v>
      </c>
      <c r="X336" s="154">
        <v>842363</v>
      </c>
      <c r="Y336" s="154">
        <v>842577</v>
      </c>
      <c r="Z336" s="154">
        <v>842801</v>
      </c>
      <c r="AA336" s="154">
        <v>843044</v>
      </c>
      <c r="AB336" s="154">
        <v>843188</v>
      </c>
      <c r="AC336" s="154">
        <v>843397</v>
      </c>
      <c r="AD336" s="154">
        <v>843610</v>
      </c>
      <c r="AE336" s="154">
        <v>843822</v>
      </c>
      <c r="AF336" s="154">
        <v>844043</v>
      </c>
      <c r="AG336" s="154">
        <v>844270</v>
      </c>
      <c r="AH336" s="154" t="s">
        <v>424</v>
      </c>
      <c r="AI336" s="154">
        <v>844684</v>
      </c>
      <c r="AJ336" s="154">
        <v>844896</v>
      </c>
      <c r="AK336" s="154">
        <v>845107</v>
      </c>
      <c r="AL336" s="154">
        <v>845315</v>
      </c>
      <c r="AS336">
        <v>336</v>
      </c>
    </row>
    <row r="337" spans="1:46" hidden="1" x14ac:dyDescent="0.25">
      <c r="A337">
        <v>336</v>
      </c>
      <c r="B337">
        <v>2025</v>
      </c>
      <c r="C337">
        <v>7</v>
      </c>
      <c r="D337" t="s">
        <v>253</v>
      </c>
      <c r="E337">
        <v>31</v>
      </c>
      <c r="F337">
        <v>6</v>
      </c>
      <c r="G337" t="s">
        <v>537</v>
      </c>
      <c r="H337" s="154">
        <v>839545</v>
      </c>
      <c r="I337" s="154">
        <v>839758</v>
      </c>
      <c r="J337" s="154">
        <v>839972</v>
      </c>
      <c r="K337" s="154">
        <v>840191</v>
      </c>
      <c r="L337" s="154">
        <v>840386</v>
      </c>
      <c r="M337" s="154" t="s">
        <v>424</v>
      </c>
      <c r="N337" s="154">
        <v>840608</v>
      </c>
      <c r="O337" s="154">
        <v>840815</v>
      </c>
      <c r="P337" s="154">
        <v>841027</v>
      </c>
      <c r="Q337" s="154">
        <v>841237</v>
      </c>
      <c r="R337" s="154">
        <v>841446</v>
      </c>
      <c r="S337" s="154">
        <v>841731</v>
      </c>
      <c r="T337" s="154" t="s">
        <v>424</v>
      </c>
      <c r="U337" s="154">
        <v>841940</v>
      </c>
      <c r="V337" s="154">
        <v>842149</v>
      </c>
      <c r="W337" s="154">
        <v>842363</v>
      </c>
      <c r="X337" s="154">
        <v>842577</v>
      </c>
      <c r="Y337" s="154">
        <v>842801</v>
      </c>
      <c r="Z337" s="154">
        <v>843044</v>
      </c>
      <c r="AA337" s="154">
        <v>843188</v>
      </c>
      <c r="AB337" s="154">
        <v>843397</v>
      </c>
      <c r="AC337" s="154">
        <v>843610</v>
      </c>
      <c r="AD337" s="154">
        <v>843822</v>
      </c>
      <c r="AE337" s="154">
        <v>844043</v>
      </c>
      <c r="AF337" s="154">
        <v>844270</v>
      </c>
      <c r="AG337" s="154">
        <v>844475</v>
      </c>
      <c r="AH337" s="154" t="s">
        <v>424</v>
      </c>
      <c r="AI337" s="154">
        <v>844896</v>
      </c>
      <c r="AJ337" s="154">
        <v>845107</v>
      </c>
      <c r="AK337" s="154">
        <v>845315</v>
      </c>
      <c r="AL337" s="154">
        <v>845528</v>
      </c>
      <c r="AP337" cm="1">
        <f t="array" ref="AP337">IF(AQ337="","",SUM(IFERROR(H337:AL337-H336:AL336,0))*AQ337/100)</f>
        <v>1076.94</v>
      </c>
      <c r="AQ337">
        <f>_xlfn.XLOOKUP(D337,log_prices!M:M,log_prices!L:L,,0)</f>
        <v>18</v>
      </c>
      <c r="AS337">
        <v>337</v>
      </c>
      <c r="AT337" cm="1">
        <f t="array" ref="AT337">IF(AQ337="","",SUM(IFERROR(H337:AL337-H336:AL336,0)))</f>
        <v>5983</v>
      </c>
    </row>
    <row r="338" spans="1:46" hidden="1" x14ac:dyDescent="0.25">
      <c r="A338">
        <v>337</v>
      </c>
      <c r="B338">
        <v>2025</v>
      </c>
      <c r="C338">
        <v>7</v>
      </c>
      <c r="D338" t="s">
        <v>243</v>
      </c>
      <c r="E338">
        <v>31</v>
      </c>
      <c r="F338">
        <v>6</v>
      </c>
      <c r="G338" t="s">
        <v>534</v>
      </c>
      <c r="H338" s="154" t="s">
        <v>479</v>
      </c>
      <c r="I338" s="154" t="s">
        <v>479</v>
      </c>
      <c r="J338" s="154" t="s">
        <v>479</v>
      </c>
      <c r="K338" s="154" t="s">
        <v>479</v>
      </c>
      <c r="L338" s="154" t="s">
        <v>479</v>
      </c>
      <c r="M338" s="154" t="s">
        <v>479</v>
      </c>
      <c r="N338" s="154" t="s">
        <v>479</v>
      </c>
      <c r="O338" s="154" t="s">
        <v>479</v>
      </c>
      <c r="P338" s="154" t="s">
        <v>479</v>
      </c>
      <c r="Q338" s="154" t="s">
        <v>479</v>
      </c>
      <c r="R338" s="154" t="s">
        <v>479</v>
      </c>
      <c r="S338" s="154" t="s">
        <v>479</v>
      </c>
      <c r="T338" s="154" t="s">
        <v>479</v>
      </c>
      <c r="U338" s="154" t="s">
        <v>479</v>
      </c>
      <c r="V338" s="154" t="s">
        <v>479</v>
      </c>
      <c r="W338" s="154" t="s">
        <v>424</v>
      </c>
      <c r="X338" s="154" t="s">
        <v>424</v>
      </c>
      <c r="Y338" s="154" t="s">
        <v>424</v>
      </c>
      <c r="Z338" s="154" t="s">
        <v>424</v>
      </c>
      <c r="AA338" s="154" t="s">
        <v>424</v>
      </c>
      <c r="AB338" s="154" t="s">
        <v>424</v>
      </c>
      <c r="AC338" s="154" t="s">
        <v>424</v>
      </c>
      <c r="AD338" s="154" t="s">
        <v>424</v>
      </c>
      <c r="AE338" s="154" t="s">
        <v>424</v>
      </c>
      <c r="AF338" s="154" t="s">
        <v>424</v>
      </c>
      <c r="AG338" s="154" t="s">
        <v>424</v>
      </c>
      <c r="AH338" s="154" t="s">
        <v>424</v>
      </c>
      <c r="AI338" s="154" t="s">
        <v>424</v>
      </c>
      <c r="AJ338" s="154" t="s">
        <v>424</v>
      </c>
      <c r="AK338" s="154" t="s">
        <v>424</v>
      </c>
      <c r="AL338" s="154" t="s">
        <v>424</v>
      </c>
      <c r="AS338">
        <v>338</v>
      </c>
    </row>
    <row r="339" spans="1:46" hidden="1" x14ac:dyDescent="0.25">
      <c r="A339">
        <v>338</v>
      </c>
      <c r="B339">
        <v>2025</v>
      </c>
      <c r="C339">
        <v>7</v>
      </c>
      <c r="D339" t="s">
        <v>243</v>
      </c>
      <c r="E339">
        <v>31</v>
      </c>
      <c r="F339">
        <v>6</v>
      </c>
      <c r="G339" t="s">
        <v>535</v>
      </c>
      <c r="H339" s="154" t="s">
        <v>480</v>
      </c>
      <c r="I339" s="154" t="s">
        <v>480</v>
      </c>
      <c r="J339" s="154" t="s">
        <v>480</v>
      </c>
      <c r="K339" s="154" t="s">
        <v>480</v>
      </c>
      <c r="L339" s="154" t="s">
        <v>480</v>
      </c>
      <c r="M339" s="154" t="s">
        <v>480</v>
      </c>
      <c r="N339" s="154" t="s">
        <v>480</v>
      </c>
      <c r="O339" s="154" t="s">
        <v>480</v>
      </c>
      <c r="P339" s="154" t="s">
        <v>480</v>
      </c>
      <c r="Q339" s="154" t="s">
        <v>480</v>
      </c>
      <c r="R339" s="154" t="s">
        <v>480</v>
      </c>
      <c r="S339" s="154" t="s">
        <v>480</v>
      </c>
      <c r="T339" s="154" t="s">
        <v>480</v>
      </c>
      <c r="U339" s="154" t="s">
        <v>480</v>
      </c>
      <c r="V339" s="154" t="s">
        <v>480</v>
      </c>
      <c r="W339" s="154" t="s">
        <v>424</v>
      </c>
      <c r="X339" s="154" t="s">
        <v>424</v>
      </c>
      <c r="Y339" s="154" t="s">
        <v>424</v>
      </c>
      <c r="Z339" s="154" t="s">
        <v>424</v>
      </c>
      <c r="AA339" s="154" t="s">
        <v>424</v>
      </c>
      <c r="AB339" s="154" t="s">
        <v>424</v>
      </c>
      <c r="AC339" s="154" t="s">
        <v>424</v>
      </c>
      <c r="AD339" s="154" t="s">
        <v>424</v>
      </c>
      <c r="AE339" s="154" t="s">
        <v>424</v>
      </c>
      <c r="AF339" s="154" t="s">
        <v>424</v>
      </c>
      <c r="AG339" s="154" t="s">
        <v>424</v>
      </c>
      <c r="AH339" s="154" t="s">
        <v>424</v>
      </c>
      <c r="AI339" s="154" t="s">
        <v>424</v>
      </c>
      <c r="AJ339" s="154" t="s">
        <v>424</v>
      </c>
      <c r="AK339" s="154" t="s">
        <v>424</v>
      </c>
      <c r="AL339" s="154" t="s">
        <v>424</v>
      </c>
      <c r="AM339" cm="1">
        <f t="array" ref="AM339">SUM(_xlfn.LET(_xlpm.r,((IFERROR(H339:AL339-H338:AL338,0))*24)/10,IF(_xlpm.r&gt;1,1,_xlpm.r)))</f>
        <v>15</v>
      </c>
      <c r="AO339" cm="1">
        <f t="array" ref="AO339">SUM(IFERROR(MOD((H339:AL339-H338:AL338)*24,11),""))</f>
        <v>0</v>
      </c>
      <c r="AS339">
        <v>339</v>
      </c>
    </row>
    <row r="340" spans="1:46" hidden="1" x14ac:dyDescent="0.25">
      <c r="A340">
        <v>339</v>
      </c>
      <c r="B340">
        <v>2025</v>
      </c>
      <c r="C340">
        <v>7</v>
      </c>
      <c r="D340" t="s">
        <v>243</v>
      </c>
      <c r="E340">
        <v>31</v>
      </c>
      <c r="F340">
        <v>6</v>
      </c>
      <c r="G340" t="s">
        <v>536</v>
      </c>
      <c r="H340" s="154">
        <v>353198</v>
      </c>
      <c r="I340" s="154">
        <v>353224</v>
      </c>
      <c r="J340" s="154">
        <v>353267</v>
      </c>
      <c r="K340" s="154">
        <v>353307</v>
      </c>
      <c r="L340" s="154">
        <v>353363</v>
      </c>
      <c r="M340" s="154">
        <v>353412</v>
      </c>
      <c r="N340" s="154">
        <v>353441</v>
      </c>
      <c r="O340" s="154">
        <v>353482</v>
      </c>
      <c r="P340" s="154">
        <v>353507</v>
      </c>
      <c r="Q340" s="154">
        <v>353545</v>
      </c>
      <c r="R340" s="154">
        <v>353608</v>
      </c>
      <c r="S340" s="154">
        <v>353644</v>
      </c>
      <c r="T340" s="154">
        <v>353690</v>
      </c>
      <c r="U340" s="154">
        <v>353746</v>
      </c>
      <c r="V340" s="154">
        <v>353793</v>
      </c>
      <c r="W340" s="154" t="s">
        <v>424</v>
      </c>
      <c r="X340" s="154" t="s">
        <v>424</v>
      </c>
      <c r="Y340" s="154" t="s">
        <v>424</v>
      </c>
      <c r="Z340" s="154" t="s">
        <v>424</v>
      </c>
      <c r="AA340" s="154" t="s">
        <v>424</v>
      </c>
      <c r="AB340" s="154" t="s">
        <v>424</v>
      </c>
      <c r="AC340" s="154" t="s">
        <v>424</v>
      </c>
      <c r="AD340" s="154" t="s">
        <v>424</v>
      </c>
      <c r="AE340" s="154" t="s">
        <v>424</v>
      </c>
      <c r="AF340" s="154" t="s">
        <v>424</v>
      </c>
      <c r="AG340" s="154" t="s">
        <v>424</v>
      </c>
      <c r="AH340" s="154" t="s">
        <v>424</v>
      </c>
      <c r="AI340" s="154" t="s">
        <v>424</v>
      </c>
      <c r="AJ340" s="154" t="s">
        <v>424</v>
      </c>
      <c r="AK340" s="154" t="s">
        <v>424</v>
      </c>
      <c r="AL340" s="154" t="s">
        <v>424</v>
      </c>
      <c r="AS340">
        <v>340</v>
      </c>
    </row>
    <row r="341" spans="1:46" hidden="1" x14ac:dyDescent="0.25">
      <c r="A341">
        <v>340</v>
      </c>
      <c r="B341">
        <v>2025</v>
      </c>
      <c r="C341">
        <v>7</v>
      </c>
      <c r="D341" t="s">
        <v>243</v>
      </c>
      <c r="E341">
        <v>31</v>
      </c>
      <c r="F341">
        <v>6</v>
      </c>
      <c r="G341" t="s">
        <v>537</v>
      </c>
      <c r="H341" s="154">
        <v>353224</v>
      </c>
      <c r="I341" s="154">
        <v>353267</v>
      </c>
      <c r="J341" s="154">
        <v>353307</v>
      </c>
      <c r="K341" s="154">
        <v>353363</v>
      </c>
      <c r="L341" s="154">
        <v>353412</v>
      </c>
      <c r="M341" s="154">
        <v>353441</v>
      </c>
      <c r="N341" s="154">
        <v>353482</v>
      </c>
      <c r="O341" s="154">
        <v>353507</v>
      </c>
      <c r="P341" s="154">
        <v>353545</v>
      </c>
      <c r="Q341" s="154">
        <v>353608</v>
      </c>
      <c r="R341" s="154">
        <v>353644</v>
      </c>
      <c r="S341" s="154">
        <v>353690</v>
      </c>
      <c r="T341" s="154">
        <v>353746</v>
      </c>
      <c r="U341" s="154">
        <v>353793</v>
      </c>
      <c r="V341" s="154">
        <v>353843</v>
      </c>
      <c r="W341" s="154" t="s">
        <v>424</v>
      </c>
      <c r="X341" s="154" t="s">
        <v>424</v>
      </c>
      <c r="Y341" s="154" t="s">
        <v>424</v>
      </c>
      <c r="Z341" s="154" t="s">
        <v>424</v>
      </c>
      <c r="AA341" s="154" t="s">
        <v>424</v>
      </c>
      <c r="AB341" s="154" t="s">
        <v>424</v>
      </c>
      <c r="AC341" s="154" t="s">
        <v>424</v>
      </c>
      <c r="AD341" s="154" t="s">
        <v>424</v>
      </c>
      <c r="AE341" s="154" t="s">
        <v>424</v>
      </c>
      <c r="AF341" s="154" t="s">
        <v>424</v>
      </c>
      <c r="AG341" s="154" t="s">
        <v>424</v>
      </c>
      <c r="AH341" s="154" t="s">
        <v>424</v>
      </c>
      <c r="AI341" s="154" t="s">
        <v>424</v>
      </c>
      <c r="AJ341" s="154" t="s">
        <v>424</v>
      </c>
      <c r="AK341" s="154" t="s">
        <v>424</v>
      </c>
      <c r="AL341" s="154" t="s">
        <v>424</v>
      </c>
      <c r="AP341" t="str" cm="1">
        <f t="array" ref="AP341">IF(AQ341="","",SUM(IFERROR(H341:AL341-H340:AL340,0))*AQ341/100)</f>
        <v/>
      </c>
      <c r="AQ341" t="str">
        <f>_xlfn.XLOOKUP(D341,log_prices!M:M,log_prices!L:L,,0)</f>
        <v/>
      </c>
      <c r="AS341">
        <v>341</v>
      </c>
    </row>
    <row r="342" spans="1:46" hidden="1" x14ac:dyDescent="0.25">
      <c r="A342">
        <v>341</v>
      </c>
      <c r="B342">
        <v>2025</v>
      </c>
      <c r="C342">
        <v>7</v>
      </c>
      <c r="D342" t="s">
        <v>271</v>
      </c>
      <c r="E342">
        <v>31</v>
      </c>
      <c r="F342">
        <v>6</v>
      </c>
      <c r="G342" t="s">
        <v>534</v>
      </c>
      <c r="H342" s="154" t="s">
        <v>479</v>
      </c>
      <c r="I342" s="154" t="s">
        <v>479</v>
      </c>
      <c r="J342" s="154" t="s">
        <v>479</v>
      </c>
      <c r="K342" s="154" t="s">
        <v>479</v>
      </c>
      <c r="L342" s="154" t="s">
        <v>479</v>
      </c>
      <c r="M342" s="154" t="s">
        <v>424</v>
      </c>
      <c r="N342" s="154" t="s">
        <v>479</v>
      </c>
      <c r="O342" s="154" t="s">
        <v>479</v>
      </c>
      <c r="P342" s="154" t="s">
        <v>479</v>
      </c>
      <c r="Q342" s="154" t="s">
        <v>479</v>
      </c>
      <c r="R342" s="154" t="s">
        <v>479</v>
      </c>
      <c r="S342" s="154" t="s">
        <v>479</v>
      </c>
      <c r="T342" s="154" t="s">
        <v>479</v>
      </c>
      <c r="U342" s="154" t="s">
        <v>479</v>
      </c>
      <c r="V342" s="154" t="s">
        <v>479</v>
      </c>
      <c r="W342" s="154" t="s">
        <v>479</v>
      </c>
      <c r="X342" s="154" t="s">
        <v>479</v>
      </c>
      <c r="Y342" s="154" t="s">
        <v>479</v>
      </c>
      <c r="Z342" s="154" t="s">
        <v>479</v>
      </c>
      <c r="AA342" s="154" t="s">
        <v>479</v>
      </c>
      <c r="AB342" s="154" t="s">
        <v>479</v>
      </c>
      <c r="AC342" s="154" t="s">
        <v>479</v>
      </c>
      <c r="AD342" s="154" t="s">
        <v>479</v>
      </c>
      <c r="AE342" s="154" t="s">
        <v>479</v>
      </c>
      <c r="AF342" s="154" t="s">
        <v>479</v>
      </c>
      <c r="AG342" s="154" t="s">
        <v>479</v>
      </c>
      <c r="AH342" s="154" t="s">
        <v>424</v>
      </c>
      <c r="AI342" s="154" t="s">
        <v>479</v>
      </c>
      <c r="AJ342" s="154" t="s">
        <v>479</v>
      </c>
      <c r="AK342" s="154" t="s">
        <v>479</v>
      </c>
      <c r="AL342" s="154" t="s">
        <v>479</v>
      </c>
      <c r="AS342">
        <v>342</v>
      </c>
    </row>
    <row r="343" spans="1:46" hidden="1" x14ac:dyDescent="0.25">
      <c r="A343">
        <v>342</v>
      </c>
      <c r="B343">
        <v>2025</v>
      </c>
      <c r="C343">
        <v>7</v>
      </c>
      <c r="D343" t="s">
        <v>271</v>
      </c>
      <c r="E343">
        <v>31</v>
      </c>
      <c r="F343">
        <v>6</v>
      </c>
      <c r="G343" t="s">
        <v>535</v>
      </c>
      <c r="H343" s="154">
        <v>0.75</v>
      </c>
      <c r="I343" s="154">
        <v>0.83333333333333326</v>
      </c>
      <c r="J343" s="154">
        <v>0.75</v>
      </c>
      <c r="K343" s="154">
        <v>0.75</v>
      </c>
      <c r="L343" s="154">
        <v>0.75</v>
      </c>
      <c r="M343" s="154" t="s">
        <v>424</v>
      </c>
      <c r="N343" s="154">
        <v>0.75</v>
      </c>
      <c r="O343" s="154">
        <v>0.83333333333333326</v>
      </c>
      <c r="P343" s="154">
        <v>0.75</v>
      </c>
      <c r="Q343" s="154">
        <v>0.75</v>
      </c>
      <c r="R343" s="154">
        <v>0.75</v>
      </c>
      <c r="S343" s="154">
        <v>0.75</v>
      </c>
      <c r="T343" s="154">
        <v>0.83333333333333326</v>
      </c>
      <c r="U343" s="154">
        <v>0.75</v>
      </c>
      <c r="V343" s="154">
        <v>0.75</v>
      </c>
      <c r="W343" s="154">
        <v>0.75</v>
      </c>
      <c r="X343" s="154">
        <v>0.75</v>
      </c>
      <c r="Y343" s="154">
        <v>0.75</v>
      </c>
      <c r="Z343" s="154">
        <v>0.83333333333333326</v>
      </c>
      <c r="AA343" s="154">
        <v>0.75</v>
      </c>
      <c r="AB343" s="154">
        <v>0.75</v>
      </c>
      <c r="AC343" s="154">
        <v>0.75</v>
      </c>
      <c r="AD343" s="154">
        <v>0.75</v>
      </c>
      <c r="AE343" s="154">
        <v>0.75</v>
      </c>
      <c r="AF343" s="154">
        <v>0.83333333333333326</v>
      </c>
      <c r="AG343" s="154">
        <v>0.75</v>
      </c>
      <c r="AH343" s="154" t="s">
        <v>424</v>
      </c>
      <c r="AI343" s="154">
        <v>0.75</v>
      </c>
      <c r="AJ343" s="154">
        <v>0.75</v>
      </c>
      <c r="AK343" s="154">
        <v>0.75</v>
      </c>
      <c r="AL343" s="154">
        <v>0.75</v>
      </c>
      <c r="AM343" cm="1">
        <f t="array" ref="AM343">SUM(_xlfn.LET(_xlpm.r,((IFERROR(H343:AL343-H342:AL342,0))*24)/10,IF(_xlpm.r&gt;1,1,_xlpm.r)))</f>
        <v>29</v>
      </c>
      <c r="AO343" cm="1">
        <f t="array" ref="AO343">SUM(IFERROR(MOD((H343:AL343-H342:AL342)*24,11),""))</f>
        <v>9.9999999999999822</v>
      </c>
      <c r="AS343">
        <v>343</v>
      </c>
    </row>
    <row r="344" spans="1:46" hidden="1" x14ac:dyDescent="0.25">
      <c r="A344">
        <v>343</v>
      </c>
      <c r="B344">
        <v>2025</v>
      </c>
      <c r="C344">
        <v>7</v>
      </c>
      <c r="D344" t="s">
        <v>271</v>
      </c>
      <c r="E344">
        <v>31</v>
      </c>
      <c r="F344">
        <v>6</v>
      </c>
      <c r="G344" t="s">
        <v>536</v>
      </c>
      <c r="H344" s="154">
        <v>201579</v>
      </c>
      <c r="I344" s="154">
        <v>201661</v>
      </c>
      <c r="J344" s="154">
        <v>201715</v>
      </c>
      <c r="K344" s="154">
        <v>201782</v>
      </c>
      <c r="L344" s="154">
        <v>201860</v>
      </c>
      <c r="M344" s="154" t="s">
        <v>424</v>
      </c>
      <c r="N344" s="154">
        <v>202024</v>
      </c>
      <c r="O344" s="154">
        <v>202125</v>
      </c>
      <c r="P344" s="154">
        <v>202339</v>
      </c>
      <c r="Q344" s="154">
        <v>202425</v>
      </c>
      <c r="R344" s="154">
        <v>202567</v>
      </c>
      <c r="S344" s="154">
        <v>202713</v>
      </c>
      <c r="T344" s="154">
        <v>202781</v>
      </c>
      <c r="U344" s="154">
        <v>202840</v>
      </c>
      <c r="V344" s="154">
        <v>202935</v>
      </c>
      <c r="W344" s="154">
        <v>203055</v>
      </c>
      <c r="X344" s="154">
        <v>203122</v>
      </c>
      <c r="Y344" s="154">
        <v>203181</v>
      </c>
      <c r="Z344" s="154">
        <v>203303</v>
      </c>
      <c r="AA344" s="154">
        <v>203426</v>
      </c>
      <c r="AB344" s="154">
        <v>203491</v>
      </c>
      <c r="AC344" s="154">
        <v>203554</v>
      </c>
      <c r="AD344" s="154">
        <v>203656</v>
      </c>
      <c r="AE344" s="154">
        <v>203763</v>
      </c>
      <c r="AF344" s="154">
        <v>203900</v>
      </c>
      <c r="AG344" s="154">
        <v>204064</v>
      </c>
      <c r="AH344" s="154" t="s">
        <v>424</v>
      </c>
      <c r="AI344" s="154">
        <v>204259</v>
      </c>
      <c r="AJ344" s="154">
        <v>204387</v>
      </c>
      <c r="AK344" s="154">
        <v>204470</v>
      </c>
      <c r="AL344" s="154">
        <v>204564</v>
      </c>
      <c r="AS344">
        <v>344</v>
      </c>
    </row>
    <row r="345" spans="1:46" hidden="1" x14ac:dyDescent="0.25">
      <c r="A345">
        <v>344</v>
      </c>
      <c r="B345">
        <v>2025</v>
      </c>
      <c r="C345">
        <v>7</v>
      </c>
      <c r="D345" t="s">
        <v>271</v>
      </c>
      <c r="E345">
        <v>31</v>
      </c>
      <c r="F345">
        <v>6</v>
      </c>
      <c r="G345" t="s">
        <v>537</v>
      </c>
      <c r="H345" s="154">
        <v>201661</v>
      </c>
      <c r="I345" s="154">
        <v>201715</v>
      </c>
      <c r="J345" s="154">
        <v>201782</v>
      </c>
      <c r="K345" s="154">
        <v>201860</v>
      </c>
      <c r="L345" s="154">
        <v>201970</v>
      </c>
      <c r="M345" s="154" t="s">
        <v>424</v>
      </c>
      <c r="N345" s="154">
        <v>202125</v>
      </c>
      <c r="O345" s="154">
        <v>202217</v>
      </c>
      <c r="P345" s="154">
        <v>202425</v>
      </c>
      <c r="Q345" s="154">
        <v>202567</v>
      </c>
      <c r="R345" s="154">
        <v>202713</v>
      </c>
      <c r="S345" s="154">
        <v>202781</v>
      </c>
      <c r="T345" s="154">
        <v>202840</v>
      </c>
      <c r="U345" s="154">
        <v>202935</v>
      </c>
      <c r="V345" s="154">
        <v>203055</v>
      </c>
      <c r="W345" s="154">
        <v>203122</v>
      </c>
      <c r="X345" s="154">
        <v>203181</v>
      </c>
      <c r="Y345" s="154">
        <v>203303</v>
      </c>
      <c r="Z345" s="154">
        <v>203386</v>
      </c>
      <c r="AA345" s="154">
        <v>203491</v>
      </c>
      <c r="AB345" s="154">
        <v>203554</v>
      </c>
      <c r="AC345" s="154">
        <v>203656</v>
      </c>
      <c r="AD345" s="154">
        <v>203763</v>
      </c>
      <c r="AE345" s="154">
        <v>203900</v>
      </c>
      <c r="AF345" s="154">
        <v>204064</v>
      </c>
      <c r="AG345" s="154">
        <v>204203</v>
      </c>
      <c r="AH345" s="154" t="s">
        <v>424</v>
      </c>
      <c r="AI345" s="154">
        <v>204387</v>
      </c>
      <c r="AJ345" s="154">
        <v>204470</v>
      </c>
      <c r="AK345" s="154">
        <v>204564</v>
      </c>
      <c r="AL345" s="154">
        <v>204660</v>
      </c>
      <c r="AP345" cm="1">
        <f t="array" ref="AP345">IF(AQ345="","",SUM(IFERROR(H345:AL345-H344:AL344,0))*AQ345/100)</f>
        <v>421.35</v>
      </c>
      <c r="AQ345">
        <f>_xlfn.XLOOKUP(D345,log_prices!M:M,log_prices!L:L,,0)</f>
        <v>15</v>
      </c>
      <c r="AS345">
        <v>345</v>
      </c>
      <c r="AT345" cm="1">
        <f t="array" ref="AT345">IF(AQ345="","",SUM(IFERROR(H345:AL345-H344:AL344,0)))</f>
        <v>2809</v>
      </c>
    </row>
    <row r="346" spans="1:46" hidden="1" x14ac:dyDescent="0.25">
      <c r="A346">
        <v>345</v>
      </c>
      <c r="B346">
        <v>2025</v>
      </c>
      <c r="C346">
        <v>7</v>
      </c>
      <c r="D346" t="s">
        <v>273</v>
      </c>
      <c r="E346">
        <v>31</v>
      </c>
      <c r="F346">
        <v>6</v>
      </c>
      <c r="G346" t="s">
        <v>534</v>
      </c>
      <c r="H346" s="154" t="s">
        <v>424</v>
      </c>
      <c r="I346" s="154" t="s">
        <v>424</v>
      </c>
      <c r="J346" s="154" t="s">
        <v>424</v>
      </c>
      <c r="K346" s="154" t="s">
        <v>424</v>
      </c>
      <c r="L346" s="154" t="s">
        <v>424</v>
      </c>
      <c r="M346" s="154" t="s">
        <v>424</v>
      </c>
      <c r="N346" s="154" t="s">
        <v>424</v>
      </c>
      <c r="O346" s="154" t="s">
        <v>424</v>
      </c>
      <c r="P346" s="154" t="s">
        <v>424</v>
      </c>
      <c r="Q346" s="154" t="s">
        <v>424</v>
      </c>
      <c r="R346" s="154" t="s">
        <v>424</v>
      </c>
      <c r="S346" s="154" t="s">
        <v>479</v>
      </c>
      <c r="T346" s="154" t="s">
        <v>479</v>
      </c>
      <c r="U346" s="154" t="s">
        <v>479</v>
      </c>
      <c r="V346" s="154" t="s">
        <v>479</v>
      </c>
      <c r="W346" s="154" t="s">
        <v>479</v>
      </c>
      <c r="X346" s="154" t="s">
        <v>479</v>
      </c>
      <c r="Y346" s="154" t="s">
        <v>479</v>
      </c>
      <c r="Z346" s="154" t="s">
        <v>479</v>
      </c>
      <c r="AA346" s="154" t="s">
        <v>479</v>
      </c>
      <c r="AB346" s="154" t="s">
        <v>479</v>
      </c>
      <c r="AC346" s="154" t="s">
        <v>479</v>
      </c>
      <c r="AD346" s="154" t="s">
        <v>479</v>
      </c>
      <c r="AE346" s="154" t="s">
        <v>479</v>
      </c>
      <c r="AF346" s="154" t="s">
        <v>479</v>
      </c>
      <c r="AG346" s="154" t="s">
        <v>479</v>
      </c>
      <c r="AH346" s="154" t="s">
        <v>479</v>
      </c>
      <c r="AI346" s="154" t="s">
        <v>479</v>
      </c>
      <c r="AJ346" s="154" t="s">
        <v>479</v>
      </c>
      <c r="AK346" s="154" t="s">
        <v>479</v>
      </c>
      <c r="AL346" s="154" t="s">
        <v>479</v>
      </c>
      <c r="AS346">
        <v>346</v>
      </c>
    </row>
    <row r="347" spans="1:46" hidden="1" x14ac:dyDescent="0.25">
      <c r="A347">
        <v>346</v>
      </c>
      <c r="B347">
        <v>2025</v>
      </c>
      <c r="C347">
        <v>7</v>
      </c>
      <c r="D347" t="s">
        <v>273</v>
      </c>
      <c r="E347">
        <v>31</v>
      </c>
      <c r="F347">
        <v>6</v>
      </c>
      <c r="G347" t="s">
        <v>535</v>
      </c>
      <c r="H347" s="154" t="s">
        <v>424</v>
      </c>
      <c r="I347" s="154" t="s">
        <v>424</v>
      </c>
      <c r="J347" s="154" t="s">
        <v>424</v>
      </c>
      <c r="K347" s="154" t="s">
        <v>424</v>
      </c>
      <c r="L347" s="154" t="s">
        <v>424</v>
      </c>
      <c r="M347" s="154" t="s">
        <v>424</v>
      </c>
      <c r="N347" s="154" t="s">
        <v>424</v>
      </c>
      <c r="O347" s="154" t="s">
        <v>424</v>
      </c>
      <c r="P347" s="154" t="s">
        <v>424</v>
      </c>
      <c r="Q347" s="154" t="s">
        <v>424</v>
      </c>
      <c r="R347" s="154" t="s">
        <v>424</v>
      </c>
      <c r="S347" s="154" t="s">
        <v>480</v>
      </c>
      <c r="T347" s="154" t="s">
        <v>480</v>
      </c>
      <c r="U347" s="154" t="s">
        <v>480</v>
      </c>
      <c r="V347" s="154" t="s">
        <v>480</v>
      </c>
      <c r="W347" s="154" t="s">
        <v>480</v>
      </c>
      <c r="X347" s="154" t="s">
        <v>492</v>
      </c>
      <c r="Y347" s="154" t="s">
        <v>494</v>
      </c>
      <c r="Z347" s="154" t="s">
        <v>480</v>
      </c>
      <c r="AA347" s="154" t="s">
        <v>480</v>
      </c>
      <c r="AB347" s="154" t="s">
        <v>480</v>
      </c>
      <c r="AC347" s="154" t="s">
        <v>492</v>
      </c>
      <c r="AD347" s="154" t="s">
        <v>480</v>
      </c>
      <c r="AE347" s="154" t="s">
        <v>480</v>
      </c>
      <c r="AF347" s="154" t="s">
        <v>480</v>
      </c>
      <c r="AG347" s="154" t="s">
        <v>480</v>
      </c>
      <c r="AH347" s="154" t="s">
        <v>480</v>
      </c>
      <c r="AI347" s="154" t="s">
        <v>492</v>
      </c>
      <c r="AJ347" s="154" t="s">
        <v>480</v>
      </c>
      <c r="AK347" s="154" t="s">
        <v>480</v>
      </c>
      <c r="AL347" s="154" t="s">
        <v>480</v>
      </c>
      <c r="AM347" cm="1">
        <f t="array" ref="AM347">SUM(_xlfn.LET(_xlpm.r,((IFERROR(H347:AL347-H346:AL346,0))*24)/10,IF(_xlpm.r&gt;1,1,_xlpm.r)))</f>
        <v>20</v>
      </c>
      <c r="AO347" cm="1">
        <f t="array" ref="AO347">SUM(IFERROR(MOD((H347:AL347-H346:AL346)*24,11),""))</f>
        <v>5.9999999999999929</v>
      </c>
      <c r="AS347">
        <v>347</v>
      </c>
    </row>
    <row r="348" spans="1:46" hidden="1" x14ac:dyDescent="0.25">
      <c r="A348">
        <v>347</v>
      </c>
      <c r="B348">
        <v>2025</v>
      </c>
      <c r="C348">
        <v>7</v>
      </c>
      <c r="D348" t="s">
        <v>273</v>
      </c>
      <c r="E348">
        <v>31</v>
      </c>
      <c r="F348">
        <v>6</v>
      </c>
      <c r="G348" t="s">
        <v>536</v>
      </c>
      <c r="H348" s="154" t="s">
        <v>424</v>
      </c>
      <c r="I348" s="154" t="s">
        <v>424</v>
      </c>
      <c r="J348" s="154" t="s">
        <v>424</v>
      </c>
      <c r="K348" s="154" t="s">
        <v>424</v>
      </c>
      <c r="L348" s="154" t="s">
        <v>424</v>
      </c>
      <c r="M348" s="154" t="s">
        <v>424</v>
      </c>
      <c r="N348" s="154" t="s">
        <v>424</v>
      </c>
      <c r="O348" s="154" t="s">
        <v>424</v>
      </c>
      <c r="P348" s="154" t="s">
        <v>424</v>
      </c>
      <c r="Q348" s="154" t="s">
        <v>424</v>
      </c>
      <c r="R348" s="154" t="s">
        <v>424</v>
      </c>
      <c r="S348" s="154">
        <v>236391</v>
      </c>
      <c r="T348" s="154">
        <v>236391</v>
      </c>
      <c r="U348" s="154">
        <v>236391</v>
      </c>
      <c r="V348" s="154">
        <v>236391</v>
      </c>
      <c r="W348" s="154">
        <v>236391</v>
      </c>
      <c r="X348" s="154">
        <v>236391</v>
      </c>
      <c r="Y348" s="154">
        <v>236587</v>
      </c>
      <c r="Z348" s="154">
        <v>236677</v>
      </c>
      <c r="AA348" s="154">
        <v>236801</v>
      </c>
      <c r="AB348" s="154">
        <v>236916</v>
      </c>
      <c r="AC348" s="154">
        <v>236935</v>
      </c>
      <c r="AD348" s="154">
        <v>236965</v>
      </c>
      <c r="AE348" s="154">
        <v>237072</v>
      </c>
      <c r="AF348" s="154">
        <v>237222</v>
      </c>
      <c r="AG348" s="154">
        <v>237246</v>
      </c>
      <c r="AH348" s="154">
        <v>237253</v>
      </c>
      <c r="AI348" s="154">
        <v>237368</v>
      </c>
      <c r="AJ348" s="154">
        <v>237486</v>
      </c>
      <c r="AK348" s="154">
        <v>237508</v>
      </c>
      <c r="AL348" s="154">
        <v>237529</v>
      </c>
      <c r="AS348">
        <v>348</v>
      </c>
    </row>
    <row r="349" spans="1:46" hidden="1" x14ac:dyDescent="0.25">
      <c r="A349">
        <v>348</v>
      </c>
      <c r="B349">
        <v>2025</v>
      </c>
      <c r="C349">
        <v>7</v>
      </c>
      <c r="D349" t="s">
        <v>273</v>
      </c>
      <c r="E349">
        <v>31</v>
      </c>
      <c r="F349">
        <v>6</v>
      </c>
      <c r="G349" t="s">
        <v>537</v>
      </c>
      <c r="H349" s="154" t="s">
        <v>424</v>
      </c>
      <c r="I349" s="154" t="s">
        <v>424</v>
      </c>
      <c r="J349" s="154" t="s">
        <v>424</v>
      </c>
      <c r="K349" s="154" t="s">
        <v>424</v>
      </c>
      <c r="L349" s="154" t="s">
        <v>424</v>
      </c>
      <c r="M349" s="154" t="s">
        <v>424</v>
      </c>
      <c r="N349" s="154" t="s">
        <v>424</v>
      </c>
      <c r="O349" s="154" t="s">
        <v>424</v>
      </c>
      <c r="P349" s="154" t="s">
        <v>424</v>
      </c>
      <c r="Q349" s="154" t="s">
        <v>424</v>
      </c>
      <c r="R349" s="154" t="s">
        <v>424</v>
      </c>
      <c r="S349" s="154">
        <v>236433</v>
      </c>
      <c r="T349" s="154">
        <v>236433</v>
      </c>
      <c r="U349" s="154">
        <v>236433</v>
      </c>
      <c r="V349" s="154">
        <v>236433</v>
      </c>
      <c r="W349" s="154">
        <v>236433</v>
      </c>
      <c r="X349" s="154">
        <v>236433</v>
      </c>
      <c r="Y349" s="154">
        <v>236677</v>
      </c>
      <c r="Z349" s="154">
        <v>236695</v>
      </c>
      <c r="AA349" s="154">
        <v>236916</v>
      </c>
      <c r="AB349" s="154">
        <v>236935</v>
      </c>
      <c r="AC349" s="154">
        <v>236958</v>
      </c>
      <c r="AD349" s="154">
        <v>237072</v>
      </c>
      <c r="AE349" s="154">
        <v>237222</v>
      </c>
      <c r="AF349" s="154">
        <v>237245</v>
      </c>
      <c r="AG349" s="154">
        <v>237253</v>
      </c>
      <c r="AH349" s="154">
        <v>237368</v>
      </c>
      <c r="AI349" s="154">
        <v>237486</v>
      </c>
      <c r="AJ349" s="154">
        <v>237508</v>
      </c>
      <c r="AK349" s="154">
        <v>237527</v>
      </c>
      <c r="AL349" s="154">
        <v>237630</v>
      </c>
      <c r="AP349" cm="1">
        <f t="array" ref="AP349">IF(AQ349="","",SUM(IFERROR(H349:AL349-H348:AL348,0))*AQ349/100)</f>
        <v>176.84999999999997</v>
      </c>
      <c r="AQ349">
        <f>_xlfn.XLOOKUP(D349,log_prices!M:M,log_prices!L:L,,0)</f>
        <v>14.999999999999998</v>
      </c>
      <c r="AS349">
        <v>349</v>
      </c>
      <c r="AT349" cm="1">
        <f t="array" ref="AT349">IF(AQ349="","",SUM(IFERROR(H349:AL349-H348:AL348,0)))</f>
        <v>1179</v>
      </c>
    </row>
    <row r="350" spans="1:46" hidden="1" x14ac:dyDescent="0.25">
      <c r="A350">
        <v>349</v>
      </c>
      <c r="B350">
        <v>2025</v>
      </c>
      <c r="C350">
        <v>7</v>
      </c>
      <c r="D350" t="s">
        <v>262</v>
      </c>
      <c r="E350">
        <v>31</v>
      </c>
      <c r="F350">
        <v>6</v>
      </c>
      <c r="G350" t="s">
        <v>534</v>
      </c>
      <c r="H350" s="154">
        <v>0.29166666666666669</v>
      </c>
      <c r="I350" s="154">
        <v>0.29166666666666669</v>
      </c>
      <c r="J350" s="154">
        <v>0.29166666666666669</v>
      </c>
      <c r="K350" s="154">
        <v>0.29166666666666669</v>
      </c>
      <c r="L350" s="154">
        <v>0.29166666666666669</v>
      </c>
      <c r="M350" s="154">
        <v>0.29166666666666669</v>
      </c>
      <c r="N350" s="154">
        <v>0.29166666666666669</v>
      </c>
      <c r="O350" s="154">
        <v>0.29166666666666669</v>
      </c>
      <c r="P350" s="154">
        <v>0.29166666666666669</v>
      </c>
      <c r="Q350" s="154">
        <v>0.29166666666666669</v>
      </c>
      <c r="R350" s="154">
        <v>0.29166666666666669</v>
      </c>
      <c r="S350" s="154">
        <v>0.29166666666666669</v>
      </c>
      <c r="T350" s="154">
        <v>0.29166666666666669</v>
      </c>
      <c r="U350" s="154">
        <v>0.29166666666666669</v>
      </c>
      <c r="V350" s="154">
        <v>0.29166666666666669</v>
      </c>
      <c r="W350" s="154">
        <v>0.29166666666666669</v>
      </c>
      <c r="X350" s="154">
        <v>0.29166666666666669</v>
      </c>
      <c r="Y350" s="154">
        <v>0.29166666666666669</v>
      </c>
      <c r="Z350" s="154">
        <v>0.29166666666666669</v>
      </c>
      <c r="AA350" s="154">
        <v>0.29166666666666669</v>
      </c>
      <c r="AB350" s="154">
        <v>0.29166666666666669</v>
      </c>
      <c r="AC350" s="154">
        <v>0.29166666666666669</v>
      </c>
      <c r="AD350" s="154">
        <v>0.29166666666666669</v>
      </c>
      <c r="AE350" s="154">
        <v>0.29166666666666669</v>
      </c>
      <c r="AF350" s="154">
        <v>0.29166666666666669</v>
      </c>
      <c r="AG350" s="154">
        <v>0.29166666666666669</v>
      </c>
      <c r="AH350" s="154">
        <v>0.29166666666666669</v>
      </c>
      <c r="AI350" s="154">
        <v>0.29166666666666669</v>
      </c>
      <c r="AJ350" s="154">
        <v>0.29166666666666669</v>
      </c>
      <c r="AK350" s="154">
        <v>0.29166666666666669</v>
      </c>
      <c r="AL350" s="154" t="s">
        <v>424</v>
      </c>
      <c r="AS350">
        <v>350</v>
      </c>
    </row>
    <row r="351" spans="1:46" hidden="1" x14ac:dyDescent="0.25">
      <c r="A351">
        <v>350</v>
      </c>
      <c r="B351">
        <v>2025</v>
      </c>
      <c r="C351">
        <v>7</v>
      </c>
      <c r="D351" t="s">
        <v>262</v>
      </c>
      <c r="E351">
        <v>31</v>
      </c>
      <c r="F351">
        <v>6</v>
      </c>
      <c r="G351" t="s">
        <v>535</v>
      </c>
      <c r="H351" s="154">
        <v>0.75</v>
      </c>
      <c r="I351" s="154">
        <v>0.75</v>
      </c>
      <c r="J351" s="154">
        <v>0.75</v>
      </c>
      <c r="K351" s="154">
        <v>0.75</v>
      </c>
      <c r="L351" s="154">
        <v>0.75</v>
      </c>
      <c r="M351" s="154">
        <v>0.75</v>
      </c>
      <c r="N351" s="154">
        <v>0.75</v>
      </c>
      <c r="O351" s="154">
        <v>0.75</v>
      </c>
      <c r="P351" s="154">
        <v>0.75</v>
      </c>
      <c r="Q351" s="154">
        <v>0.75</v>
      </c>
      <c r="R351" s="154">
        <v>0.75</v>
      </c>
      <c r="S351" s="154">
        <v>0.75</v>
      </c>
      <c r="T351" s="154">
        <v>0.75</v>
      </c>
      <c r="U351" s="154">
        <v>0.75</v>
      </c>
      <c r="V351" s="154">
        <v>0.75</v>
      </c>
      <c r="W351" s="154">
        <v>0.75</v>
      </c>
      <c r="X351" s="154">
        <v>0.75</v>
      </c>
      <c r="Y351" s="154">
        <v>0.75</v>
      </c>
      <c r="Z351" s="154">
        <v>0.75</v>
      </c>
      <c r="AA351" s="154">
        <v>0.75</v>
      </c>
      <c r="AB351" s="154">
        <v>0.75</v>
      </c>
      <c r="AC351" s="154">
        <v>0.75</v>
      </c>
      <c r="AD351" s="154">
        <v>0.75</v>
      </c>
      <c r="AE351" s="154">
        <v>0.75</v>
      </c>
      <c r="AF351" s="154">
        <v>0.75</v>
      </c>
      <c r="AG351" s="154">
        <v>0.75</v>
      </c>
      <c r="AH351" s="154">
        <v>0.75</v>
      </c>
      <c r="AI351" s="154">
        <v>0.75</v>
      </c>
      <c r="AJ351" s="154">
        <v>0.75</v>
      </c>
      <c r="AK351" s="154">
        <v>0.75</v>
      </c>
      <c r="AL351" s="154" t="s">
        <v>424</v>
      </c>
      <c r="AM351" cm="1">
        <f t="array" ref="AM351">SUM(_xlfn.LET(_xlpm.r,((IFERROR(H351:AL351-H350:AL350,0))*24)/10,IF(_xlpm.r&gt;1,1,_xlpm.r)))</f>
        <v>30</v>
      </c>
      <c r="AS351">
        <v>351</v>
      </c>
    </row>
    <row r="352" spans="1:46" hidden="1" x14ac:dyDescent="0.25">
      <c r="A352">
        <v>351</v>
      </c>
      <c r="B352">
        <v>2025</v>
      </c>
      <c r="C352">
        <v>7</v>
      </c>
      <c r="D352" t="s">
        <v>244</v>
      </c>
      <c r="E352">
        <v>31</v>
      </c>
      <c r="F352">
        <v>6</v>
      </c>
      <c r="G352" t="s">
        <v>536</v>
      </c>
      <c r="H352" s="154">
        <v>383877</v>
      </c>
      <c r="I352" s="154">
        <v>384162</v>
      </c>
      <c r="J352" s="154">
        <v>384555</v>
      </c>
      <c r="K352" s="154">
        <v>384919</v>
      </c>
      <c r="L352" s="154">
        <v>385348</v>
      </c>
      <c r="M352" s="154">
        <v>385623</v>
      </c>
      <c r="N352" s="154">
        <v>385834</v>
      </c>
      <c r="O352" s="154">
        <v>386254</v>
      </c>
      <c r="P352" s="154">
        <v>386592</v>
      </c>
      <c r="Q352" s="154">
        <v>387058</v>
      </c>
      <c r="R352" s="154">
        <v>387293</v>
      </c>
      <c r="S352" s="154">
        <v>387726</v>
      </c>
      <c r="T352" s="154">
        <v>388037</v>
      </c>
      <c r="U352" s="154">
        <v>388286</v>
      </c>
      <c r="V352" s="154">
        <v>388447</v>
      </c>
      <c r="W352" s="154">
        <v>388447</v>
      </c>
      <c r="X352" s="154">
        <v>388447</v>
      </c>
      <c r="Y352" s="154">
        <v>388447</v>
      </c>
      <c r="Z352" s="154">
        <v>388447</v>
      </c>
      <c r="AA352" s="154">
        <v>388447</v>
      </c>
      <c r="AB352" s="154">
        <v>388447</v>
      </c>
      <c r="AC352" s="154">
        <v>388647</v>
      </c>
      <c r="AD352" s="154">
        <v>388841</v>
      </c>
      <c r="AE352" s="154">
        <v>389173</v>
      </c>
      <c r="AF352" s="154">
        <v>389422</v>
      </c>
      <c r="AG352" s="154">
        <v>389665</v>
      </c>
      <c r="AH352" s="154">
        <v>390002</v>
      </c>
      <c r="AI352" s="154">
        <v>390543</v>
      </c>
      <c r="AJ352" s="154">
        <v>390712</v>
      </c>
      <c r="AK352" s="154">
        <v>391158</v>
      </c>
      <c r="AL352" s="154">
        <v>391492</v>
      </c>
      <c r="AS352">
        <v>352</v>
      </c>
    </row>
    <row r="353" spans="1:46" hidden="1" x14ac:dyDescent="0.25">
      <c r="A353">
        <v>352</v>
      </c>
      <c r="B353">
        <v>2025</v>
      </c>
      <c r="C353">
        <v>7</v>
      </c>
      <c r="D353" t="s">
        <v>244</v>
      </c>
      <c r="E353">
        <v>31</v>
      </c>
      <c r="F353">
        <v>6</v>
      </c>
      <c r="G353" t="s">
        <v>537</v>
      </c>
      <c r="H353" s="154">
        <v>384131</v>
      </c>
      <c r="I353" s="154">
        <v>384547</v>
      </c>
      <c r="J353" s="154">
        <v>384918</v>
      </c>
      <c r="K353" s="154">
        <v>385308</v>
      </c>
      <c r="L353" s="154">
        <v>385607</v>
      </c>
      <c r="M353" s="154">
        <v>385708</v>
      </c>
      <c r="N353" s="154">
        <v>386235</v>
      </c>
      <c r="O353" s="154">
        <v>386571</v>
      </c>
      <c r="P353" s="154">
        <v>387058</v>
      </c>
      <c r="Q353" s="154">
        <v>387274</v>
      </c>
      <c r="R353" s="154">
        <v>387710</v>
      </c>
      <c r="S353" s="154">
        <v>388016</v>
      </c>
      <c r="T353" s="154">
        <v>388253</v>
      </c>
      <c r="U353" s="154">
        <v>388447</v>
      </c>
      <c r="V353" s="154">
        <v>388447</v>
      </c>
      <c r="W353" s="154">
        <v>388447</v>
      </c>
      <c r="X353" s="154">
        <v>388447</v>
      </c>
      <c r="Y353" s="154">
        <v>388447</v>
      </c>
      <c r="Z353" s="154">
        <v>388447</v>
      </c>
      <c r="AA353" s="154">
        <v>388447</v>
      </c>
      <c r="AB353" s="154">
        <v>388447</v>
      </c>
      <c r="AC353" s="154">
        <v>388826</v>
      </c>
      <c r="AD353" s="154">
        <v>389131</v>
      </c>
      <c r="AE353" s="154">
        <v>389384</v>
      </c>
      <c r="AF353" s="154">
        <v>389665</v>
      </c>
      <c r="AG353" s="154">
        <v>389974</v>
      </c>
      <c r="AH353" s="154">
        <v>390306</v>
      </c>
      <c r="AI353" s="154">
        <v>390712</v>
      </c>
      <c r="AJ353" s="154">
        <v>391158</v>
      </c>
      <c r="AK353" s="154">
        <v>391478</v>
      </c>
      <c r="AL353" s="154">
        <v>391741</v>
      </c>
      <c r="AP353" cm="1">
        <f t="array" ref="AP353">IF(AQ353="","",SUM(IFERROR(H353:AL353-H352:AL352,0))*AQ353/100)</f>
        <v>832.68</v>
      </c>
      <c r="AQ353">
        <f>_xlfn.XLOOKUP(D353,log_prices!M:M,log_prices!L:L,,0)</f>
        <v>12</v>
      </c>
      <c r="AS353">
        <v>353</v>
      </c>
      <c r="AT353" cm="1">
        <f t="array" ref="AT353">IF(AQ353="","",SUM(IFERROR(H353:AL353-H352:AL352,0)))</f>
        <v>6939</v>
      </c>
    </row>
    <row r="354" spans="1:46" hidden="1" x14ac:dyDescent="0.25">
      <c r="A354">
        <v>353</v>
      </c>
      <c r="B354">
        <v>2025</v>
      </c>
      <c r="C354">
        <v>7</v>
      </c>
      <c r="D354" t="s">
        <v>244</v>
      </c>
      <c r="E354">
        <v>31</v>
      </c>
      <c r="F354">
        <v>6</v>
      </c>
      <c r="G354" t="s">
        <v>534</v>
      </c>
      <c r="H354" s="154" t="s">
        <v>506</v>
      </c>
      <c r="I354" s="154" t="s">
        <v>479</v>
      </c>
      <c r="J354" s="154" t="s">
        <v>512</v>
      </c>
      <c r="K354" s="154" t="s">
        <v>479</v>
      </c>
      <c r="L354" s="154" t="s">
        <v>479</v>
      </c>
      <c r="M354" s="154" t="s">
        <v>479</v>
      </c>
      <c r="N354" s="154" t="s">
        <v>479</v>
      </c>
      <c r="O354" s="154" t="s">
        <v>479</v>
      </c>
      <c r="P354" s="154" t="s">
        <v>513</v>
      </c>
      <c r="Q354" s="154" t="s">
        <v>479</v>
      </c>
      <c r="R354" s="154" t="s">
        <v>479</v>
      </c>
      <c r="S354" s="154" t="s">
        <v>479</v>
      </c>
      <c r="T354" s="154" t="s">
        <v>479</v>
      </c>
      <c r="U354" s="154" t="s">
        <v>479</v>
      </c>
      <c r="V354" s="154" t="s">
        <v>479</v>
      </c>
      <c r="W354" s="154" t="s">
        <v>479</v>
      </c>
      <c r="X354" s="154" t="s">
        <v>479</v>
      </c>
      <c r="Y354" s="154" t="s">
        <v>479</v>
      </c>
      <c r="Z354" s="154" t="s">
        <v>479</v>
      </c>
      <c r="AA354" s="154" t="s">
        <v>479</v>
      </c>
      <c r="AB354" s="154" t="s">
        <v>479</v>
      </c>
      <c r="AC354" s="154" t="s">
        <v>479</v>
      </c>
      <c r="AD354" s="154" t="s">
        <v>479</v>
      </c>
      <c r="AE354" s="154" t="s">
        <v>479</v>
      </c>
      <c r="AF354" s="154" t="s">
        <v>479</v>
      </c>
      <c r="AG354" s="154" t="s">
        <v>479</v>
      </c>
      <c r="AH354" s="154" t="s">
        <v>479</v>
      </c>
      <c r="AI354" s="154" t="s">
        <v>479</v>
      </c>
      <c r="AJ354" s="154" t="s">
        <v>479</v>
      </c>
      <c r="AK354" s="154" t="s">
        <v>479</v>
      </c>
      <c r="AL354" s="154" t="s">
        <v>479</v>
      </c>
      <c r="AS354">
        <v>354</v>
      </c>
    </row>
    <row r="355" spans="1:46" hidden="1" x14ac:dyDescent="0.25">
      <c r="A355">
        <v>354</v>
      </c>
      <c r="B355">
        <v>2025</v>
      </c>
      <c r="C355">
        <v>7</v>
      </c>
      <c r="D355" t="s">
        <v>244</v>
      </c>
      <c r="E355">
        <v>31</v>
      </c>
      <c r="F355">
        <v>6</v>
      </c>
      <c r="G355" t="s">
        <v>535</v>
      </c>
      <c r="H355" s="154">
        <v>0.79166666666666663</v>
      </c>
      <c r="I355" s="154">
        <v>0.83333333333333326</v>
      </c>
      <c r="J355" s="154">
        <v>1.0263888888888888</v>
      </c>
      <c r="K355" s="154">
        <v>0.875</v>
      </c>
      <c r="L355" s="154">
        <v>0.75</v>
      </c>
      <c r="M355" s="154">
        <v>0.875</v>
      </c>
      <c r="N355" s="154">
        <v>0.75</v>
      </c>
      <c r="O355" s="154">
        <v>0.875</v>
      </c>
      <c r="P355" s="154">
        <v>0.74305555555555558</v>
      </c>
      <c r="Q355" s="154">
        <v>1</v>
      </c>
      <c r="R355" s="154">
        <v>1</v>
      </c>
      <c r="S355" s="154">
        <v>1.0833333333333333</v>
      </c>
      <c r="T355" s="154">
        <v>0.875</v>
      </c>
      <c r="U355" s="154">
        <v>0.95833333333333326</v>
      </c>
      <c r="V355" s="154">
        <v>0.75</v>
      </c>
      <c r="W355" s="154">
        <v>0.75</v>
      </c>
      <c r="X355" s="154">
        <v>0.75</v>
      </c>
      <c r="Y355" s="154">
        <v>0.75</v>
      </c>
      <c r="Z355" s="154">
        <v>0.75</v>
      </c>
      <c r="AA355" s="154">
        <v>0.75</v>
      </c>
      <c r="AB355" s="154">
        <v>0.75</v>
      </c>
      <c r="AC355" s="154">
        <v>1.0416666666666667</v>
      </c>
      <c r="AD355" s="154">
        <v>0.85416666666666674</v>
      </c>
      <c r="AE355" s="154">
        <v>1.0416666666666667</v>
      </c>
      <c r="AF355" s="154">
        <v>0.75</v>
      </c>
      <c r="AG355" s="154">
        <v>0.83333333333333326</v>
      </c>
      <c r="AH355" s="154">
        <v>1.0416666666666667</v>
      </c>
      <c r="AI355" s="154">
        <v>0.95833333333333326</v>
      </c>
      <c r="AJ355" s="154">
        <v>1</v>
      </c>
      <c r="AK355" s="154">
        <v>1.0833333333333333</v>
      </c>
      <c r="AL355" s="154">
        <v>0.95833333333333326</v>
      </c>
      <c r="AM355" cm="1">
        <f t="array" ref="AM355">SUM(_xlfn.LET(_xlpm.r,((IFERROR(H355:AL355-H354:AL354,0))*24)/10,IF(_xlpm.r&gt;1,1,_xlpm.r)))</f>
        <v>31</v>
      </c>
      <c r="AO355" cm="1">
        <f t="array" ref="AO355">SUM(IFERROR(MOD((H355:AL355-H354:AL354)*24,11),""))</f>
        <v>108.99999999999999</v>
      </c>
      <c r="AS355">
        <v>355</v>
      </c>
    </row>
    <row r="356" spans="1:46" hidden="1" x14ac:dyDescent="0.25">
      <c r="A356">
        <v>355</v>
      </c>
      <c r="B356">
        <v>2025</v>
      </c>
      <c r="C356">
        <v>7</v>
      </c>
      <c r="D356" t="s">
        <v>270</v>
      </c>
      <c r="E356">
        <v>31</v>
      </c>
      <c r="F356">
        <v>6</v>
      </c>
      <c r="G356" t="s">
        <v>536</v>
      </c>
      <c r="H356" s="154">
        <v>266512</v>
      </c>
      <c r="I356" s="154">
        <v>266533</v>
      </c>
      <c r="J356" s="154">
        <v>266597</v>
      </c>
      <c r="K356" s="154">
        <v>266639</v>
      </c>
      <c r="L356" s="154">
        <v>266699</v>
      </c>
      <c r="M356" s="154" t="s">
        <v>424</v>
      </c>
      <c r="N356" s="154">
        <v>266787</v>
      </c>
      <c r="O356" s="154">
        <v>266863</v>
      </c>
      <c r="P356" s="154">
        <v>266932</v>
      </c>
      <c r="Q356" s="154">
        <v>267011</v>
      </c>
      <c r="R356" s="154">
        <v>267086</v>
      </c>
      <c r="S356" s="154">
        <v>267148</v>
      </c>
      <c r="T356" s="154">
        <v>267219</v>
      </c>
      <c r="U356" s="154">
        <v>267246</v>
      </c>
      <c r="V356" s="154">
        <v>267338</v>
      </c>
      <c r="W356" s="154">
        <v>267436</v>
      </c>
      <c r="X356" s="154">
        <v>267497</v>
      </c>
      <c r="Y356" s="154">
        <v>267586</v>
      </c>
      <c r="Z356" s="154">
        <v>267671</v>
      </c>
      <c r="AA356" s="154">
        <v>267731</v>
      </c>
      <c r="AB356" s="154">
        <v>267772</v>
      </c>
      <c r="AC356" s="154">
        <v>267829</v>
      </c>
      <c r="AD356" s="154">
        <v>267892</v>
      </c>
      <c r="AE356" s="154">
        <v>267962</v>
      </c>
      <c r="AF356" s="154">
        <v>268022</v>
      </c>
      <c r="AG356" s="154">
        <v>268093</v>
      </c>
      <c r="AH356" s="154">
        <v>268168</v>
      </c>
      <c r="AI356" s="154">
        <v>268250</v>
      </c>
      <c r="AJ356" s="154">
        <v>268337</v>
      </c>
      <c r="AK356" s="154">
        <v>268398</v>
      </c>
      <c r="AL356" s="154">
        <v>268474</v>
      </c>
      <c r="AS356">
        <v>356</v>
      </c>
    </row>
    <row r="357" spans="1:46" hidden="1" x14ac:dyDescent="0.25">
      <c r="A357">
        <v>356</v>
      </c>
      <c r="B357">
        <v>2025</v>
      </c>
      <c r="C357">
        <v>7</v>
      </c>
      <c r="D357" t="s">
        <v>270</v>
      </c>
      <c r="E357">
        <v>31</v>
      </c>
      <c r="F357">
        <v>6</v>
      </c>
      <c r="G357" t="s">
        <v>537</v>
      </c>
      <c r="H357" s="154">
        <v>266533</v>
      </c>
      <c r="I357" s="154">
        <v>266597</v>
      </c>
      <c r="J357" s="154">
        <v>266639</v>
      </c>
      <c r="K357" s="154">
        <v>266699</v>
      </c>
      <c r="L357" s="154">
        <v>266787</v>
      </c>
      <c r="M357" s="154" t="s">
        <v>424</v>
      </c>
      <c r="N357" s="154">
        <v>266863</v>
      </c>
      <c r="O357" s="154">
        <v>266932</v>
      </c>
      <c r="P357" s="154">
        <v>267011</v>
      </c>
      <c r="Q357" s="154">
        <v>267086</v>
      </c>
      <c r="R357" s="154">
        <v>267148</v>
      </c>
      <c r="S357" s="154">
        <v>267219</v>
      </c>
      <c r="T357" s="154">
        <v>267246</v>
      </c>
      <c r="U357" s="154">
        <v>267338</v>
      </c>
      <c r="V357" s="154">
        <v>267436</v>
      </c>
      <c r="W357" s="154">
        <v>267497</v>
      </c>
      <c r="X357" s="154">
        <v>267586</v>
      </c>
      <c r="Y357" s="154">
        <v>267671</v>
      </c>
      <c r="Z357" s="154">
        <v>267731</v>
      </c>
      <c r="AA357" s="154">
        <v>267772</v>
      </c>
      <c r="AB357" s="154">
        <v>267829</v>
      </c>
      <c r="AC357" s="154">
        <v>267892</v>
      </c>
      <c r="AD357" s="154">
        <v>267962</v>
      </c>
      <c r="AE357" s="154">
        <v>268022</v>
      </c>
      <c r="AF357" s="154">
        <v>268093</v>
      </c>
      <c r="AG357" s="154">
        <v>268168</v>
      </c>
      <c r="AH357" s="154">
        <v>268250</v>
      </c>
      <c r="AI357" s="154">
        <v>268337</v>
      </c>
      <c r="AJ357" s="154">
        <v>268398</v>
      </c>
      <c r="AK357" s="154">
        <v>268474</v>
      </c>
      <c r="AL357" s="154">
        <v>268552</v>
      </c>
      <c r="AP357" cm="1">
        <f t="array" ref="AP357">IF(AQ357="","",SUM(IFERROR(H357:AL357-H356:AL356,0))*AQ357/100)</f>
        <v>306</v>
      </c>
      <c r="AQ357">
        <f>_xlfn.XLOOKUP(D357,log_prices!M:M,log_prices!L:L,,0)</f>
        <v>15</v>
      </c>
      <c r="AS357">
        <v>357</v>
      </c>
      <c r="AT357" cm="1">
        <f t="array" ref="AT357">IF(AQ357="","",SUM(IFERROR(H357:AL357-H356:AL356,0)))</f>
        <v>2040</v>
      </c>
    </row>
    <row r="358" spans="1:46" hidden="1" x14ac:dyDescent="0.25">
      <c r="A358">
        <v>357</v>
      </c>
      <c r="B358">
        <v>2025</v>
      </c>
      <c r="C358">
        <v>7</v>
      </c>
      <c r="D358" t="s">
        <v>270</v>
      </c>
      <c r="E358">
        <v>31</v>
      </c>
      <c r="F358">
        <v>6</v>
      </c>
      <c r="G358" t="s">
        <v>534</v>
      </c>
      <c r="H358" s="154" t="s">
        <v>479</v>
      </c>
      <c r="I358" s="154" t="s">
        <v>479</v>
      </c>
      <c r="J358" s="154" t="s">
        <v>479</v>
      </c>
      <c r="K358" s="154" t="s">
        <v>479</v>
      </c>
      <c r="L358" s="154" t="s">
        <v>479</v>
      </c>
      <c r="M358" s="154" t="s">
        <v>424</v>
      </c>
      <c r="N358" s="154" t="s">
        <v>479</v>
      </c>
      <c r="O358" s="154" t="s">
        <v>479</v>
      </c>
      <c r="P358" s="154" t="s">
        <v>479</v>
      </c>
      <c r="Q358" s="154" t="s">
        <v>479</v>
      </c>
      <c r="R358" s="154" t="s">
        <v>479</v>
      </c>
      <c r="S358" s="154" t="s">
        <v>479</v>
      </c>
      <c r="T358" s="154" t="s">
        <v>479</v>
      </c>
      <c r="U358" s="154" t="s">
        <v>479</v>
      </c>
      <c r="V358" s="154" t="s">
        <v>479</v>
      </c>
      <c r="W358" s="154" t="s">
        <v>479</v>
      </c>
      <c r="X358" s="154" t="s">
        <v>479</v>
      </c>
      <c r="Y358" s="154" t="s">
        <v>479</v>
      </c>
      <c r="Z358" s="154" t="s">
        <v>479</v>
      </c>
      <c r="AA358" s="154" t="s">
        <v>479</v>
      </c>
      <c r="AB358" s="154" t="s">
        <v>479</v>
      </c>
      <c r="AC358" s="154" t="s">
        <v>479</v>
      </c>
      <c r="AD358" s="154" t="s">
        <v>479</v>
      </c>
      <c r="AE358" s="154" t="s">
        <v>479</v>
      </c>
      <c r="AF358" s="154" t="s">
        <v>479</v>
      </c>
      <c r="AG358" s="154" t="s">
        <v>479</v>
      </c>
      <c r="AH358" s="154" t="s">
        <v>479</v>
      </c>
      <c r="AI358" s="154" t="s">
        <v>479</v>
      </c>
      <c r="AJ358" s="154" t="s">
        <v>479</v>
      </c>
      <c r="AK358" s="154" t="s">
        <v>479</v>
      </c>
      <c r="AL358" s="154" t="s">
        <v>479</v>
      </c>
      <c r="AS358">
        <v>358</v>
      </c>
    </row>
    <row r="359" spans="1:46" hidden="1" x14ac:dyDescent="0.25">
      <c r="A359">
        <v>358</v>
      </c>
      <c r="B359">
        <v>2025</v>
      </c>
      <c r="C359">
        <v>7</v>
      </c>
      <c r="D359" t="s">
        <v>270</v>
      </c>
      <c r="E359">
        <v>31</v>
      </c>
      <c r="F359">
        <v>6</v>
      </c>
      <c r="G359" t="s">
        <v>535</v>
      </c>
      <c r="H359" s="154">
        <v>0.75</v>
      </c>
      <c r="I359" s="154">
        <v>0.79166666666666674</v>
      </c>
      <c r="J359" s="154">
        <v>0.75</v>
      </c>
      <c r="K359" s="154">
        <v>0.95833333333333326</v>
      </c>
      <c r="L359" s="154">
        <v>0.83333333333333326</v>
      </c>
      <c r="M359" s="154" t="s">
        <v>424</v>
      </c>
      <c r="N359" s="154">
        <v>0.75</v>
      </c>
      <c r="O359" s="154">
        <v>0.79166666666666674</v>
      </c>
      <c r="P359" s="154">
        <v>0.79166666666666674</v>
      </c>
      <c r="Q359" s="154">
        <v>0.79166666666666674</v>
      </c>
      <c r="R359" s="154">
        <v>0.83333333333333326</v>
      </c>
      <c r="S359" s="154">
        <v>0.83333333333333326</v>
      </c>
      <c r="T359" s="154">
        <v>0.91666666666666674</v>
      </c>
      <c r="U359" s="154">
        <v>1.0833333333333333</v>
      </c>
      <c r="V359" s="154">
        <v>1.0833333333333333</v>
      </c>
      <c r="W359" s="154">
        <v>1</v>
      </c>
      <c r="X359" s="154">
        <v>0.95833333333333326</v>
      </c>
      <c r="Y359" s="154">
        <v>1</v>
      </c>
      <c r="Z359" s="154">
        <v>0.75</v>
      </c>
      <c r="AA359" s="154">
        <v>0.75</v>
      </c>
      <c r="AB359" s="154">
        <v>1</v>
      </c>
      <c r="AC359" s="154">
        <v>0.83333333333333326</v>
      </c>
      <c r="AD359" s="154">
        <v>1</v>
      </c>
      <c r="AE359" s="154">
        <v>0.79166666666666674</v>
      </c>
      <c r="AF359" s="154">
        <v>0.79166666666666674</v>
      </c>
      <c r="AG359" s="154">
        <v>1</v>
      </c>
      <c r="AH359" s="154">
        <v>0.79166666666666674</v>
      </c>
      <c r="AI359" s="154">
        <v>1.0416666666666667</v>
      </c>
      <c r="AJ359" s="154">
        <v>0.79166666666666674</v>
      </c>
      <c r="AK359" s="154">
        <v>1</v>
      </c>
      <c r="AL359" s="154">
        <v>0.79166666666666674</v>
      </c>
      <c r="AM359" cm="1">
        <f t="array" ref="AM359">SUM(_xlfn.LET(_xlpm.r,((IFERROR(H359:AL359-H358:AL358,0))*24)/10,IF(_xlpm.r&gt;1,1,_xlpm.r)))</f>
        <v>30</v>
      </c>
      <c r="AO359" cm="1">
        <f t="array" ref="AO359">SUM(IFERROR((H359:AL359-H358:AL358)*24-11,""))</f>
        <v>89.999999999999972</v>
      </c>
      <c r="AS359">
        <v>359</v>
      </c>
    </row>
    <row r="360" spans="1:46" hidden="1" x14ac:dyDescent="0.25">
      <c r="A360">
        <v>359</v>
      </c>
      <c r="B360">
        <v>2025</v>
      </c>
      <c r="C360">
        <v>7</v>
      </c>
      <c r="D360" t="s">
        <v>248</v>
      </c>
      <c r="E360">
        <v>31</v>
      </c>
      <c r="F360">
        <v>6</v>
      </c>
      <c r="G360" t="s">
        <v>536</v>
      </c>
      <c r="H360" s="154">
        <v>359190</v>
      </c>
      <c r="I360" s="154">
        <v>359292</v>
      </c>
      <c r="J360" s="154">
        <v>359410</v>
      </c>
      <c r="K360" s="154">
        <v>359500</v>
      </c>
      <c r="L360" s="154">
        <v>359640</v>
      </c>
      <c r="M360" s="154" t="s">
        <v>424</v>
      </c>
      <c r="N360" s="154">
        <v>359962</v>
      </c>
      <c r="O360" s="154">
        <v>360243</v>
      </c>
      <c r="P360" s="154">
        <v>360322</v>
      </c>
      <c r="Q360" s="154">
        <v>360554</v>
      </c>
      <c r="R360" s="154">
        <v>360629</v>
      </c>
      <c r="S360" s="154">
        <v>360756</v>
      </c>
      <c r="T360" s="154">
        <v>360859</v>
      </c>
      <c r="U360" s="154">
        <v>361006</v>
      </c>
      <c r="V360" s="154">
        <v>361107</v>
      </c>
      <c r="W360" s="154">
        <v>361182</v>
      </c>
      <c r="X360" s="154">
        <v>361594</v>
      </c>
      <c r="Y360" s="154">
        <v>361713</v>
      </c>
      <c r="Z360" s="154">
        <v>361767</v>
      </c>
      <c r="AA360" s="154">
        <v>361981</v>
      </c>
      <c r="AB360" s="154">
        <v>362140</v>
      </c>
      <c r="AC360" s="154">
        <v>362223</v>
      </c>
      <c r="AD360" s="154">
        <v>362289</v>
      </c>
      <c r="AE360" s="154">
        <v>362380</v>
      </c>
      <c r="AF360" s="154">
        <v>362431</v>
      </c>
      <c r="AG360" s="154">
        <v>362487</v>
      </c>
      <c r="AH360" s="154">
        <v>362553</v>
      </c>
      <c r="AI360" s="154">
        <v>362757</v>
      </c>
      <c r="AJ360" s="154">
        <v>362903</v>
      </c>
      <c r="AK360" s="154">
        <v>362989</v>
      </c>
      <c r="AL360" s="154">
        <v>363067</v>
      </c>
      <c r="AS360">
        <v>360</v>
      </c>
    </row>
    <row r="361" spans="1:46" hidden="1" x14ac:dyDescent="0.25">
      <c r="A361">
        <v>360</v>
      </c>
      <c r="B361">
        <v>2025</v>
      </c>
      <c r="C361">
        <v>7</v>
      </c>
      <c r="D361" t="s">
        <v>248</v>
      </c>
      <c r="E361">
        <v>31</v>
      </c>
      <c r="F361">
        <v>6</v>
      </c>
      <c r="G361" t="s">
        <v>537</v>
      </c>
      <c r="H361" s="154">
        <v>359292</v>
      </c>
      <c r="I361" s="154">
        <v>359409</v>
      </c>
      <c r="J361" s="154">
        <v>359500</v>
      </c>
      <c r="K361" s="154">
        <v>359640</v>
      </c>
      <c r="L361" s="154">
        <v>359803</v>
      </c>
      <c r="M361" s="154" t="s">
        <v>424</v>
      </c>
      <c r="N361" s="154">
        <v>360190</v>
      </c>
      <c r="O361" s="154">
        <v>360322</v>
      </c>
      <c r="P361" s="154">
        <v>360554</v>
      </c>
      <c r="Q361" s="154">
        <v>360628</v>
      </c>
      <c r="R361" s="154">
        <v>360756</v>
      </c>
      <c r="S361" s="154">
        <v>360859</v>
      </c>
      <c r="T361" s="154">
        <v>361006</v>
      </c>
      <c r="U361" s="154">
        <v>361107</v>
      </c>
      <c r="V361" s="154">
        <v>361182</v>
      </c>
      <c r="W361" s="154">
        <v>361594</v>
      </c>
      <c r="X361" s="154">
        <v>361708</v>
      </c>
      <c r="Y361" s="154">
        <v>361767</v>
      </c>
      <c r="Z361" s="154">
        <v>361981</v>
      </c>
      <c r="AA361" s="154">
        <v>362140</v>
      </c>
      <c r="AB361" s="154">
        <v>362223</v>
      </c>
      <c r="AC361" s="154">
        <v>362289</v>
      </c>
      <c r="AD361" s="154">
        <v>362380</v>
      </c>
      <c r="AE361" s="154">
        <v>362431</v>
      </c>
      <c r="AF361" s="154">
        <v>362487</v>
      </c>
      <c r="AG361" s="154">
        <v>362553</v>
      </c>
      <c r="AH361" s="154">
        <v>362757</v>
      </c>
      <c r="AI361" s="154">
        <v>362903</v>
      </c>
      <c r="AJ361" s="154">
        <v>362989</v>
      </c>
      <c r="AK361" s="154">
        <v>363067</v>
      </c>
      <c r="AL361" s="154">
        <v>363250</v>
      </c>
      <c r="AP361" cm="1">
        <f t="array" ref="AP361">IF(AQ361="","",SUM(IFERROR(H361:AL361-H360:AL360,0))*AQ361/100)</f>
        <v>576.15</v>
      </c>
      <c r="AQ361">
        <f>_xlfn.XLOOKUP(D361,log_prices!M:M,log_prices!L:L,,0)</f>
        <v>15</v>
      </c>
      <c r="AS361">
        <v>361</v>
      </c>
      <c r="AT361" cm="1">
        <f t="array" ref="AT361">IF(AQ361="","",SUM(IFERROR(H361:AL361-H360:AL360,0)))</f>
        <v>3841</v>
      </c>
    </row>
    <row r="362" spans="1:46" hidden="1" x14ac:dyDescent="0.25">
      <c r="A362">
        <v>361</v>
      </c>
      <c r="B362">
        <v>2025</v>
      </c>
      <c r="C362">
        <v>7</v>
      </c>
      <c r="D362" t="s">
        <v>248</v>
      </c>
      <c r="E362">
        <v>31</v>
      </c>
      <c r="F362">
        <v>6</v>
      </c>
      <c r="G362" t="s">
        <v>534</v>
      </c>
      <c r="H362" s="154" t="s">
        <v>479</v>
      </c>
      <c r="I362" s="154" t="s">
        <v>479</v>
      </c>
      <c r="J362" s="154" t="s">
        <v>479</v>
      </c>
      <c r="K362" s="154" t="s">
        <v>479</v>
      </c>
      <c r="L362" s="154" t="s">
        <v>479</v>
      </c>
      <c r="M362" s="154" t="s">
        <v>424</v>
      </c>
      <c r="N362" s="154" t="s">
        <v>479</v>
      </c>
      <c r="O362" s="154" t="s">
        <v>479</v>
      </c>
      <c r="P362" s="154" t="s">
        <v>479</v>
      </c>
      <c r="Q362" s="154" t="s">
        <v>479</v>
      </c>
      <c r="R362" s="154" t="s">
        <v>479</v>
      </c>
      <c r="S362" s="154" t="s">
        <v>479</v>
      </c>
      <c r="T362" s="154" t="s">
        <v>479</v>
      </c>
      <c r="U362" s="154" t="s">
        <v>479</v>
      </c>
      <c r="V362" s="154" t="s">
        <v>479</v>
      </c>
      <c r="W362" s="154" t="s">
        <v>479</v>
      </c>
      <c r="X362" s="154" t="s">
        <v>479</v>
      </c>
      <c r="Y362" s="154" t="s">
        <v>479</v>
      </c>
      <c r="Z362" s="154" t="s">
        <v>479</v>
      </c>
      <c r="AA362" s="154" t="s">
        <v>479</v>
      </c>
      <c r="AB362" s="154" t="s">
        <v>479</v>
      </c>
      <c r="AC362" s="154" t="s">
        <v>479</v>
      </c>
      <c r="AD362" s="154" t="s">
        <v>479</v>
      </c>
      <c r="AE362" s="154" t="s">
        <v>479</v>
      </c>
      <c r="AF362" s="154" t="s">
        <v>479</v>
      </c>
      <c r="AG362" s="154" t="s">
        <v>479</v>
      </c>
      <c r="AH362" s="154" t="s">
        <v>479</v>
      </c>
      <c r="AI362" s="154" t="s">
        <v>479</v>
      </c>
      <c r="AJ362" s="154" t="s">
        <v>479</v>
      </c>
      <c r="AK362" s="154" t="s">
        <v>479</v>
      </c>
      <c r="AL362" s="154" t="s">
        <v>479</v>
      </c>
      <c r="AS362">
        <v>362</v>
      </c>
    </row>
    <row r="363" spans="1:46" hidden="1" x14ac:dyDescent="0.25">
      <c r="A363">
        <v>362</v>
      </c>
      <c r="B363">
        <v>2025</v>
      </c>
      <c r="C363">
        <v>7</v>
      </c>
      <c r="D363" t="s">
        <v>248</v>
      </c>
      <c r="E363">
        <v>31</v>
      </c>
      <c r="F363">
        <v>6</v>
      </c>
      <c r="G363" t="s">
        <v>535</v>
      </c>
      <c r="H363" s="154" t="s">
        <v>510</v>
      </c>
      <c r="I363" s="154" t="s">
        <v>510</v>
      </c>
      <c r="J363" s="154" t="s">
        <v>510</v>
      </c>
      <c r="K363" s="154" t="s">
        <v>510</v>
      </c>
      <c r="L363" s="154" t="s">
        <v>510</v>
      </c>
      <c r="M363" s="154" t="s">
        <v>424</v>
      </c>
      <c r="N363" s="154" t="s">
        <v>510</v>
      </c>
      <c r="O363" s="154" t="s">
        <v>510</v>
      </c>
      <c r="P363" s="154" t="s">
        <v>510</v>
      </c>
      <c r="Q363" s="154" t="s">
        <v>510</v>
      </c>
      <c r="R363" s="154" t="s">
        <v>510</v>
      </c>
      <c r="S363" s="154" t="s">
        <v>510</v>
      </c>
      <c r="T363" s="154" t="s">
        <v>510</v>
      </c>
      <c r="U363" s="154" t="s">
        <v>510</v>
      </c>
      <c r="V363" s="154" t="s">
        <v>510</v>
      </c>
      <c r="W363" s="154" t="s">
        <v>510</v>
      </c>
      <c r="X363" s="154" t="s">
        <v>510</v>
      </c>
      <c r="Y363" s="154" t="s">
        <v>510</v>
      </c>
      <c r="Z363" s="154" t="s">
        <v>510</v>
      </c>
      <c r="AA363" s="154" t="s">
        <v>510</v>
      </c>
      <c r="AB363" s="154" t="s">
        <v>510</v>
      </c>
      <c r="AC363" s="154" t="s">
        <v>510</v>
      </c>
      <c r="AD363" s="154" t="s">
        <v>510</v>
      </c>
      <c r="AE363" s="154" t="s">
        <v>510</v>
      </c>
      <c r="AF363" s="154" t="s">
        <v>510</v>
      </c>
      <c r="AG363" s="154" t="s">
        <v>510</v>
      </c>
      <c r="AH363" s="154">
        <v>0.75</v>
      </c>
      <c r="AI363" s="154" t="s">
        <v>510</v>
      </c>
      <c r="AJ363" s="154" t="s">
        <v>510</v>
      </c>
      <c r="AK363" s="154" t="s">
        <v>510</v>
      </c>
      <c r="AL363" s="154" t="s">
        <v>510</v>
      </c>
      <c r="AM363" cm="1">
        <f t="array" ref="AM363">_xlfn.LET(_xlpm.r,IFERROR((H363:AL363-H362:AL362)*24,""),SUM(IF(_xlpm.r="",0,IF(_xlpm.r=-1,0,1))))</f>
        <v>1</v>
      </c>
      <c r="AN363" cm="1">
        <f t="array" ref="AN363">_xlfn.LET(_xlpm.r,IFERROR((H363:AL363-H362:AL362)*24,""),SUM(IF(_xlpm.r="",0,IF(_xlpm.r=-1,1,0))))</f>
        <v>29</v>
      </c>
      <c r="AO363" cm="1">
        <f t="array" ref="AO363">_xlfn.LET(_xlpm.r,SUM(IFERROR(MOD((H363:AL363-H362:AL362)*24,11),"")),_xlpm.r-AN363*10)</f>
        <v>0</v>
      </c>
      <c r="AS363">
        <v>363</v>
      </c>
    </row>
    <row r="364" spans="1:46" hidden="1" x14ac:dyDescent="0.25">
      <c r="A364">
        <v>363</v>
      </c>
      <c r="B364">
        <v>2025</v>
      </c>
      <c r="C364">
        <v>7</v>
      </c>
      <c r="D364" t="s">
        <v>263</v>
      </c>
      <c r="E364">
        <v>31</v>
      </c>
      <c r="F364">
        <v>6</v>
      </c>
      <c r="G364" t="s">
        <v>536</v>
      </c>
      <c r="H364" s="154">
        <v>323963</v>
      </c>
      <c r="I364" s="154">
        <v>324143</v>
      </c>
      <c r="J364" s="154">
        <v>324174</v>
      </c>
      <c r="K364" s="154">
        <v>324214</v>
      </c>
      <c r="L364" s="154">
        <v>324236</v>
      </c>
      <c r="M364" s="154" t="s">
        <v>424</v>
      </c>
      <c r="N364" s="154">
        <v>324392</v>
      </c>
      <c r="O364" s="154">
        <v>324600</v>
      </c>
      <c r="P364" s="154">
        <v>324641</v>
      </c>
      <c r="Q364" s="154">
        <v>324793</v>
      </c>
      <c r="R364" s="154">
        <v>324837</v>
      </c>
      <c r="S364" s="154">
        <v>324892</v>
      </c>
      <c r="T364" s="154">
        <v>324933</v>
      </c>
      <c r="U364" s="154">
        <v>324977</v>
      </c>
      <c r="V364" s="154">
        <v>325035</v>
      </c>
      <c r="W364" s="154">
        <v>325067</v>
      </c>
      <c r="X364" s="154">
        <v>325108</v>
      </c>
      <c r="Y364" s="154">
        <v>325142</v>
      </c>
      <c r="Z364" s="154">
        <v>325187</v>
      </c>
      <c r="AA364" s="154">
        <v>325220</v>
      </c>
      <c r="AB364" s="154">
        <v>325291</v>
      </c>
      <c r="AC364" s="154">
        <v>325334</v>
      </c>
      <c r="AD364" s="154">
        <v>325378</v>
      </c>
      <c r="AE364" s="154">
        <v>325544</v>
      </c>
      <c r="AF364" s="154">
        <v>325593</v>
      </c>
      <c r="AG364" s="154">
        <v>325648</v>
      </c>
      <c r="AH364" s="154">
        <v>325851</v>
      </c>
      <c r="AI364" s="154">
        <v>325898</v>
      </c>
      <c r="AJ364" s="154">
        <v>325918</v>
      </c>
      <c r="AK364" s="154">
        <v>325968</v>
      </c>
      <c r="AL364" s="154">
        <v>326022</v>
      </c>
      <c r="AS364">
        <v>364</v>
      </c>
    </row>
    <row r="365" spans="1:46" hidden="1" x14ac:dyDescent="0.25">
      <c r="A365">
        <v>364</v>
      </c>
      <c r="B365">
        <v>2025</v>
      </c>
      <c r="C365">
        <v>7</v>
      </c>
      <c r="D365" t="s">
        <v>263</v>
      </c>
      <c r="E365">
        <v>31</v>
      </c>
      <c r="F365">
        <v>6</v>
      </c>
      <c r="G365" t="s">
        <v>537</v>
      </c>
      <c r="H365" s="154">
        <v>324143</v>
      </c>
      <c r="I365" s="154">
        <v>324174</v>
      </c>
      <c r="J365" s="154">
        <v>324214</v>
      </c>
      <c r="K365" s="154">
        <v>324236</v>
      </c>
      <c r="L365" s="154">
        <v>324392</v>
      </c>
      <c r="M365" s="154" t="s">
        <v>424</v>
      </c>
      <c r="N365" s="154">
        <v>324600</v>
      </c>
      <c r="O365" s="154">
        <v>324641</v>
      </c>
      <c r="P365" s="154">
        <v>324793</v>
      </c>
      <c r="Q365" s="154">
        <v>324837</v>
      </c>
      <c r="R365" s="154">
        <v>324892</v>
      </c>
      <c r="S365" s="154">
        <v>324933</v>
      </c>
      <c r="T365" s="154">
        <v>324977</v>
      </c>
      <c r="U365" s="154">
        <v>325035</v>
      </c>
      <c r="V365" s="154">
        <v>325067</v>
      </c>
      <c r="W365" s="154">
        <v>325108</v>
      </c>
      <c r="X365" s="154">
        <v>325142</v>
      </c>
      <c r="Y365" s="154">
        <v>325187</v>
      </c>
      <c r="Z365" s="154">
        <v>325220</v>
      </c>
      <c r="AA365" s="154">
        <v>325291</v>
      </c>
      <c r="AB365" s="154">
        <v>325334</v>
      </c>
      <c r="AC365" s="154">
        <v>325378</v>
      </c>
      <c r="AD365" s="154">
        <v>325544</v>
      </c>
      <c r="AE365" s="154">
        <v>325593</v>
      </c>
      <c r="AF365" s="154">
        <v>325648</v>
      </c>
      <c r="AG365" s="154">
        <v>325700</v>
      </c>
      <c r="AH365" s="154">
        <v>325898</v>
      </c>
      <c r="AI365" s="154">
        <v>325918</v>
      </c>
      <c r="AJ365" s="154">
        <v>325968</v>
      </c>
      <c r="AK365" s="154">
        <v>326022</v>
      </c>
      <c r="AL365" s="154">
        <v>326130</v>
      </c>
      <c r="AP365" cm="1">
        <f t="array" ref="AP365">IF(AQ365="","",SUM(IFERROR(H365:AL365-H364:AL364,0))*AQ365/100)</f>
        <v>302.39999999999998</v>
      </c>
      <c r="AQ365">
        <f>_xlfn.XLOOKUP(D365,log_prices!M:M,log_prices!L:L,,0)</f>
        <v>15</v>
      </c>
      <c r="AS365">
        <v>365</v>
      </c>
      <c r="AT365" cm="1">
        <f t="array" ref="AT365">IF(AQ365="","",SUM(IFERROR(H365:AL365-H364:AL364,0)))</f>
        <v>2016</v>
      </c>
    </row>
    <row r="366" spans="1:46" hidden="1" x14ac:dyDescent="0.25">
      <c r="A366">
        <v>365</v>
      </c>
      <c r="B366">
        <v>2025</v>
      </c>
      <c r="C366">
        <v>7</v>
      </c>
      <c r="D366" t="s">
        <v>263</v>
      </c>
      <c r="E366">
        <v>31</v>
      </c>
      <c r="F366">
        <v>6</v>
      </c>
      <c r="G366" t="s">
        <v>534</v>
      </c>
      <c r="H366" s="154" t="s">
        <v>479</v>
      </c>
      <c r="I366" s="154" t="s">
        <v>479</v>
      </c>
      <c r="J366" s="154" t="s">
        <v>479</v>
      </c>
      <c r="K366" s="154" t="s">
        <v>479</v>
      </c>
      <c r="L366" s="154" t="s">
        <v>479</v>
      </c>
      <c r="M366" s="154" t="s">
        <v>424</v>
      </c>
      <c r="N366" s="154" t="s">
        <v>479</v>
      </c>
      <c r="O366" s="154" t="s">
        <v>479</v>
      </c>
      <c r="P366" s="154" t="s">
        <v>479</v>
      </c>
      <c r="Q366" s="154" t="s">
        <v>479</v>
      </c>
      <c r="R366" s="154" t="s">
        <v>479</v>
      </c>
      <c r="S366" s="154" t="s">
        <v>479</v>
      </c>
      <c r="T366" s="154" t="s">
        <v>479</v>
      </c>
      <c r="U366" s="154" t="s">
        <v>479</v>
      </c>
      <c r="V366" s="154" t="s">
        <v>479</v>
      </c>
      <c r="W366" s="154" t="s">
        <v>479</v>
      </c>
      <c r="X366" s="154" t="s">
        <v>479</v>
      </c>
      <c r="Y366" s="154" t="s">
        <v>479</v>
      </c>
      <c r="Z366" s="154" t="s">
        <v>479</v>
      </c>
      <c r="AA366" s="154" t="s">
        <v>479</v>
      </c>
      <c r="AB366" s="154" t="s">
        <v>479</v>
      </c>
      <c r="AC366" s="154" t="s">
        <v>479</v>
      </c>
      <c r="AD366" s="154" t="s">
        <v>479</v>
      </c>
      <c r="AE366" s="154" t="s">
        <v>479</v>
      </c>
      <c r="AF366" s="154" t="s">
        <v>479</v>
      </c>
      <c r="AG366" s="154" t="s">
        <v>479</v>
      </c>
      <c r="AH366" s="154" t="s">
        <v>479</v>
      </c>
      <c r="AI366" s="154" t="s">
        <v>479</v>
      </c>
      <c r="AJ366" s="154" t="s">
        <v>479</v>
      </c>
      <c r="AK366" s="154" t="s">
        <v>479</v>
      </c>
      <c r="AL366" s="154" t="s">
        <v>479</v>
      </c>
      <c r="AS366">
        <v>366</v>
      </c>
    </row>
    <row r="367" spans="1:46" hidden="1" x14ac:dyDescent="0.25">
      <c r="A367">
        <v>366</v>
      </c>
      <c r="B367">
        <v>2025</v>
      </c>
      <c r="C367">
        <v>7</v>
      </c>
      <c r="D367" t="s">
        <v>263</v>
      </c>
      <c r="E367">
        <v>31</v>
      </c>
      <c r="F367">
        <v>6</v>
      </c>
      <c r="G367" t="s">
        <v>535</v>
      </c>
      <c r="H367" s="154" t="s">
        <v>480</v>
      </c>
      <c r="I367" s="154" t="s">
        <v>480</v>
      </c>
      <c r="J367" s="154" t="s">
        <v>480</v>
      </c>
      <c r="K367" s="154" t="s">
        <v>480</v>
      </c>
      <c r="L367" s="154" t="s">
        <v>480</v>
      </c>
      <c r="M367" s="154" t="s">
        <v>424</v>
      </c>
      <c r="N367" s="154" t="s">
        <v>480</v>
      </c>
      <c r="O367" s="154" t="s">
        <v>480</v>
      </c>
      <c r="P367" s="154" t="s">
        <v>480</v>
      </c>
      <c r="Q367" s="154" t="s">
        <v>480</v>
      </c>
      <c r="R367" s="154" t="s">
        <v>480</v>
      </c>
      <c r="S367" s="154" t="s">
        <v>480</v>
      </c>
      <c r="T367" s="154" t="s">
        <v>480</v>
      </c>
      <c r="U367" s="154" t="s">
        <v>480</v>
      </c>
      <c r="V367" s="154" t="s">
        <v>480</v>
      </c>
      <c r="W367" s="154" t="s">
        <v>480</v>
      </c>
      <c r="X367" s="154" t="s">
        <v>480</v>
      </c>
      <c r="Y367" s="154" t="s">
        <v>480</v>
      </c>
      <c r="Z367" s="154" t="s">
        <v>480</v>
      </c>
      <c r="AA367" s="154" t="s">
        <v>480</v>
      </c>
      <c r="AB367" s="154" t="s">
        <v>480</v>
      </c>
      <c r="AC367" s="154" t="s">
        <v>480</v>
      </c>
      <c r="AD367" s="154" t="s">
        <v>480</v>
      </c>
      <c r="AE367" s="154" t="s">
        <v>480</v>
      </c>
      <c r="AF367" s="154" t="s">
        <v>480</v>
      </c>
      <c r="AG367" s="154" t="s">
        <v>480</v>
      </c>
      <c r="AH367" s="154" t="s">
        <v>480</v>
      </c>
      <c r="AI367" s="154" t="s">
        <v>480</v>
      </c>
      <c r="AJ367" s="154" t="s">
        <v>480</v>
      </c>
      <c r="AK367" s="154" t="s">
        <v>480</v>
      </c>
      <c r="AL367" s="154" t="s">
        <v>480</v>
      </c>
      <c r="AM367" cm="1">
        <f t="array" ref="AM367">SUM(_xlfn.LET(_xlpm.r,((IFERROR(H367:AL367-H366:AL366,0))*24)/10,IF(_xlpm.r&gt;1,1,_xlpm.r)))</f>
        <v>30</v>
      </c>
      <c r="AO367" cm="1">
        <f t="array" ref="AO367">SUM(IFERROR(MOD((H367:AL367-H366:AL366)*24,11),""))</f>
        <v>0</v>
      </c>
      <c r="AS367">
        <v>367</v>
      </c>
    </row>
    <row r="368" spans="1:46" hidden="1" x14ac:dyDescent="0.25">
      <c r="A368">
        <v>367</v>
      </c>
      <c r="B368">
        <v>2025</v>
      </c>
      <c r="C368">
        <v>7</v>
      </c>
      <c r="D368" t="s">
        <v>260</v>
      </c>
      <c r="E368">
        <v>31</v>
      </c>
      <c r="F368">
        <v>6</v>
      </c>
      <c r="G368" t="s">
        <v>536</v>
      </c>
      <c r="H368" s="154">
        <v>794490</v>
      </c>
      <c r="I368" s="154">
        <v>794641</v>
      </c>
      <c r="J368" s="154">
        <v>794914</v>
      </c>
      <c r="K368" s="154">
        <v>795079</v>
      </c>
      <c r="L368" s="154">
        <v>795229</v>
      </c>
      <c r="M368" s="154">
        <v>795388</v>
      </c>
      <c r="N368" s="154">
        <v>795403</v>
      </c>
      <c r="O368" s="154">
        <v>795552</v>
      </c>
      <c r="P368" s="154">
        <v>795706</v>
      </c>
      <c r="Q368" s="154">
        <v>795905</v>
      </c>
      <c r="R368" s="154">
        <v>796058</v>
      </c>
      <c r="S368" s="154">
        <v>796205</v>
      </c>
      <c r="T368" s="154" t="s">
        <v>424</v>
      </c>
      <c r="U368" s="154">
        <v>796824</v>
      </c>
      <c r="V368" s="154">
        <v>796974</v>
      </c>
      <c r="W368" s="154">
        <v>797178</v>
      </c>
      <c r="X368" s="154">
        <v>797329</v>
      </c>
      <c r="Y368" s="154">
        <v>797487</v>
      </c>
      <c r="Z368" s="154">
        <v>797687</v>
      </c>
      <c r="AA368" s="154" t="s">
        <v>424</v>
      </c>
      <c r="AB368" s="154">
        <v>797871</v>
      </c>
      <c r="AC368" s="154">
        <v>798022</v>
      </c>
      <c r="AD368" s="154">
        <v>798179</v>
      </c>
      <c r="AE368" s="154">
        <v>798347</v>
      </c>
      <c r="AF368" s="154">
        <v>798512</v>
      </c>
      <c r="AG368" s="154">
        <v>798668</v>
      </c>
      <c r="AH368" s="154">
        <v>798819</v>
      </c>
      <c r="AI368" s="154">
        <v>798949</v>
      </c>
      <c r="AJ368" s="154">
        <v>799101</v>
      </c>
      <c r="AK368" s="154">
        <v>799260</v>
      </c>
      <c r="AL368" s="154">
        <v>799410</v>
      </c>
      <c r="AS368">
        <v>368</v>
      </c>
    </row>
    <row r="369" spans="1:46" hidden="1" x14ac:dyDescent="0.25">
      <c r="A369">
        <v>368</v>
      </c>
      <c r="B369">
        <v>2025</v>
      </c>
      <c r="C369">
        <v>7</v>
      </c>
      <c r="D369" t="s">
        <v>260</v>
      </c>
      <c r="E369">
        <v>31</v>
      </c>
      <c r="F369">
        <v>6</v>
      </c>
      <c r="G369" t="s">
        <v>537</v>
      </c>
      <c r="H369" s="154">
        <v>794641</v>
      </c>
      <c r="I369" s="154">
        <v>794914</v>
      </c>
      <c r="J369" s="154">
        <v>795079</v>
      </c>
      <c r="K369" s="154">
        <v>795229</v>
      </c>
      <c r="L369" s="154">
        <v>795388</v>
      </c>
      <c r="M369" s="154">
        <v>795403</v>
      </c>
      <c r="N369" s="154">
        <v>795552</v>
      </c>
      <c r="O369" s="154">
        <v>795706</v>
      </c>
      <c r="P369" s="154">
        <v>795905</v>
      </c>
      <c r="Q369" s="154">
        <v>796058</v>
      </c>
      <c r="R369" s="154">
        <v>796205</v>
      </c>
      <c r="S369" s="154">
        <v>796416</v>
      </c>
      <c r="T369" s="154" t="s">
        <v>424</v>
      </c>
      <c r="U369" s="154">
        <v>796974</v>
      </c>
      <c r="V369" s="154">
        <v>797178</v>
      </c>
      <c r="W369" s="154">
        <v>797239</v>
      </c>
      <c r="X369" s="154">
        <v>797487</v>
      </c>
      <c r="Y369" s="154">
        <v>797687</v>
      </c>
      <c r="Z369" s="154">
        <v>797871</v>
      </c>
      <c r="AA369" s="154" t="s">
        <v>424</v>
      </c>
      <c r="AB369" s="154">
        <v>798022</v>
      </c>
      <c r="AC369" s="154">
        <v>798179</v>
      </c>
      <c r="AD369" s="154">
        <v>798347</v>
      </c>
      <c r="AE369" s="154">
        <v>798512</v>
      </c>
      <c r="AF369" s="154">
        <v>798668</v>
      </c>
      <c r="AG369" s="154">
        <v>798819</v>
      </c>
      <c r="AH369" s="154">
        <v>798949</v>
      </c>
      <c r="AI369" s="154">
        <v>799101</v>
      </c>
      <c r="AJ369" s="154">
        <v>799260</v>
      </c>
      <c r="AK369" s="154">
        <v>799410</v>
      </c>
      <c r="AL369" s="154">
        <v>799558</v>
      </c>
      <c r="AP369" cm="1">
        <f t="array" ref="AP369">IF(AQ369="","",SUM(IFERROR(H369:AL369-H368:AL368,0))*AQ369/100)</f>
        <v>822.6</v>
      </c>
      <c r="AQ369">
        <f>_xlfn.XLOOKUP(D369,log_prices!M:M,log_prices!L:L,,0)</f>
        <v>18</v>
      </c>
      <c r="AS369">
        <v>369</v>
      </c>
      <c r="AT369" cm="1">
        <f t="array" ref="AT369">IF(AQ369="","",SUM(IFERROR(H369:AL369-H368:AL368,0)))</f>
        <v>4570</v>
      </c>
    </row>
    <row r="370" spans="1:46" hidden="1" x14ac:dyDescent="0.25">
      <c r="A370">
        <v>369</v>
      </c>
      <c r="B370">
        <v>2025</v>
      </c>
      <c r="C370">
        <v>7</v>
      </c>
      <c r="D370" t="s">
        <v>260</v>
      </c>
      <c r="E370">
        <v>31</v>
      </c>
      <c r="F370">
        <v>6</v>
      </c>
      <c r="G370" t="s">
        <v>534</v>
      </c>
      <c r="H370" s="154" t="s">
        <v>486</v>
      </c>
      <c r="I370" s="154" t="s">
        <v>486</v>
      </c>
      <c r="J370" s="154" t="s">
        <v>486</v>
      </c>
      <c r="K370" s="154" t="s">
        <v>486</v>
      </c>
      <c r="L370" s="154" t="s">
        <v>486</v>
      </c>
      <c r="M370" s="154" t="s">
        <v>486</v>
      </c>
      <c r="N370" s="154" t="s">
        <v>486</v>
      </c>
      <c r="O370" s="154" t="s">
        <v>486</v>
      </c>
      <c r="P370" s="154" t="s">
        <v>486</v>
      </c>
      <c r="Q370" s="154" t="s">
        <v>486</v>
      </c>
      <c r="R370" s="154" t="s">
        <v>486</v>
      </c>
      <c r="S370" s="154" t="s">
        <v>486</v>
      </c>
      <c r="T370" s="154" t="s">
        <v>424</v>
      </c>
      <c r="U370" s="154" t="s">
        <v>486</v>
      </c>
      <c r="V370" s="154" t="s">
        <v>486</v>
      </c>
      <c r="W370" s="154" t="s">
        <v>486</v>
      </c>
      <c r="X370" s="154" t="s">
        <v>486</v>
      </c>
      <c r="Y370" s="154" t="s">
        <v>486</v>
      </c>
      <c r="Z370" s="154" t="s">
        <v>486</v>
      </c>
      <c r="AA370" s="154" t="s">
        <v>486</v>
      </c>
      <c r="AB370" s="154" t="s">
        <v>486</v>
      </c>
      <c r="AC370" s="154" t="s">
        <v>486</v>
      </c>
      <c r="AD370" s="154" t="s">
        <v>486</v>
      </c>
      <c r="AE370" s="154" t="s">
        <v>486</v>
      </c>
      <c r="AF370" s="154" t="s">
        <v>486</v>
      </c>
      <c r="AG370" s="154" t="s">
        <v>486</v>
      </c>
      <c r="AH370" s="154" t="s">
        <v>486</v>
      </c>
      <c r="AI370" s="154" t="s">
        <v>486</v>
      </c>
      <c r="AJ370" s="154" t="s">
        <v>486</v>
      </c>
      <c r="AK370" s="154" t="s">
        <v>486</v>
      </c>
      <c r="AL370" s="154" t="s">
        <v>486</v>
      </c>
      <c r="AS370">
        <v>370</v>
      </c>
    </row>
    <row r="371" spans="1:46" hidden="1" x14ac:dyDescent="0.25">
      <c r="A371">
        <v>370</v>
      </c>
      <c r="B371">
        <v>2025</v>
      </c>
      <c r="C371">
        <v>7</v>
      </c>
      <c r="D371" t="s">
        <v>260</v>
      </c>
      <c r="E371">
        <v>31</v>
      </c>
      <c r="F371">
        <v>6</v>
      </c>
      <c r="G371" t="s">
        <v>535</v>
      </c>
      <c r="H371" s="154">
        <v>0.66666666666666663</v>
      </c>
      <c r="I371" s="154">
        <v>0.66666666666666663</v>
      </c>
      <c r="J371" s="154">
        <v>0.66666666666666663</v>
      </c>
      <c r="K371" s="154">
        <v>0.66666666666666663</v>
      </c>
      <c r="L371" s="154">
        <v>0.66666666666666663</v>
      </c>
      <c r="M371" s="154">
        <v>0.66666666666666663</v>
      </c>
      <c r="N371" s="154">
        <v>0.66666666666666663</v>
      </c>
      <c r="O371" s="154">
        <v>0.66666666666666663</v>
      </c>
      <c r="P371" s="154">
        <v>0.66666666666666663</v>
      </c>
      <c r="Q371" s="154">
        <v>0.66666666666666663</v>
      </c>
      <c r="R371" s="154">
        <v>0.66666666666666663</v>
      </c>
      <c r="S371" s="154">
        <v>0.66666666666666663</v>
      </c>
      <c r="T371" s="154" t="s">
        <v>424</v>
      </c>
      <c r="U371" s="154">
        <v>0.66666666666666663</v>
      </c>
      <c r="V371" s="154">
        <v>0.66666666666666663</v>
      </c>
      <c r="W371" s="154">
        <v>0.66666666666666663</v>
      </c>
      <c r="X371" s="154">
        <v>0.66666666666666663</v>
      </c>
      <c r="Y371" s="154">
        <v>0.66666666666666663</v>
      </c>
      <c r="Z371" s="154">
        <v>0.66666666666666663</v>
      </c>
      <c r="AA371" s="154">
        <v>0.66666666666666663</v>
      </c>
      <c r="AB371" s="154">
        <v>0.66666666666666663</v>
      </c>
      <c r="AC371" s="154">
        <v>0.66666666666666663</v>
      </c>
      <c r="AD371" s="154">
        <v>0.66666666666666663</v>
      </c>
      <c r="AE371" s="154">
        <v>0.66666666666666663</v>
      </c>
      <c r="AF371" s="154">
        <v>0.66666666666666663</v>
      </c>
      <c r="AG371" s="154">
        <v>0.66666666666666663</v>
      </c>
      <c r="AH371" s="154">
        <v>0.66666666666666663</v>
      </c>
      <c r="AI371" s="154">
        <v>0.66666666666666663</v>
      </c>
      <c r="AJ371" s="154">
        <v>0.66666666666666663</v>
      </c>
      <c r="AK371" s="154">
        <v>0.66666666666666663</v>
      </c>
      <c r="AL371" s="154">
        <v>0.66666666666666663</v>
      </c>
      <c r="AM371" cm="1">
        <f t="array" ref="AM371">SUM(_xlfn.LET(_xlpm.r,((IFERROR(H371:AL371-H370:AL370,0))*24)/10,IF(_xlpm.r&gt;1,1,_xlpm.r)))</f>
        <v>30</v>
      </c>
      <c r="AS371">
        <v>371</v>
      </c>
    </row>
    <row r="372" spans="1:46" hidden="1" x14ac:dyDescent="0.25">
      <c r="A372">
        <v>371</v>
      </c>
      <c r="B372">
        <v>2025</v>
      </c>
      <c r="C372">
        <v>7</v>
      </c>
      <c r="D372" t="s">
        <v>272</v>
      </c>
      <c r="E372">
        <v>31</v>
      </c>
      <c r="F372">
        <v>6</v>
      </c>
      <c r="G372" t="s">
        <v>536</v>
      </c>
      <c r="H372" s="154">
        <v>274148</v>
      </c>
      <c r="I372" s="154">
        <v>274205</v>
      </c>
      <c r="J372" s="154">
        <v>274401</v>
      </c>
      <c r="K372" s="154">
        <v>274462</v>
      </c>
      <c r="L372" s="154">
        <v>274515</v>
      </c>
      <c r="M372" s="154" t="s">
        <v>424</v>
      </c>
      <c r="N372" s="154">
        <v>274703</v>
      </c>
      <c r="O372" s="154">
        <v>274868</v>
      </c>
      <c r="P372" s="154">
        <v>274980</v>
      </c>
      <c r="Q372" s="154">
        <v>275095</v>
      </c>
      <c r="R372" s="154">
        <v>275207</v>
      </c>
      <c r="S372" s="154">
        <v>275319</v>
      </c>
      <c r="T372" s="154">
        <v>275434</v>
      </c>
      <c r="U372" s="154">
        <v>275469</v>
      </c>
      <c r="V372" s="154">
        <v>275579</v>
      </c>
      <c r="W372" s="154">
        <v>275737</v>
      </c>
      <c r="X372" s="154">
        <v>275776</v>
      </c>
      <c r="Y372" s="154">
        <v>275824</v>
      </c>
      <c r="Z372" s="154">
        <v>276020</v>
      </c>
      <c r="AA372" s="154">
        <v>276035</v>
      </c>
      <c r="AB372" s="154">
        <v>276171</v>
      </c>
      <c r="AC372" s="154">
        <v>276220</v>
      </c>
      <c r="AD372" s="154">
        <v>276344</v>
      </c>
      <c r="AE372" s="154">
        <v>276481</v>
      </c>
      <c r="AF372" s="154">
        <v>276695</v>
      </c>
      <c r="AG372" s="154">
        <v>276714</v>
      </c>
      <c r="AH372" s="154">
        <v>276743</v>
      </c>
      <c r="AI372" s="154">
        <v>276764</v>
      </c>
      <c r="AJ372" s="154">
        <v>276802</v>
      </c>
      <c r="AK372" s="154">
        <v>276830</v>
      </c>
      <c r="AL372" s="154">
        <v>276933</v>
      </c>
      <c r="AS372">
        <v>372</v>
      </c>
    </row>
    <row r="373" spans="1:46" hidden="1" x14ac:dyDescent="0.25">
      <c r="A373">
        <v>372</v>
      </c>
      <c r="B373">
        <v>2025</v>
      </c>
      <c r="C373">
        <v>7</v>
      </c>
      <c r="D373" t="s">
        <v>272</v>
      </c>
      <c r="E373">
        <v>31</v>
      </c>
      <c r="F373">
        <v>6</v>
      </c>
      <c r="G373" t="s">
        <v>537</v>
      </c>
      <c r="H373" s="154">
        <v>274205</v>
      </c>
      <c r="I373" s="154">
        <v>274234</v>
      </c>
      <c r="J373" s="154">
        <v>274457</v>
      </c>
      <c r="K373" s="154">
        <v>274515</v>
      </c>
      <c r="L373" s="154">
        <v>274623</v>
      </c>
      <c r="M373" s="154" t="s">
        <v>424</v>
      </c>
      <c r="N373" s="154">
        <v>274868</v>
      </c>
      <c r="O373" s="154">
        <v>274980</v>
      </c>
      <c r="P373" s="154">
        <v>275095</v>
      </c>
      <c r="Q373" s="154">
        <v>275207</v>
      </c>
      <c r="R373" s="154">
        <v>275319</v>
      </c>
      <c r="S373" s="154">
        <v>275434</v>
      </c>
      <c r="T373" s="154">
        <v>275469</v>
      </c>
      <c r="U373" s="154">
        <v>275579</v>
      </c>
      <c r="V373" s="154">
        <v>275737</v>
      </c>
      <c r="W373" s="154">
        <v>275776</v>
      </c>
      <c r="X373" s="154">
        <v>275824</v>
      </c>
      <c r="Y373" s="154">
        <v>275856</v>
      </c>
      <c r="Z373" s="154">
        <v>276035</v>
      </c>
      <c r="AA373" s="154">
        <v>276085</v>
      </c>
      <c r="AB373" s="154">
        <v>276219</v>
      </c>
      <c r="AC373" s="154">
        <v>276344</v>
      </c>
      <c r="AD373" s="154">
        <v>276391</v>
      </c>
      <c r="AE373" s="154">
        <v>276537</v>
      </c>
      <c r="AF373" s="154">
        <v>276713</v>
      </c>
      <c r="AG373" s="154">
        <v>276743</v>
      </c>
      <c r="AH373" s="154">
        <v>276764</v>
      </c>
      <c r="AI373" s="154">
        <v>276796</v>
      </c>
      <c r="AJ373" s="154">
        <v>276830</v>
      </c>
      <c r="AK373" s="154">
        <v>276932</v>
      </c>
      <c r="AL373" s="154">
        <v>276999</v>
      </c>
      <c r="AP373" cm="1">
        <f t="array" ref="AP373">IF(AQ373="","",SUM(IFERROR(H373:AL373-H372:AL372,0))*AQ373/100)</f>
        <v>313.8</v>
      </c>
      <c r="AQ373">
        <f>_xlfn.XLOOKUP(D373,log_prices!M:M,log_prices!L:L,,0)</f>
        <v>15</v>
      </c>
      <c r="AS373">
        <v>373</v>
      </c>
      <c r="AT373" cm="1">
        <f t="array" ref="AT373">IF(AQ373="","",SUM(IFERROR(H373:AL373-H372:AL372,0)))</f>
        <v>2092</v>
      </c>
    </row>
    <row r="374" spans="1:46" hidden="1" x14ac:dyDescent="0.25">
      <c r="A374">
        <v>373</v>
      </c>
      <c r="B374">
        <v>2025</v>
      </c>
      <c r="C374">
        <v>7</v>
      </c>
      <c r="D374" t="s">
        <v>272</v>
      </c>
      <c r="E374">
        <v>31</v>
      </c>
      <c r="F374">
        <v>6</v>
      </c>
      <c r="G374" t="s">
        <v>534</v>
      </c>
      <c r="H374" s="154" t="s">
        <v>479</v>
      </c>
      <c r="I374" s="154" t="s">
        <v>479</v>
      </c>
      <c r="J374" s="154" t="s">
        <v>479</v>
      </c>
      <c r="K374" s="154" t="s">
        <v>479</v>
      </c>
      <c r="L374" s="154" t="s">
        <v>479</v>
      </c>
      <c r="M374" s="154" t="s">
        <v>424</v>
      </c>
      <c r="N374" s="154" t="s">
        <v>479</v>
      </c>
      <c r="O374" s="154" t="s">
        <v>479</v>
      </c>
      <c r="P374" s="154" t="s">
        <v>479</v>
      </c>
      <c r="Q374" s="154" t="s">
        <v>479</v>
      </c>
      <c r="R374" s="154" t="s">
        <v>479</v>
      </c>
      <c r="S374" s="154" t="s">
        <v>479</v>
      </c>
      <c r="T374" s="154" t="s">
        <v>479</v>
      </c>
      <c r="U374" s="154" t="s">
        <v>479</v>
      </c>
      <c r="V374" s="154" t="s">
        <v>479</v>
      </c>
      <c r="W374" s="154" t="s">
        <v>479</v>
      </c>
      <c r="X374" s="154" t="s">
        <v>479</v>
      </c>
      <c r="Y374" s="154" t="s">
        <v>479</v>
      </c>
      <c r="Z374" s="154" t="s">
        <v>479</v>
      </c>
      <c r="AA374" s="154" t="s">
        <v>479</v>
      </c>
      <c r="AB374" s="154" t="s">
        <v>479</v>
      </c>
      <c r="AC374" s="154" t="s">
        <v>479</v>
      </c>
      <c r="AD374" s="154" t="s">
        <v>479</v>
      </c>
      <c r="AE374" s="154" t="s">
        <v>479</v>
      </c>
      <c r="AF374" s="154" t="s">
        <v>479</v>
      </c>
      <c r="AG374" s="154" t="s">
        <v>479</v>
      </c>
      <c r="AH374" s="154" t="s">
        <v>479</v>
      </c>
      <c r="AI374" s="154" t="s">
        <v>479</v>
      </c>
      <c r="AJ374" s="154" t="s">
        <v>479</v>
      </c>
      <c r="AK374" s="154" t="s">
        <v>479</v>
      </c>
      <c r="AL374" s="154" t="s">
        <v>479</v>
      </c>
      <c r="AS374">
        <v>374</v>
      </c>
    </row>
    <row r="375" spans="1:46" hidden="1" x14ac:dyDescent="0.25">
      <c r="A375">
        <v>374</v>
      </c>
      <c r="B375">
        <v>2025</v>
      </c>
      <c r="C375">
        <v>7</v>
      </c>
      <c r="D375" t="s">
        <v>272</v>
      </c>
      <c r="E375">
        <v>31</v>
      </c>
      <c r="F375">
        <v>6</v>
      </c>
      <c r="G375" t="s">
        <v>535</v>
      </c>
      <c r="H375" s="154">
        <v>1</v>
      </c>
      <c r="I375" s="154">
        <v>0.75</v>
      </c>
      <c r="J375" s="154">
        <v>0.83333333333333326</v>
      </c>
      <c r="K375" s="154">
        <v>0.95833333333333326</v>
      </c>
      <c r="L375" s="154">
        <v>0.75</v>
      </c>
      <c r="M375" s="154" t="s">
        <v>424</v>
      </c>
      <c r="N375" s="154">
        <v>0.875</v>
      </c>
      <c r="O375" s="154">
        <v>0.75</v>
      </c>
      <c r="P375" s="154">
        <v>0.91666666666666674</v>
      </c>
      <c r="Q375" s="154">
        <v>1.0416666666666667</v>
      </c>
      <c r="R375" s="154">
        <v>0.75</v>
      </c>
      <c r="S375" s="154">
        <v>0.875</v>
      </c>
      <c r="T375" s="154">
        <v>0.75</v>
      </c>
      <c r="U375" s="154">
        <v>0.75</v>
      </c>
      <c r="V375" s="154">
        <v>0.875</v>
      </c>
      <c r="W375" s="154">
        <v>0.75</v>
      </c>
      <c r="X375" s="154">
        <v>0.83333333333333326</v>
      </c>
      <c r="Y375" s="154">
        <v>0.75</v>
      </c>
      <c r="Z375" s="154">
        <v>0.75</v>
      </c>
      <c r="AA375" s="154">
        <v>0.75</v>
      </c>
      <c r="AB375" s="154">
        <v>0.75</v>
      </c>
      <c r="AC375" s="154">
        <v>0.95833333333333326</v>
      </c>
      <c r="AD375" s="154">
        <v>0.75</v>
      </c>
      <c r="AE375" s="154">
        <v>0.75</v>
      </c>
      <c r="AF375" s="154">
        <v>0.75</v>
      </c>
      <c r="AG375" s="154">
        <v>0.75</v>
      </c>
      <c r="AH375" s="154">
        <v>0.75</v>
      </c>
      <c r="AI375" s="154">
        <v>0.875</v>
      </c>
      <c r="AJ375" s="154">
        <v>1.0416666666666667</v>
      </c>
      <c r="AK375" s="154">
        <v>0.75</v>
      </c>
      <c r="AL375" s="154">
        <v>0.75</v>
      </c>
      <c r="AM375" cm="1">
        <f t="array" ref="AM375">SUM(_xlfn.LET(_xlpm.r,((IFERROR(H375:AL375-H374:AL374,0))*24)/10,IF(_xlpm.r&gt;1,1,_xlpm.r)))</f>
        <v>30</v>
      </c>
      <c r="AO375" cm="1">
        <f t="array" ref="AO375">SUM(IFERROR((H375:AL375-H374:AL374)*24-11,""))</f>
        <v>49.999999999999986</v>
      </c>
      <c r="AS375">
        <v>375</v>
      </c>
    </row>
    <row r="376" spans="1:46" hidden="1" x14ac:dyDescent="0.25">
      <c r="A376">
        <v>375</v>
      </c>
      <c r="B376">
        <v>2025</v>
      </c>
      <c r="C376">
        <v>7</v>
      </c>
      <c r="D376" t="s">
        <v>268</v>
      </c>
      <c r="E376">
        <v>31</v>
      </c>
      <c r="F376">
        <v>6</v>
      </c>
      <c r="G376" t="s">
        <v>536</v>
      </c>
      <c r="H376" s="154">
        <v>26242</v>
      </c>
      <c r="I376" s="154">
        <v>26249</v>
      </c>
      <c r="J376" s="154">
        <v>26339</v>
      </c>
      <c r="K376" s="154">
        <v>26443</v>
      </c>
      <c r="L376" s="154">
        <v>26450</v>
      </c>
      <c r="M376" s="154">
        <v>26472</v>
      </c>
      <c r="N376" s="154">
        <v>26488</v>
      </c>
      <c r="O376" s="154">
        <v>26497</v>
      </c>
      <c r="P376" s="154">
        <v>26512</v>
      </c>
      <c r="Q376" s="154">
        <v>26532</v>
      </c>
      <c r="R376" s="154">
        <v>26589</v>
      </c>
      <c r="S376" s="154">
        <v>26603</v>
      </c>
      <c r="T376" s="154">
        <v>26614</v>
      </c>
      <c r="U376" s="154">
        <v>26618</v>
      </c>
      <c r="V376" s="154">
        <v>26625</v>
      </c>
      <c r="W376" s="154">
        <v>26636</v>
      </c>
      <c r="X376" s="154">
        <v>26723</v>
      </c>
      <c r="Y376" s="154">
        <v>26824</v>
      </c>
      <c r="Z376" s="154">
        <v>26853</v>
      </c>
      <c r="AA376" s="154">
        <v>26900</v>
      </c>
      <c r="AB376" s="154">
        <v>26964</v>
      </c>
      <c r="AC376" s="154">
        <v>26980</v>
      </c>
      <c r="AD376" s="154">
        <v>26990</v>
      </c>
      <c r="AE376" s="154">
        <v>27010</v>
      </c>
      <c r="AF376" s="154">
        <v>27019</v>
      </c>
      <c r="AG376" s="154">
        <v>27112</v>
      </c>
      <c r="AH376" s="154">
        <v>27199</v>
      </c>
      <c r="AI376" s="154">
        <v>27230</v>
      </c>
      <c r="AJ376" s="154">
        <v>27280</v>
      </c>
      <c r="AK376" s="154">
        <v>27310</v>
      </c>
      <c r="AL376" s="154">
        <v>27380</v>
      </c>
      <c r="AS376">
        <v>376</v>
      </c>
    </row>
    <row r="377" spans="1:46" hidden="1" x14ac:dyDescent="0.25">
      <c r="A377">
        <v>376</v>
      </c>
      <c r="B377">
        <v>2025</v>
      </c>
      <c r="C377">
        <v>7</v>
      </c>
      <c r="D377" t="s">
        <v>268</v>
      </c>
      <c r="E377">
        <v>31</v>
      </c>
      <c r="F377">
        <v>6</v>
      </c>
      <c r="G377" t="s">
        <v>537</v>
      </c>
      <c r="H377" s="154">
        <v>26249</v>
      </c>
      <c r="I377" s="154">
        <v>26339</v>
      </c>
      <c r="J377" s="154">
        <v>26443</v>
      </c>
      <c r="K377" s="154">
        <v>26450</v>
      </c>
      <c r="L377" s="154">
        <v>26472</v>
      </c>
      <c r="M377" s="154">
        <v>26488</v>
      </c>
      <c r="N377" s="154">
        <v>26497</v>
      </c>
      <c r="O377" s="154">
        <v>26512</v>
      </c>
      <c r="P377" s="154">
        <v>26532</v>
      </c>
      <c r="Q377" s="154">
        <v>26589</v>
      </c>
      <c r="R377" s="154">
        <v>26603</v>
      </c>
      <c r="S377" s="154">
        <v>26614</v>
      </c>
      <c r="T377" s="154">
        <v>26618</v>
      </c>
      <c r="U377" s="154">
        <v>26625</v>
      </c>
      <c r="V377" s="154">
        <v>26636</v>
      </c>
      <c r="W377" s="154">
        <v>26723</v>
      </c>
      <c r="X377" s="154">
        <v>26824</v>
      </c>
      <c r="Y377" s="154">
        <v>26853</v>
      </c>
      <c r="Z377" s="154">
        <v>26900</v>
      </c>
      <c r="AA377" s="154">
        <v>26964</v>
      </c>
      <c r="AB377" s="154">
        <v>26980</v>
      </c>
      <c r="AC377" s="154">
        <v>26990</v>
      </c>
      <c r="AD377" s="154">
        <v>27010</v>
      </c>
      <c r="AE377" s="154">
        <v>27019</v>
      </c>
      <c r="AF377" s="154">
        <v>27112</v>
      </c>
      <c r="AG377" s="154">
        <v>27199</v>
      </c>
      <c r="AH377" s="154">
        <v>27230</v>
      </c>
      <c r="AI377" s="154">
        <v>27280</v>
      </c>
      <c r="AJ377" s="154">
        <v>27310</v>
      </c>
      <c r="AK377" s="154">
        <v>27380</v>
      </c>
      <c r="AL377" s="154">
        <v>27388</v>
      </c>
      <c r="AP377">
        <f>AM379*7/100*15</f>
        <v>32.549999999999997</v>
      </c>
      <c r="AQ377">
        <f>_xlfn.XLOOKUP(D377,log_prices!M:M,log_prices!L:L,,0)</f>
        <v>15</v>
      </c>
      <c r="AR377" t="s">
        <v>447</v>
      </c>
      <c r="AS377">
        <v>377</v>
      </c>
      <c r="AT377" cm="1">
        <f t="array" ref="AT377">IF(AQ377="","",SUM(IFERROR(H377:AL377-H376:AL376,0)))</f>
        <v>1146</v>
      </c>
    </row>
    <row r="378" spans="1:46" hidden="1" x14ac:dyDescent="0.25">
      <c r="A378">
        <v>377</v>
      </c>
      <c r="B378">
        <v>2025</v>
      </c>
      <c r="C378">
        <v>7</v>
      </c>
      <c r="D378" t="s">
        <v>268</v>
      </c>
      <c r="E378">
        <v>31</v>
      </c>
      <c r="F378">
        <v>6</v>
      </c>
      <c r="G378" t="s">
        <v>534</v>
      </c>
      <c r="H378" s="154" t="s">
        <v>479</v>
      </c>
      <c r="I378" s="154" t="s">
        <v>479</v>
      </c>
      <c r="J378" s="154" t="s">
        <v>479</v>
      </c>
      <c r="K378" s="154" t="s">
        <v>479</v>
      </c>
      <c r="L378" s="154" t="s">
        <v>479</v>
      </c>
      <c r="M378" s="154" t="s">
        <v>479</v>
      </c>
      <c r="N378" s="154" t="s">
        <v>479</v>
      </c>
      <c r="O378" s="154" t="s">
        <v>479</v>
      </c>
      <c r="P378" s="154" t="s">
        <v>479</v>
      </c>
      <c r="Q378" s="154" t="s">
        <v>479</v>
      </c>
      <c r="R378" s="154" t="s">
        <v>479</v>
      </c>
      <c r="S378" s="154" t="s">
        <v>479</v>
      </c>
      <c r="T378" s="154" t="s">
        <v>479</v>
      </c>
      <c r="U378" s="154" t="s">
        <v>479</v>
      </c>
      <c r="V378" s="154" t="s">
        <v>479</v>
      </c>
      <c r="W378" s="154" t="s">
        <v>479</v>
      </c>
      <c r="X378" s="154" t="s">
        <v>479</v>
      </c>
      <c r="Y378" s="154" t="s">
        <v>479</v>
      </c>
      <c r="Z378" s="154" t="s">
        <v>479</v>
      </c>
      <c r="AA378" s="154" t="s">
        <v>479</v>
      </c>
      <c r="AB378" s="154" t="s">
        <v>479</v>
      </c>
      <c r="AC378" s="154" t="s">
        <v>479</v>
      </c>
      <c r="AD378" s="154" t="s">
        <v>479</v>
      </c>
      <c r="AE378" s="154" t="s">
        <v>479</v>
      </c>
      <c r="AF378" s="154" t="s">
        <v>479</v>
      </c>
      <c r="AG378" s="154" t="s">
        <v>479</v>
      </c>
      <c r="AH378" s="154" t="s">
        <v>479</v>
      </c>
      <c r="AI378" s="154" t="s">
        <v>479</v>
      </c>
      <c r="AJ378" s="154" t="s">
        <v>479</v>
      </c>
      <c r="AK378" s="154" t="s">
        <v>479</v>
      </c>
      <c r="AL378" s="154" t="s">
        <v>479</v>
      </c>
      <c r="AS378">
        <v>378</v>
      </c>
    </row>
    <row r="379" spans="1:46" hidden="1" x14ac:dyDescent="0.25">
      <c r="A379">
        <v>378</v>
      </c>
      <c r="B379">
        <v>2025</v>
      </c>
      <c r="C379">
        <v>7</v>
      </c>
      <c r="D379" t="s">
        <v>268</v>
      </c>
      <c r="E379">
        <v>31</v>
      </c>
      <c r="F379">
        <v>6</v>
      </c>
      <c r="G379" t="s">
        <v>535</v>
      </c>
      <c r="H379" s="154" t="s">
        <v>493</v>
      </c>
      <c r="I379" s="154" t="s">
        <v>493</v>
      </c>
      <c r="J379" s="154" t="s">
        <v>493</v>
      </c>
      <c r="K379" s="154" t="s">
        <v>493</v>
      </c>
      <c r="L379" s="154" t="s">
        <v>493</v>
      </c>
      <c r="M379" s="154" t="s">
        <v>493</v>
      </c>
      <c r="N379" s="154" t="s">
        <v>493</v>
      </c>
      <c r="O379" s="154" t="s">
        <v>493</v>
      </c>
      <c r="P379" s="154" t="s">
        <v>493</v>
      </c>
      <c r="Q379" s="154" t="s">
        <v>493</v>
      </c>
      <c r="R379" s="154" t="s">
        <v>493</v>
      </c>
      <c r="S379" s="154" t="s">
        <v>493</v>
      </c>
      <c r="T379" s="154" t="s">
        <v>493</v>
      </c>
      <c r="U379" s="154" t="s">
        <v>493</v>
      </c>
      <c r="V379" s="154" t="s">
        <v>493</v>
      </c>
      <c r="W379" s="154" t="s">
        <v>493</v>
      </c>
      <c r="X379" s="154" t="s">
        <v>493</v>
      </c>
      <c r="Y379" s="154" t="s">
        <v>493</v>
      </c>
      <c r="Z379" s="154" t="s">
        <v>493</v>
      </c>
      <c r="AA379" s="154" t="s">
        <v>493</v>
      </c>
      <c r="AB379" s="154" t="s">
        <v>493</v>
      </c>
      <c r="AC379" s="154" t="s">
        <v>493</v>
      </c>
      <c r="AD379" s="154" t="s">
        <v>493</v>
      </c>
      <c r="AE379" s="154" t="s">
        <v>493</v>
      </c>
      <c r="AF379" s="154" t="s">
        <v>493</v>
      </c>
      <c r="AG379" s="154" t="s">
        <v>493</v>
      </c>
      <c r="AH379" s="154" t="s">
        <v>493</v>
      </c>
      <c r="AI379" s="154" t="s">
        <v>493</v>
      </c>
      <c r="AJ379" s="154" t="s">
        <v>493</v>
      </c>
      <c r="AK379" s="154" t="s">
        <v>494</v>
      </c>
      <c r="AL379" s="154" t="s">
        <v>480</v>
      </c>
      <c r="AM379" cm="1">
        <f t="array" ref="AM379">SUM(_xlfn.LET(_xlpm.r,((IFERROR(H379:AL379-H378:AL378,0))*24)/10,IF(_xlpm.r&gt;1,1,_xlpm.r)))</f>
        <v>31</v>
      </c>
      <c r="AO379" cm="1">
        <f t="array" ref="AO379">SUM(IFERROR(MOD((H379:AL379-H378:AL378)*24,11),""))</f>
        <v>61.000000000000014</v>
      </c>
      <c r="AS379">
        <v>379</v>
      </c>
    </row>
    <row r="380" spans="1:46" hidden="1" x14ac:dyDescent="0.25">
      <c r="A380">
        <v>379</v>
      </c>
      <c r="B380">
        <v>2025</v>
      </c>
      <c r="C380">
        <v>7</v>
      </c>
      <c r="D380" t="s">
        <v>267</v>
      </c>
      <c r="E380">
        <v>31</v>
      </c>
      <c r="F380">
        <v>6</v>
      </c>
      <c r="G380" t="s">
        <v>536</v>
      </c>
      <c r="H380" s="154">
        <v>322290</v>
      </c>
      <c r="I380" s="154">
        <v>322490</v>
      </c>
      <c r="J380" s="154">
        <v>322647</v>
      </c>
      <c r="K380" s="154">
        <v>322880</v>
      </c>
      <c r="L380" s="154">
        <v>323042</v>
      </c>
      <c r="M380" s="154">
        <v>323142</v>
      </c>
      <c r="N380" s="154">
        <v>323152</v>
      </c>
      <c r="O380" s="154">
        <v>323316</v>
      </c>
      <c r="P380" s="154">
        <v>323503</v>
      </c>
      <c r="Q380" s="154">
        <v>323678</v>
      </c>
      <c r="R380" s="154">
        <v>323862</v>
      </c>
      <c r="S380" s="154">
        <v>324038</v>
      </c>
      <c r="T380" s="154">
        <v>324194</v>
      </c>
      <c r="U380" s="154">
        <v>324361</v>
      </c>
      <c r="V380" s="154">
        <v>324523</v>
      </c>
      <c r="W380" s="154">
        <v>324721</v>
      </c>
      <c r="X380" s="154">
        <v>324906</v>
      </c>
      <c r="Y380" s="154">
        <v>325163</v>
      </c>
      <c r="Z380" s="154">
        <v>325333</v>
      </c>
      <c r="AA380" s="154">
        <v>325492</v>
      </c>
      <c r="AB380" s="154">
        <v>325719</v>
      </c>
      <c r="AC380" s="154">
        <v>325909</v>
      </c>
      <c r="AD380" s="154">
        <v>326080</v>
      </c>
      <c r="AE380" s="154">
        <v>326241</v>
      </c>
      <c r="AF380" s="154">
        <v>326404</v>
      </c>
      <c r="AG380" s="154">
        <v>326590</v>
      </c>
      <c r="AH380" s="154">
        <v>326753</v>
      </c>
      <c r="AI380" s="154">
        <v>326992</v>
      </c>
      <c r="AJ380" s="154">
        <v>327215</v>
      </c>
      <c r="AK380" s="154">
        <v>327413</v>
      </c>
      <c r="AL380" s="154">
        <v>327582</v>
      </c>
      <c r="AS380">
        <v>380</v>
      </c>
    </row>
    <row r="381" spans="1:46" hidden="1" x14ac:dyDescent="0.25">
      <c r="A381">
        <v>380</v>
      </c>
      <c r="B381">
        <v>2025</v>
      </c>
      <c r="C381">
        <v>7</v>
      </c>
      <c r="D381" t="s">
        <v>267</v>
      </c>
      <c r="E381">
        <v>31</v>
      </c>
      <c r="F381">
        <v>6</v>
      </c>
      <c r="G381" t="s">
        <v>537</v>
      </c>
      <c r="H381" s="154">
        <v>322490</v>
      </c>
      <c r="I381" s="154">
        <v>322647</v>
      </c>
      <c r="J381" s="154">
        <v>322880</v>
      </c>
      <c r="K381" s="154">
        <v>323042</v>
      </c>
      <c r="L381" s="154">
        <v>323142</v>
      </c>
      <c r="M381" s="154">
        <v>323152</v>
      </c>
      <c r="N381" s="154">
        <v>323316</v>
      </c>
      <c r="O381" s="154">
        <v>323503</v>
      </c>
      <c r="P381" s="154">
        <v>323678</v>
      </c>
      <c r="Q381" s="154">
        <v>323862</v>
      </c>
      <c r="R381" s="154">
        <v>324038</v>
      </c>
      <c r="S381" s="154">
        <v>324194</v>
      </c>
      <c r="T381" s="154">
        <v>324361</v>
      </c>
      <c r="U381" s="154">
        <v>324523</v>
      </c>
      <c r="V381" s="154">
        <v>324721</v>
      </c>
      <c r="W381" s="154">
        <v>324906</v>
      </c>
      <c r="X381" s="154">
        <v>325163</v>
      </c>
      <c r="Y381" s="154">
        <v>325333</v>
      </c>
      <c r="Z381" s="154">
        <v>325492</v>
      </c>
      <c r="AA381" s="154">
        <v>325719</v>
      </c>
      <c r="AB381" s="154">
        <v>325909</v>
      </c>
      <c r="AC381" s="154">
        <v>326080</v>
      </c>
      <c r="AD381" s="154">
        <v>326241</v>
      </c>
      <c r="AE381" s="154">
        <v>326404</v>
      </c>
      <c r="AF381" s="154">
        <v>326590</v>
      </c>
      <c r="AG381" s="154">
        <v>326753</v>
      </c>
      <c r="AH381" s="154">
        <v>326992</v>
      </c>
      <c r="AI381" s="154">
        <v>327215</v>
      </c>
      <c r="AJ381" s="154">
        <v>327413</v>
      </c>
      <c r="AK381" s="154">
        <v>327582</v>
      </c>
      <c r="AL381" s="154">
        <v>327747</v>
      </c>
      <c r="AP381" cm="1">
        <f t="array" ref="AP381">IF(AQ381="","",SUM(IFERROR(H381:AL381-H380:AL380,0))*AQ381/100)-AM383*4</f>
        <v>694.55</v>
      </c>
      <c r="AQ381">
        <f>_xlfn.XLOOKUP(D381,log_prices!M:M,log_prices!L:L,,0)</f>
        <v>15</v>
      </c>
      <c r="AS381">
        <v>381</v>
      </c>
      <c r="AT381" cm="1">
        <f t="array" ref="AT381">IF(AQ381="","",SUM(IFERROR(H381:AL381-H380:AL380,0)))</f>
        <v>5457</v>
      </c>
    </row>
    <row r="382" spans="1:46" hidden="1" x14ac:dyDescent="0.25">
      <c r="A382">
        <v>381</v>
      </c>
      <c r="B382">
        <v>2025</v>
      </c>
      <c r="C382">
        <v>7</v>
      </c>
      <c r="D382" t="s">
        <v>267</v>
      </c>
      <c r="E382">
        <v>31</v>
      </c>
      <c r="F382">
        <v>6</v>
      </c>
      <c r="G382" t="s">
        <v>534</v>
      </c>
      <c r="H382" s="154" t="s">
        <v>479</v>
      </c>
      <c r="I382" s="154" t="s">
        <v>479</v>
      </c>
      <c r="J382" s="154" t="s">
        <v>479</v>
      </c>
      <c r="K382" s="154" t="s">
        <v>479</v>
      </c>
      <c r="L382" s="154" t="s">
        <v>479</v>
      </c>
      <c r="M382" s="154" t="s">
        <v>479</v>
      </c>
      <c r="N382" s="154" t="s">
        <v>479</v>
      </c>
      <c r="O382" s="154" t="s">
        <v>479</v>
      </c>
      <c r="P382" s="154" t="s">
        <v>479</v>
      </c>
      <c r="Q382" s="154" t="s">
        <v>479</v>
      </c>
      <c r="R382" s="154" t="s">
        <v>479</v>
      </c>
      <c r="S382" s="154" t="s">
        <v>479</v>
      </c>
      <c r="T382" s="154" t="s">
        <v>479</v>
      </c>
      <c r="U382" s="154" t="s">
        <v>479</v>
      </c>
      <c r="V382" s="154" t="s">
        <v>479</v>
      </c>
      <c r="W382" s="154" t="s">
        <v>479</v>
      </c>
      <c r="X382" s="154" t="s">
        <v>479</v>
      </c>
      <c r="Y382" s="154" t="s">
        <v>479</v>
      </c>
      <c r="Z382" s="154" t="s">
        <v>479</v>
      </c>
      <c r="AA382" s="154" t="s">
        <v>479</v>
      </c>
      <c r="AB382" s="154" t="s">
        <v>479</v>
      </c>
      <c r="AC382" s="154" t="s">
        <v>479</v>
      </c>
      <c r="AD382" s="154" t="s">
        <v>479</v>
      </c>
      <c r="AE382" s="154" t="s">
        <v>479</v>
      </c>
      <c r="AF382" s="154" t="s">
        <v>479</v>
      </c>
      <c r="AG382" s="154" t="s">
        <v>479</v>
      </c>
      <c r="AH382" s="154" t="s">
        <v>479</v>
      </c>
      <c r="AI382" s="154" t="s">
        <v>479</v>
      </c>
      <c r="AJ382" s="154" t="s">
        <v>479</v>
      </c>
      <c r="AK382" s="154" t="s">
        <v>479</v>
      </c>
      <c r="AL382" s="154" t="s">
        <v>479</v>
      </c>
      <c r="AS382">
        <v>382</v>
      </c>
    </row>
    <row r="383" spans="1:46" hidden="1" x14ac:dyDescent="0.25">
      <c r="A383">
        <v>382</v>
      </c>
      <c r="B383">
        <v>2025</v>
      </c>
      <c r="C383">
        <v>7</v>
      </c>
      <c r="D383" t="s">
        <v>267</v>
      </c>
      <c r="E383">
        <v>31</v>
      </c>
      <c r="F383">
        <v>6</v>
      </c>
      <c r="G383" t="s">
        <v>535</v>
      </c>
      <c r="H383" s="154">
        <v>0.83333333333333326</v>
      </c>
      <c r="I383" s="154">
        <v>0.83333333333333326</v>
      </c>
      <c r="J383" s="154">
        <v>0.83333333333333326</v>
      </c>
      <c r="K383" s="154">
        <v>0.83333333333333326</v>
      </c>
      <c r="L383" s="154">
        <v>0.83333333333333326</v>
      </c>
      <c r="M383" s="154">
        <v>0.83333333333333326</v>
      </c>
      <c r="N383" s="154">
        <v>1.1666666666666667</v>
      </c>
      <c r="O383" s="154">
        <v>0.83333333333333326</v>
      </c>
      <c r="P383" s="154">
        <v>0.83333333333333326</v>
      </c>
      <c r="Q383" s="154">
        <v>0.83333333333333326</v>
      </c>
      <c r="R383" s="154">
        <v>0.875</v>
      </c>
      <c r="S383" s="154">
        <v>0.83333333333333326</v>
      </c>
      <c r="T383" s="154">
        <v>0.83333333333333326</v>
      </c>
      <c r="U383" s="154">
        <v>0.83333333333333326</v>
      </c>
      <c r="V383" s="154">
        <v>0.875</v>
      </c>
      <c r="W383" s="154">
        <v>0.83333333333333326</v>
      </c>
      <c r="X383" s="154">
        <v>0.83333333333333326</v>
      </c>
      <c r="Y383" s="154">
        <v>0.83333333333333326</v>
      </c>
      <c r="Z383" s="154">
        <v>0.83333333333333326</v>
      </c>
      <c r="AA383" s="154">
        <v>0.83333333333333326</v>
      </c>
      <c r="AB383" s="154">
        <v>0.83333333333333326</v>
      </c>
      <c r="AC383" s="154">
        <v>0.83333333333333326</v>
      </c>
      <c r="AD383" s="154">
        <v>0.83333333333333326</v>
      </c>
      <c r="AE383" s="154">
        <v>0.83333333333333326</v>
      </c>
      <c r="AF383" s="154">
        <v>0.83333333333333326</v>
      </c>
      <c r="AG383" s="154">
        <v>0.83333333333333326</v>
      </c>
      <c r="AH383" s="154">
        <v>0.83333333333333326</v>
      </c>
      <c r="AI383" s="154">
        <v>0.83333333333333326</v>
      </c>
      <c r="AJ383" s="154">
        <v>0.83333333333333326</v>
      </c>
      <c r="AK383" s="154">
        <v>0.83333333333333326</v>
      </c>
      <c r="AL383" s="154">
        <v>0.83333333333333326</v>
      </c>
      <c r="AM383" cm="1">
        <f t="array" ref="AM383">SUM(_xlfn.LET(_xlpm.r,((IFERROR(H383:AL383-H382:AL382,0))*24)/10,IF(_xlpm.r&gt;1,1,_xlpm.r)))</f>
        <v>31</v>
      </c>
      <c r="AO383" cm="1">
        <f t="array" ref="AO383">SUM(IFERROR(MOD((H383:AL383-H382:AL382)*24,11),""))</f>
        <v>71.999999999999957</v>
      </c>
      <c r="AS383">
        <v>383</v>
      </c>
    </row>
    <row r="384" spans="1:46" hidden="1" x14ac:dyDescent="0.25">
      <c r="A384">
        <v>383</v>
      </c>
      <c r="B384">
        <v>2025</v>
      </c>
      <c r="C384">
        <v>7</v>
      </c>
      <c r="D384" t="s">
        <v>255</v>
      </c>
      <c r="E384">
        <v>31</v>
      </c>
      <c r="F384">
        <v>6</v>
      </c>
      <c r="G384" t="s">
        <v>534</v>
      </c>
      <c r="H384" s="154" t="s">
        <v>479</v>
      </c>
      <c r="I384" s="154" t="s">
        <v>479</v>
      </c>
      <c r="J384" s="154" t="s">
        <v>479</v>
      </c>
      <c r="K384" s="154" t="s">
        <v>479</v>
      </c>
      <c r="L384" s="154" t="s">
        <v>479</v>
      </c>
      <c r="M384" s="154" t="s">
        <v>479</v>
      </c>
      <c r="N384" s="154" t="s">
        <v>479</v>
      </c>
      <c r="O384" s="154" t="s">
        <v>479</v>
      </c>
      <c r="P384" s="154" t="s">
        <v>479</v>
      </c>
      <c r="Q384" s="154" t="s">
        <v>479</v>
      </c>
      <c r="R384" s="154" t="s">
        <v>479</v>
      </c>
      <c r="S384" s="154" t="s">
        <v>479</v>
      </c>
      <c r="T384" s="154" t="s">
        <v>479</v>
      </c>
      <c r="U384" s="154" t="s">
        <v>479</v>
      </c>
      <c r="V384" s="154" t="s">
        <v>479</v>
      </c>
      <c r="W384" s="154" t="s">
        <v>479</v>
      </c>
      <c r="X384" s="154" t="s">
        <v>479</v>
      </c>
      <c r="Y384" s="154" t="s">
        <v>479</v>
      </c>
      <c r="Z384" s="154" t="s">
        <v>479</v>
      </c>
      <c r="AA384" s="154" t="s">
        <v>479</v>
      </c>
      <c r="AB384" s="154" t="s">
        <v>479</v>
      </c>
      <c r="AC384" s="154" t="s">
        <v>479</v>
      </c>
      <c r="AD384" s="154" t="s">
        <v>479</v>
      </c>
      <c r="AE384" s="154" t="s">
        <v>479</v>
      </c>
      <c r="AF384" s="154" t="s">
        <v>479</v>
      </c>
      <c r="AG384" s="154" t="s">
        <v>479</v>
      </c>
      <c r="AH384" s="154" t="s">
        <v>479</v>
      </c>
      <c r="AI384" s="154" t="s">
        <v>479</v>
      </c>
      <c r="AJ384" s="154" t="s">
        <v>479</v>
      </c>
      <c r="AK384" s="154" t="s">
        <v>479</v>
      </c>
      <c r="AL384" s="154" t="s">
        <v>479</v>
      </c>
      <c r="AS384">
        <v>384</v>
      </c>
    </row>
    <row r="385" spans="1:46" hidden="1" x14ac:dyDescent="0.25">
      <c r="A385">
        <v>384</v>
      </c>
      <c r="B385">
        <v>2025</v>
      </c>
      <c r="C385">
        <v>7</v>
      </c>
      <c r="D385" t="s">
        <v>255</v>
      </c>
      <c r="E385">
        <v>31</v>
      </c>
      <c r="F385">
        <v>6</v>
      </c>
      <c r="G385" t="s">
        <v>535</v>
      </c>
      <c r="H385" s="154">
        <v>0.25</v>
      </c>
      <c r="I385" s="154">
        <v>0.25</v>
      </c>
      <c r="J385" s="154">
        <v>0.25</v>
      </c>
      <c r="K385" s="154">
        <v>0.25</v>
      </c>
      <c r="L385" s="154">
        <v>0.25</v>
      </c>
      <c r="M385" s="154">
        <v>0.25</v>
      </c>
      <c r="N385" s="154">
        <v>0.25</v>
      </c>
      <c r="O385" s="154">
        <v>0.25</v>
      </c>
      <c r="P385" s="154">
        <v>0.25</v>
      </c>
      <c r="Q385" s="154">
        <v>0.25</v>
      </c>
      <c r="R385" s="154">
        <v>0.25</v>
      </c>
      <c r="S385" s="154">
        <v>0.25</v>
      </c>
      <c r="T385" s="154">
        <v>0.25</v>
      </c>
      <c r="U385" s="154">
        <v>0.25</v>
      </c>
      <c r="V385" s="154">
        <v>0.25</v>
      </c>
      <c r="W385" s="154">
        <v>0.25</v>
      </c>
      <c r="X385" s="154">
        <v>0.25</v>
      </c>
      <c r="Y385" s="154">
        <v>0.25</v>
      </c>
      <c r="Z385" s="154">
        <v>0.25</v>
      </c>
      <c r="AA385" s="154">
        <v>0.25</v>
      </c>
      <c r="AB385" s="154">
        <v>0.25</v>
      </c>
      <c r="AC385" s="154">
        <v>0.25</v>
      </c>
      <c r="AD385" s="154">
        <v>0.25</v>
      </c>
      <c r="AE385" s="154">
        <v>0.25</v>
      </c>
      <c r="AF385" s="154">
        <v>0.25</v>
      </c>
      <c r="AG385" s="154">
        <v>0.25</v>
      </c>
      <c r="AH385" s="154">
        <v>0.25</v>
      </c>
      <c r="AI385" s="154">
        <v>0.25</v>
      </c>
      <c r="AJ385" s="154">
        <v>0.25</v>
      </c>
      <c r="AK385" s="154">
        <v>0.25</v>
      </c>
      <c r="AL385" s="154">
        <v>0.25</v>
      </c>
      <c r="AM385" cm="1">
        <f t="array" ref="AM385">_xlfn.LET(_xlpm.r,IFERROR((H385:AL385-H384:AL384)*24,""),SUM(IF(_xlpm.r="",0,IF(_xlpm.r=-1,0,1))))</f>
        <v>0</v>
      </c>
      <c r="AN385" cm="1">
        <f t="array" ref="AN385">_xlfn.LET(_xlpm.r,IFERROR((H385:AL385-H384:AL384)*24,""),SUM(IF(_xlpm.r="",0,IF(_xlpm.r=-1,1,0))))</f>
        <v>31</v>
      </c>
      <c r="AO385" cm="1">
        <f t="array" ref="AO385">_xlfn.LET(_xlpm.r,SUM(IFERROR(MOD((H385:AL385-H384:AL384)*24,11),"")),_xlpm.r-AN385*10)</f>
        <v>0</v>
      </c>
      <c r="AS385">
        <v>385</v>
      </c>
    </row>
    <row r="386" spans="1:46" hidden="1" x14ac:dyDescent="0.25">
      <c r="A386">
        <v>385</v>
      </c>
      <c r="B386">
        <v>2025</v>
      </c>
      <c r="C386">
        <v>7</v>
      </c>
      <c r="D386" t="s">
        <v>255</v>
      </c>
      <c r="E386">
        <v>31</v>
      </c>
      <c r="F386">
        <v>6</v>
      </c>
      <c r="G386" t="s">
        <v>536</v>
      </c>
      <c r="H386" s="154">
        <v>265679</v>
      </c>
      <c r="I386" s="154">
        <v>265790</v>
      </c>
      <c r="J386" s="154">
        <v>265902</v>
      </c>
      <c r="K386" s="154">
        <v>265957</v>
      </c>
      <c r="L386" s="154">
        <v>266023</v>
      </c>
      <c r="M386" s="154">
        <v>266131</v>
      </c>
      <c r="N386" s="154">
        <v>266282</v>
      </c>
      <c r="O386" s="154">
        <v>266394</v>
      </c>
      <c r="P386" s="154">
        <v>266491</v>
      </c>
      <c r="Q386" s="154">
        <v>266560</v>
      </c>
      <c r="R386" s="154">
        <v>266709</v>
      </c>
      <c r="S386" s="154">
        <v>266830</v>
      </c>
      <c r="T386" s="154">
        <v>266962</v>
      </c>
      <c r="U386" s="154">
        <v>267077</v>
      </c>
      <c r="V386" s="154">
        <v>267218</v>
      </c>
      <c r="W386" s="154">
        <v>267330</v>
      </c>
      <c r="X386" s="154">
        <v>267437</v>
      </c>
      <c r="Y386" s="154">
        <v>267507</v>
      </c>
      <c r="Z386" s="154">
        <v>267597</v>
      </c>
      <c r="AA386" s="154">
        <v>267700</v>
      </c>
      <c r="AB386" s="154">
        <v>267827</v>
      </c>
      <c r="AC386" s="154">
        <v>267998</v>
      </c>
      <c r="AD386" s="154">
        <v>268073</v>
      </c>
      <c r="AE386" s="154">
        <v>268198</v>
      </c>
      <c r="AF386" s="154">
        <v>268281</v>
      </c>
      <c r="AG386" s="154">
        <v>268367</v>
      </c>
      <c r="AH386" s="154">
        <v>268453</v>
      </c>
      <c r="AI386" s="154">
        <v>268489</v>
      </c>
      <c r="AJ386" s="154">
        <v>268550</v>
      </c>
      <c r="AK386" s="154">
        <v>268628</v>
      </c>
      <c r="AL386" s="154">
        <v>268688</v>
      </c>
      <c r="AS386">
        <v>386</v>
      </c>
    </row>
    <row r="387" spans="1:46" hidden="1" x14ac:dyDescent="0.25">
      <c r="A387">
        <v>386</v>
      </c>
      <c r="B387">
        <v>2025</v>
      </c>
      <c r="C387">
        <v>7</v>
      </c>
      <c r="D387" t="s">
        <v>255</v>
      </c>
      <c r="E387">
        <v>31</v>
      </c>
      <c r="F387">
        <v>6</v>
      </c>
      <c r="G387" t="s">
        <v>537</v>
      </c>
      <c r="H387" s="154">
        <v>265790</v>
      </c>
      <c r="I387" s="154">
        <v>265902</v>
      </c>
      <c r="J387" s="154">
        <v>265957</v>
      </c>
      <c r="K387" s="154">
        <v>266023</v>
      </c>
      <c r="L387" s="154">
        <v>266131</v>
      </c>
      <c r="M387" s="154">
        <v>266282</v>
      </c>
      <c r="N387" s="154">
        <v>266394</v>
      </c>
      <c r="O387" s="154">
        <v>266491</v>
      </c>
      <c r="P387" s="154">
        <v>266560</v>
      </c>
      <c r="Q387" s="154">
        <v>266709</v>
      </c>
      <c r="R387" s="154">
        <v>266830</v>
      </c>
      <c r="S387" s="154">
        <v>266962</v>
      </c>
      <c r="T387" s="154">
        <v>267077</v>
      </c>
      <c r="U387" s="154">
        <v>267218</v>
      </c>
      <c r="V387" s="154">
        <v>267330</v>
      </c>
      <c r="W387" s="154">
        <v>267437</v>
      </c>
      <c r="X387" s="154">
        <v>267507</v>
      </c>
      <c r="Y387" s="154">
        <v>267597</v>
      </c>
      <c r="Z387" s="154">
        <v>267700</v>
      </c>
      <c r="AA387" s="154">
        <v>267827</v>
      </c>
      <c r="AB387" s="154">
        <v>267998</v>
      </c>
      <c r="AC387" s="154">
        <v>268073</v>
      </c>
      <c r="AD387" s="154">
        <v>268198</v>
      </c>
      <c r="AE387" s="154">
        <v>268281</v>
      </c>
      <c r="AF387" s="154">
        <v>268367</v>
      </c>
      <c r="AG387" s="154">
        <v>268453</v>
      </c>
      <c r="AH387" s="154">
        <v>268489</v>
      </c>
      <c r="AI387" s="154">
        <v>268550</v>
      </c>
      <c r="AJ387" s="154">
        <v>268628</v>
      </c>
      <c r="AK387" s="154">
        <v>268688</v>
      </c>
      <c r="AL387" s="154">
        <v>268771</v>
      </c>
      <c r="AP387" cm="1">
        <f t="array" ref="AP387">IF(AQ387="","",SUM(IFERROR(H387:AL387-H386:AL386,0))*AQ387/100)-AN385*4.4</f>
        <v>327.39999999999998</v>
      </c>
      <c r="AQ387">
        <v>15</v>
      </c>
      <c r="AS387">
        <v>387</v>
      </c>
      <c r="AT387" cm="1">
        <f t="array" ref="AT387">IF(AQ387="","",SUM(IFERROR(H387:AL387-H386:AL386,0)))</f>
        <v>3092</v>
      </c>
    </row>
    <row r="388" spans="1:46" hidden="1" x14ac:dyDescent="0.25">
      <c r="A388">
        <v>387</v>
      </c>
      <c r="B388">
        <v>2025</v>
      </c>
      <c r="C388">
        <v>8</v>
      </c>
      <c r="D388" t="s">
        <v>256</v>
      </c>
      <c r="E388">
        <v>31</v>
      </c>
      <c r="F388">
        <v>7</v>
      </c>
      <c r="G388" t="s">
        <v>534</v>
      </c>
      <c r="H388" s="154" t="s">
        <v>479</v>
      </c>
      <c r="I388" s="154" t="s">
        <v>479</v>
      </c>
      <c r="J388" s="154" t="s">
        <v>479</v>
      </c>
      <c r="K388" s="154" t="s">
        <v>479</v>
      </c>
      <c r="L388" s="154" t="s">
        <v>479</v>
      </c>
      <c r="M388" s="154" t="s">
        <v>479</v>
      </c>
      <c r="N388" s="154" t="s">
        <v>479</v>
      </c>
      <c r="O388" s="154" t="s">
        <v>479</v>
      </c>
      <c r="P388" s="154" t="s">
        <v>424</v>
      </c>
      <c r="Q388" s="154" t="s">
        <v>424</v>
      </c>
      <c r="R388" s="154" t="s">
        <v>424</v>
      </c>
      <c r="S388" s="154" t="s">
        <v>424</v>
      </c>
      <c r="T388" s="154" t="s">
        <v>424</v>
      </c>
      <c r="U388" s="154" t="s">
        <v>424</v>
      </c>
      <c r="V388" s="154" t="s">
        <v>424</v>
      </c>
      <c r="W388" s="154" t="s">
        <v>424</v>
      </c>
      <c r="X388" s="154" t="s">
        <v>424</v>
      </c>
      <c r="Y388" s="154" t="s">
        <v>424</v>
      </c>
      <c r="Z388" s="154" t="s">
        <v>424</v>
      </c>
      <c r="AA388" s="154" t="s">
        <v>424</v>
      </c>
      <c r="AB388" s="154" t="s">
        <v>424</v>
      </c>
      <c r="AC388" s="154" t="s">
        <v>424</v>
      </c>
      <c r="AD388" s="154" t="s">
        <v>424</v>
      </c>
      <c r="AE388" s="154" t="s">
        <v>424</v>
      </c>
      <c r="AF388" s="154" t="s">
        <v>424</v>
      </c>
      <c r="AG388" s="154" t="s">
        <v>424</v>
      </c>
      <c r="AH388" s="154" t="s">
        <v>424</v>
      </c>
      <c r="AI388" s="154" t="s">
        <v>424</v>
      </c>
      <c r="AJ388" s="154" t="s">
        <v>424</v>
      </c>
      <c r="AK388" s="154" t="s">
        <v>424</v>
      </c>
      <c r="AL388" s="154" t="s">
        <v>424</v>
      </c>
      <c r="AS388">
        <v>388</v>
      </c>
    </row>
    <row r="389" spans="1:46" hidden="1" x14ac:dyDescent="0.25">
      <c r="A389">
        <v>388</v>
      </c>
      <c r="B389">
        <v>2025</v>
      </c>
      <c r="C389">
        <v>8</v>
      </c>
      <c r="D389" t="s">
        <v>256</v>
      </c>
      <c r="E389">
        <v>31</v>
      </c>
      <c r="F389">
        <v>7</v>
      </c>
      <c r="G389" t="s">
        <v>535</v>
      </c>
      <c r="H389" s="154" t="s">
        <v>493</v>
      </c>
      <c r="I389" s="154" t="s">
        <v>480</v>
      </c>
      <c r="J389" s="154" t="s">
        <v>514</v>
      </c>
      <c r="K389" s="154" t="s">
        <v>480</v>
      </c>
      <c r="L389" s="154" t="s">
        <v>480</v>
      </c>
      <c r="M389" s="154" t="s">
        <v>493</v>
      </c>
      <c r="N389" s="154" t="s">
        <v>494</v>
      </c>
      <c r="O389" s="154" t="s">
        <v>494</v>
      </c>
      <c r="P389" s="154" t="s">
        <v>424</v>
      </c>
      <c r="Q389" s="154" t="s">
        <v>424</v>
      </c>
      <c r="R389" s="154" t="s">
        <v>424</v>
      </c>
      <c r="S389" s="154" t="s">
        <v>424</v>
      </c>
      <c r="T389" s="154" t="s">
        <v>424</v>
      </c>
      <c r="U389" s="154" t="s">
        <v>424</v>
      </c>
      <c r="V389" s="154" t="s">
        <v>424</v>
      </c>
      <c r="W389" s="154" t="s">
        <v>424</v>
      </c>
      <c r="X389" s="154" t="s">
        <v>424</v>
      </c>
      <c r="Y389" s="154" t="s">
        <v>424</v>
      </c>
      <c r="Z389" s="154" t="s">
        <v>424</v>
      </c>
      <c r="AA389" s="154" t="s">
        <v>424</v>
      </c>
      <c r="AB389" s="154" t="s">
        <v>424</v>
      </c>
      <c r="AC389" s="154" t="s">
        <v>424</v>
      </c>
      <c r="AD389" s="154" t="s">
        <v>424</v>
      </c>
      <c r="AE389" s="154" t="s">
        <v>424</v>
      </c>
      <c r="AF389" s="154" t="s">
        <v>424</v>
      </c>
      <c r="AG389" s="154" t="s">
        <v>424</v>
      </c>
      <c r="AH389" s="154" t="s">
        <v>424</v>
      </c>
      <c r="AI389" s="154" t="s">
        <v>424</v>
      </c>
      <c r="AJ389" s="154" t="s">
        <v>424</v>
      </c>
      <c r="AK389" s="154" t="s">
        <v>424</v>
      </c>
      <c r="AL389" s="154" t="s">
        <v>424</v>
      </c>
      <c r="AM389" cm="1">
        <f t="array" ref="AM389">SUM(_xlfn.LET(_xlpm.r,((IFERROR(H389:AL389-H388:AL388,0))*24)/10,IF(_xlpm.r&gt;1,1,_xlpm.r)))</f>
        <v>8</v>
      </c>
      <c r="AO389" cm="1">
        <f t="array" ref="AO389">SUM(IFERROR(MOD((H389:AL389-H388:AL388)*24,11),""))</f>
        <v>11.499999999999998</v>
      </c>
      <c r="AS389">
        <v>389</v>
      </c>
    </row>
    <row r="390" spans="1:46" hidden="1" x14ac:dyDescent="0.25">
      <c r="A390">
        <v>389</v>
      </c>
      <c r="B390">
        <v>2025</v>
      </c>
      <c r="C390">
        <v>8</v>
      </c>
      <c r="D390" t="s">
        <v>256</v>
      </c>
      <c r="E390">
        <v>31</v>
      </c>
      <c r="F390">
        <v>7</v>
      </c>
      <c r="G390" t="s">
        <v>534</v>
      </c>
      <c r="H390" s="154">
        <v>44519</v>
      </c>
      <c r="I390" s="154">
        <v>44613</v>
      </c>
      <c r="J390" s="154">
        <v>44689</v>
      </c>
      <c r="K390" s="154">
        <v>44795</v>
      </c>
      <c r="L390" s="154">
        <v>44824</v>
      </c>
      <c r="M390" s="154">
        <v>44853</v>
      </c>
      <c r="N390" s="154">
        <v>44882</v>
      </c>
      <c r="O390" s="154">
        <v>44912</v>
      </c>
      <c r="P390" s="154" t="s">
        <v>424</v>
      </c>
      <c r="Q390" s="154" t="s">
        <v>424</v>
      </c>
      <c r="R390" s="154" t="s">
        <v>424</v>
      </c>
      <c r="S390" s="154" t="s">
        <v>424</v>
      </c>
      <c r="T390" s="154" t="s">
        <v>424</v>
      </c>
      <c r="U390" s="154" t="s">
        <v>424</v>
      </c>
      <c r="V390" s="154" t="s">
        <v>424</v>
      </c>
      <c r="W390" s="154" t="s">
        <v>424</v>
      </c>
      <c r="X390" s="154" t="s">
        <v>424</v>
      </c>
      <c r="Y390" s="154" t="s">
        <v>424</v>
      </c>
      <c r="Z390" s="154" t="s">
        <v>424</v>
      </c>
      <c r="AA390" s="154" t="s">
        <v>424</v>
      </c>
      <c r="AB390" s="154" t="s">
        <v>424</v>
      </c>
      <c r="AC390" s="154" t="s">
        <v>424</v>
      </c>
      <c r="AD390" s="154" t="s">
        <v>424</v>
      </c>
      <c r="AE390" s="154" t="s">
        <v>424</v>
      </c>
      <c r="AF390" s="154" t="s">
        <v>424</v>
      </c>
      <c r="AG390" s="154" t="s">
        <v>424</v>
      </c>
      <c r="AH390" s="154" t="s">
        <v>424</v>
      </c>
      <c r="AI390" s="154" t="s">
        <v>424</v>
      </c>
      <c r="AJ390" s="154" t="s">
        <v>424</v>
      </c>
      <c r="AK390" s="154" t="s">
        <v>424</v>
      </c>
      <c r="AL390" s="154" t="s">
        <v>424</v>
      </c>
      <c r="AS390">
        <v>390</v>
      </c>
    </row>
    <row r="391" spans="1:46" hidden="1" x14ac:dyDescent="0.25">
      <c r="A391">
        <v>390</v>
      </c>
      <c r="B391">
        <v>2025</v>
      </c>
      <c r="C391">
        <v>8</v>
      </c>
      <c r="D391" t="s">
        <v>256</v>
      </c>
      <c r="E391">
        <v>31</v>
      </c>
      <c r="F391">
        <v>7</v>
      </c>
      <c r="G391" t="s">
        <v>535</v>
      </c>
      <c r="H391" s="154">
        <v>44613</v>
      </c>
      <c r="I391" s="154">
        <v>44689</v>
      </c>
      <c r="J391" s="154">
        <v>44795</v>
      </c>
      <c r="K391" s="154">
        <v>44824</v>
      </c>
      <c r="L391" s="154">
        <v>44853</v>
      </c>
      <c r="M391" s="154">
        <v>44882</v>
      </c>
      <c r="N391" s="154">
        <v>44912</v>
      </c>
      <c r="O391" s="154">
        <v>44942</v>
      </c>
      <c r="P391" s="154" t="s">
        <v>424</v>
      </c>
      <c r="Q391" s="154" t="s">
        <v>424</v>
      </c>
      <c r="R391" s="154" t="s">
        <v>424</v>
      </c>
      <c r="S391" s="154" t="s">
        <v>424</v>
      </c>
      <c r="T391" s="154" t="s">
        <v>424</v>
      </c>
      <c r="U391" s="154" t="s">
        <v>424</v>
      </c>
      <c r="V391" s="154" t="s">
        <v>424</v>
      </c>
      <c r="W391" s="154" t="s">
        <v>424</v>
      </c>
      <c r="X391" s="154" t="s">
        <v>424</v>
      </c>
      <c r="Y391" s="154" t="s">
        <v>424</v>
      </c>
      <c r="Z391" s="154" t="s">
        <v>424</v>
      </c>
      <c r="AA391" s="154" t="s">
        <v>424</v>
      </c>
      <c r="AB391" s="154" t="s">
        <v>424</v>
      </c>
      <c r="AC391" s="154" t="s">
        <v>424</v>
      </c>
      <c r="AD391" s="154" t="s">
        <v>424</v>
      </c>
      <c r="AE391" s="154" t="s">
        <v>424</v>
      </c>
      <c r="AF391" s="154" t="s">
        <v>424</v>
      </c>
      <c r="AG391" s="154" t="s">
        <v>424</v>
      </c>
      <c r="AH391" s="154" t="s">
        <v>424</v>
      </c>
      <c r="AI391" s="154" t="s">
        <v>424</v>
      </c>
      <c r="AJ391" s="154" t="s">
        <v>424</v>
      </c>
      <c r="AK391" s="154" t="s">
        <v>424</v>
      </c>
      <c r="AL391" s="154" t="s">
        <v>424</v>
      </c>
      <c r="AP391" cm="1">
        <f t="array" ref="AP391">IF(AQ391="","",SUM(IFERROR(H391:AL391-H390:AL390,0))*AQ391/100)</f>
        <v>63.45</v>
      </c>
      <c r="AQ391">
        <f>_xlfn.XLOOKUP(D391,log_prices!M:M,log_prices!L:L,,0)</f>
        <v>15</v>
      </c>
      <c r="AS391">
        <v>391</v>
      </c>
      <c r="AT391" cm="1">
        <f t="array" ref="AT391">IF(AQ391="","",SUM(IFERROR(H391:AL391-H390:AL390,0)))</f>
        <v>423</v>
      </c>
    </row>
    <row r="392" spans="1:46" hidden="1" x14ac:dyDescent="0.25">
      <c r="A392">
        <v>391</v>
      </c>
      <c r="B392">
        <v>2025</v>
      </c>
      <c r="C392">
        <v>8</v>
      </c>
      <c r="D392" t="s">
        <v>259</v>
      </c>
      <c r="E392">
        <v>31</v>
      </c>
      <c r="F392">
        <v>7</v>
      </c>
      <c r="G392" t="s">
        <v>534</v>
      </c>
      <c r="H392" s="154" t="s">
        <v>424</v>
      </c>
      <c r="I392" s="154" t="s">
        <v>424</v>
      </c>
      <c r="J392" s="154" t="s">
        <v>424</v>
      </c>
      <c r="K392" s="154" t="s">
        <v>479</v>
      </c>
      <c r="L392" s="154" t="s">
        <v>479</v>
      </c>
      <c r="M392" s="154" t="s">
        <v>479</v>
      </c>
      <c r="N392" s="154" t="s">
        <v>479</v>
      </c>
      <c r="O392" s="154" t="s">
        <v>479</v>
      </c>
      <c r="P392" s="154" t="s">
        <v>479</v>
      </c>
      <c r="Q392" s="154" t="s">
        <v>424</v>
      </c>
      <c r="R392" s="154" t="s">
        <v>479</v>
      </c>
      <c r="S392" s="154" t="s">
        <v>479</v>
      </c>
      <c r="T392" s="154" t="s">
        <v>479</v>
      </c>
      <c r="U392" s="154" t="s">
        <v>479</v>
      </c>
      <c r="V392" s="154" t="s">
        <v>479</v>
      </c>
      <c r="W392" s="154" t="s">
        <v>479</v>
      </c>
      <c r="X392" s="154" t="s">
        <v>479</v>
      </c>
      <c r="Y392" s="154" t="s">
        <v>479</v>
      </c>
      <c r="Z392" s="154" t="s">
        <v>479</v>
      </c>
      <c r="AA392" s="154" t="s">
        <v>479</v>
      </c>
      <c r="AB392" s="154" t="s">
        <v>479</v>
      </c>
      <c r="AC392" s="154" t="s">
        <v>479</v>
      </c>
      <c r="AD392" s="154" t="s">
        <v>479</v>
      </c>
      <c r="AE392" s="154" t="s">
        <v>479</v>
      </c>
      <c r="AF392" s="154" t="s">
        <v>479</v>
      </c>
      <c r="AG392" s="154" t="s">
        <v>479</v>
      </c>
      <c r="AH392" s="154" t="s">
        <v>479</v>
      </c>
      <c r="AI392" s="154" t="s">
        <v>479</v>
      </c>
      <c r="AJ392" s="154" t="s">
        <v>479</v>
      </c>
      <c r="AK392" s="154" t="s">
        <v>479</v>
      </c>
      <c r="AL392" s="154" t="s">
        <v>479</v>
      </c>
      <c r="AS392">
        <v>392</v>
      </c>
    </row>
    <row r="393" spans="1:46" hidden="1" x14ac:dyDescent="0.25">
      <c r="A393">
        <v>392</v>
      </c>
      <c r="B393">
        <v>2025</v>
      </c>
      <c r="C393">
        <v>8</v>
      </c>
      <c r="D393" t="s">
        <v>259</v>
      </c>
      <c r="E393">
        <v>31</v>
      </c>
      <c r="F393">
        <v>7</v>
      </c>
      <c r="G393" t="s">
        <v>535</v>
      </c>
      <c r="H393" s="154" t="s">
        <v>424</v>
      </c>
      <c r="I393" s="154" t="s">
        <v>424</v>
      </c>
      <c r="J393" s="154" t="s">
        <v>424</v>
      </c>
      <c r="K393" s="154" t="s">
        <v>492</v>
      </c>
      <c r="L393" s="154" t="s">
        <v>493</v>
      </c>
      <c r="M393" s="154" t="s">
        <v>493</v>
      </c>
      <c r="N393" s="154" t="s">
        <v>493</v>
      </c>
      <c r="O393" s="154" t="s">
        <v>493</v>
      </c>
      <c r="P393" s="154" t="s">
        <v>493</v>
      </c>
      <c r="Q393" s="154" t="s">
        <v>424</v>
      </c>
      <c r="R393" s="154" t="s">
        <v>494</v>
      </c>
      <c r="S393" s="154" t="s">
        <v>493</v>
      </c>
      <c r="T393" s="154" t="s">
        <v>494</v>
      </c>
      <c r="U393" s="154" t="s">
        <v>494</v>
      </c>
      <c r="V393" s="154" t="s">
        <v>493</v>
      </c>
      <c r="W393" s="154" t="s">
        <v>494</v>
      </c>
      <c r="X393" s="154" t="s">
        <v>493</v>
      </c>
      <c r="Y393" s="154" t="s">
        <v>493</v>
      </c>
      <c r="Z393" s="154" t="s">
        <v>494</v>
      </c>
      <c r="AA393" s="154" t="s">
        <v>494</v>
      </c>
      <c r="AB393" s="154" t="s">
        <v>515</v>
      </c>
      <c r="AC393" s="154" t="s">
        <v>493</v>
      </c>
      <c r="AD393" s="154" t="s">
        <v>493</v>
      </c>
      <c r="AE393" s="154" t="s">
        <v>493</v>
      </c>
      <c r="AF393" s="154" t="s">
        <v>493</v>
      </c>
      <c r="AG393" s="154" t="s">
        <v>493</v>
      </c>
      <c r="AH393" s="154" t="s">
        <v>494</v>
      </c>
      <c r="AI393" s="154" t="s">
        <v>494</v>
      </c>
      <c r="AJ393" s="154" t="s">
        <v>494</v>
      </c>
      <c r="AK393" s="154" t="s">
        <v>493</v>
      </c>
      <c r="AL393" s="154" t="s">
        <v>493</v>
      </c>
      <c r="AM393" cm="1">
        <f t="array" ref="AM393">SUM(_xlfn.LET(_xlpm.r,((IFERROR(H393:AL393-H392:AL392,0))*24)/10,IF(_xlpm.r&gt;1,1,_xlpm.r)))</f>
        <v>27</v>
      </c>
      <c r="AO393" cm="1">
        <f t="array" ref="AO393">SUM(IFERROR(MOD((H393:AL393-H392:AL392)*24,11),""))</f>
        <v>64.000000000000014</v>
      </c>
      <c r="AS393">
        <v>393</v>
      </c>
    </row>
    <row r="394" spans="1:46" hidden="1" x14ac:dyDescent="0.25">
      <c r="A394">
        <v>393</v>
      </c>
      <c r="B394">
        <v>2025</v>
      </c>
      <c r="C394">
        <v>8</v>
      </c>
      <c r="D394" t="s">
        <v>259</v>
      </c>
      <c r="E394">
        <v>31</v>
      </c>
      <c r="F394">
        <v>7</v>
      </c>
      <c r="G394" t="s">
        <v>534</v>
      </c>
      <c r="H394" s="154" t="s">
        <v>424</v>
      </c>
      <c r="I394" s="154" t="s">
        <v>424</v>
      </c>
      <c r="J394" s="154" t="s">
        <v>424</v>
      </c>
      <c r="K394" s="154">
        <v>376401</v>
      </c>
      <c r="L394" s="154">
        <v>376472</v>
      </c>
      <c r="M394" s="154">
        <v>376595</v>
      </c>
      <c r="N394" s="154">
        <v>376706</v>
      </c>
      <c r="O394" s="154">
        <v>376813</v>
      </c>
      <c r="P394" s="154">
        <v>376909</v>
      </c>
      <c r="Q394" s="154" t="s">
        <v>424</v>
      </c>
      <c r="R394" s="154">
        <v>377011</v>
      </c>
      <c r="S394" s="154">
        <v>377120</v>
      </c>
      <c r="T394" s="154">
        <v>377233</v>
      </c>
      <c r="U394" s="154">
        <v>377369</v>
      </c>
      <c r="V394" s="154">
        <v>377496</v>
      </c>
      <c r="W394" s="154">
        <v>377618</v>
      </c>
      <c r="X394" s="154">
        <v>377756</v>
      </c>
      <c r="Y394" s="154">
        <v>377870</v>
      </c>
      <c r="Z394" s="154">
        <v>377972</v>
      </c>
      <c r="AA394" s="154">
        <v>378120</v>
      </c>
      <c r="AB394" s="154">
        <v>378252</v>
      </c>
      <c r="AC394" s="154">
        <v>378461</v>
      </c>
      <c r="AD394" s="154">
        <v>378587</v>
      </c>
      <c r="AE394" s="154">
        <v>378704</v>
      </c>
      <c r="AF394" s="154">
        <v>378810</v>
      </c>
      <c r="AG394" s="154">
        <v>378923</v>
      </c>
      <c r="AH394" s="154">
        <v>379027</v>
      </c>
      <c r="AI394" s="154">
        <v>379159</v>
      </c>
      <c r="AJ394" s="154">
        <v>379306</v>
      </c>
      <c r="AK394" s="154">
        <v>379434</v>
      </c>
      <c r="AL394" s="154">
        <v>379541</v>
      </c>
      <c r="AS394">
        <v>394</v>
      </c>
    </row>
    <row r="395" spans="1:46" hidden="1" x14ac:dyDescent="0.25">
      <c r="A395">
        <v>394</v>
      </c>
      <c r="B395">
        <v>2025</v>
      </c>
      <c r="C395">
        <v>8</v>
      </c>
      <c r="D395" t="s">
        <v>259</v>
      </c>
      <c r="E395">
        <v>31</v>
      </c>
      <c r="F395">
        <v>7</v>
      </c>
      <c r="G395" t="s">
        <v>535</v>
      </c>
      <c r="H395" s="154" t="s">
        <v>424</v>
      </c>
      <c r="I395" s="154" t="s">
        <v>424</v>
      </c>
      <c r="J395" s="154" t="s">
        <v>424</v>
      </c>
      <c r="K395" s="154">
        <v>376472</v>
      </c>
      <c r="L395" s="154">
        <v>376595</v>
      </c>
      <c r="M395" s="154">
        <v>376706</v>
      </c>
      <c r="N395" s="154">
        <v>376813</v>
      </c>
      <c r="O395" s="154">
        <v>376909</v>
      </c>
      <c r="P395" s="154">
        <v>377011</v>
      </c>
      <c r="Q395" s="154" t="s">
        <v>424</v>
      </c>
      <c r="R395" s="154">
        <v>377120</v>
      </c>
      <c r="S395" s="154">
        <v>377233</v>
      </c>
      <c r="T395" s="154">
        <v>377369</v>
      </c>
      <c r="U395" s="154">
        <v>377496</v>
      </c>
      <c r="V395" s="154">
        <v>377618</v>
      </c>
      <c r="W395" s="154">
        <v>377756</v>
      </c>
      <c r="X395" s="154">
        <v>377870</v>
      </c>
      <c r="Y395" s="154">
        <v>377972</v>
      </c>
      <c r="Z395" s="154">
        <v>378120</v>
      </c>
      <c r="AA395" s="154">
        <v>378252</v>
      </c>
      <c r="AB395" s="154">
        <v>378461</v>
      </c>
      <c r="AC395" s="154">
        <v>378587</v>
      </c>
      <c r="AD395" s="154">
        <v>378704</v>
      </c>
      <c r="AE395" s="154">
        <v>378810</v>
      </c>
      <c r="AF395" s="154">
        <v>378923</v>
      </c>
      <c r="AG395" s="154">
        <v>379027</v>
      </c>
      <c r="AH395" s="154">
        <v>379159</v>
      </c>
      <c r="AI395" s="154">
        <v>379306</v>
      </c>
      <c r="AJ395" s="154">
        <v>379434</v>
      </c>
      <c r="AK395" s="154">
        <v>379541</v>
      </c>
      <c r="AL395" s="154">
        <v>379637</v>
      </c>
      <c r="AP395" cm="1">
        <f t="array" ref="AP395">IF(AQ395="","",SUM(IFERROR(H395:AL395-H394:AL394,0))*AQ395/100)</f>
        <v>485.4</v>
      </c>
      <c r="AQ395">
        <f>_xlfn.XLOOKUP(D395,log_prices!M:M,log_prices!L:L,,0)</f>
        <v>15</v>
      </c>
      <c r="AS395">
        <v>395</v>
      </c>
      <c r="AT395" cm="1">
        <f t="array" ref="AT395">IF(AQ395="","",SUM(IFERROR(H395:AL395-H394:AL394,0)))</f>
        <v>3236</v>
      </c>
    </row>
    <row r="396" spans="1:46" hidden="1" x14ac:dyDescent="0.25">
      <c r="A396">
        <v>395</v>
      </c>
      <c r="B396">
        <v>2025</v>
      </c>
      <c r="C396">
        <v>8</v>
      </c>
      <c r="D396" t="s">
        <v>269</v>
      </c>
      <c r="E396">
        <v>31</v>
      </c>
      <c r="F396">
        <v>7</v>
      </c>
      <c r="G396" t="s">
        <v>534</v>
      </c>
      <c r="H396" s="154" t="s">
        <v>479</v>
      </c>
      <c r="I396" s="154" t="s">
        <v>479</v>
      </c>
      <c r="J396" s="154" t="s">
        <v>479</v>
      </c>
      <c r="K396" s="154" t="s">
        <v>479</v>
      </c>
      <c r="L396" s="154" t="s">
        <v>479</v>
      </c>
      <c r="M396" s="154" t="s">
        <v>479</v>
      </c>
      <c r="N396" s="154" t="s">
        <v>479</v>
      </c>
      <c r="O396" s="154" t="s">
        <v>479</v>
      </c>
      <c r="P396" s="154" t="s">
        <v>479</v>
      </c>
      <c r="Q396" s="154" t="s">
        <v>424</v>
      </c>
      <c r="R396" s="154" t="s">
        <v>479</v>
      </c>
      <c r="S396" s="154" t="s">
        <v>479</v>
      </c>
      <c r="T396" s="154" t="s">
        <v>479</v>
      </c>
      <c r="U396" s="154" t="s">
        <v>479</v>
      </c>
      <c r="V396" s="154" t="s">
        <v>479</v>
      </c>
      <c r="W396" s="154" t="s">
        <v>479</v>
      </c>
      <c r="X396" s="154" t="s">
        <v>479</v>
      </c>
      <c r="Y396" s="154" t="s">
        <v>479</v>
      </c>
      <c r="Z396" s="154" t="s">
        <v>479</v>
      </c>
      <c r="AA396" s="154" t="s">
        <v>479</v>
      </c>
      <c r="AB396" s="154" t="s">
        <v>479</v>
      </c>
      <c r="AC396" s="154" t="s">
        <v>479</v>
      </c>
      <c r="AD396" s="154" t="s">
        <v>479</v>
      </c>
      <c r="AE396" s="154" t="s">
        <v>479</v>
      </c>
      <c r="AF396" s="154" t="s">
        <v>479</v>
      </c>
      <c r="AG396" s="154" t="s">
        <v>479</v>
      </c>
      <c r="AH396" s="154" t="s">
        <v>479</v>
      </c>
      <c r="AI396" s="154" t="s">
        <v>479</v>
      </c>
      <c r="AJ396" s="154" t="s">
        <v>479</v>
      </c>
      <c r="AK396" s="154" t="s">
        <v>479</v>
      </c>
      <c r="AL396" s="154" t="s">
        <v>479</v>
      </c>
      <c r="AS396">
        <v>396</v>
      </c>
    </row>
    <row r="397" spans="1:46" hidden="1" x14ac:dyDescent="0.25">
      <c r="A397">
        <v>396</v>
      </c>
      <c r="B397">
        <v>2025</v>
      </c>
      <c r="C397">
        <v>8</v>
      </c>
      <c r="D397" t="s">
        <v>269</v>
      </c>
      <c r="E397">
        <v>31</v>
      </c>
      <c r="F397">
        <v>7</v>
      </c>
      <c r="G397" t="s">
        <v>535</v>
      </c>
      <c r="H397" s="154">
        <v>0.83333333333333326</v>
      </c>
      <c r="I397" s="154">
        <v>0.95833333333333326</v>
      </c>
      <c r="J397" s="154">
        <v>0.91666666666666674</v>
      </c>
      <c r="K397" s="154">
        <v>0.91666666666666674</v>
      </c>
      <c r="L397" s="154">
        <v>0.91666666666666674</v>
      </c>
      <c r="M397" s="154">
        <v>1</v>
      </c>
      <c r="N397" s="154">
        <v>0.875</v>
      </c>
      <c r="O397" s="154">
        <v>0.875</v>
      </c>
      <c r="P397" s="154">
        <v>0.95833333333333326</v>
      </c>
      <c r="Q397" s="154" t="s">
        <v>424</v>
      </c>
      <c r="R397" s="154">
        <v>0.875</v>
      </c>
      <c r="S397" s="154">
        <v>0.75</v>
      </c>
      <c r="T397" s="154">
        <v>0.95833333333333326</v>
      </c>
      <c r="U397" s="154">
        <v>0.875</v>
      </c>
      <c r="V397" s="154">
        <v>0.91666666666666674</v>
      </c>
      <c r="W397" s="154">
        <v>0.875</v>
      </c>
      <c r="X397" s="154">
        <v>0.91666666666666674</v>
      </c>
      <c r="Y397" s="154">
        <v>0.75</v>
      </c>
      <c r="Z397" s="154">
        <v>0.83333333333333326</v>
      </c>
      <c r="AA397" s="154">
        <v>0.875</v>
      </c>
      <c r="AB397" s="154">
        <v>0.75</v>
      </c>
      <c r="AC397" s="154">
        <v>0.75</v>
      </c>
      <c r="AD397" s="154">
        <v>0.75</v>
      </c>
      <c r="AE397" s="154">
        <v>0.91666666666666674</v>
      </c>
      <c r="AF397" s="154">
        <v>0.83333333333333326</v>
      </c>
      <c r="AG397" s="154">
        <v>0.75</v>
      </c>
      <c r="AH397" s="154">
        <v>0.91666666666666674</v>
      </c>
      <c r="AI397" s="154">
        <v>0.75</v>
      </c>
      <c r="AJ397" s="154">
        <v>0.75</v>
      </c>
      <c r="AK397" s="154">
        <v>0.75</v>
      </c>
      <c r="AL397" s="154">
        <v>1.1666666666666667</v>
      </c>
      <c r="AM397" cm="1">
        <f t="array" ref="AM397">SUM(_xlfn.LET(_xlpm.r,((IFERROR(H397:AL397-H396:AL396,0))*24)/10,IF(_xlpm.r&gt;1,1,_xlpm.r)))</f>
        <v>30</v>
      </c>
      <c r="AO397" cm="1">
        <f t="array" ref="AO397">SUM(IFERROR(MOD((H397:AL397-H396:AL396)*24,11),""))</f>
        <v>82.999999999999986</v>
      </c>
      <c r="AS397">
        <v>397</v>
      </c>
    </row>
    <row r="398" spans="1:46" hidden="1" x14ac:dyDescent="0.25">
      <c r="A398">
        <v>397</v>
      </c>
      <c r="B398">
        <v>2025</v>
      </c>
      <c r="C398">
        <v>8</v>
      </c>
      <c r="D398" t="s">
        <v>269</v>
      </c>
      <c r="E398">
        <v>31</v>
      </c>
      <c r="F398">
        <v>7</v>
      </c>
      <c r="G398" t="s">
        <v>534</v>
      </c>
      <c r="H398" s="154">
        <v>28969</v>
      </c>
      <c r="I398" s="154">
        <v>28986</v>
      </c>
      <c r="J398" s="154">
        <v>29012</v>
      </c>
      <c r="K398" s="154">
        <v>29027</v>
      </c>
      <c r="L398" s="154">
        <v>29050</v>
      </c>
      <c r="M398" s="154">
        <v>29075</v>
      </c>
      <c r="N398" s="154">
        <v>29102</v>
      </c>
      <c r="O398" s="154">
        <v>29112</v>
      </c>
      <c r="P398" s="154">
        <v>29206</v>
      </c>
      <c r="Q398" s="154" t="s">
        <v>424</v>
      </c>
      <c r="R398" s="154">
        <v>29253</v>
      </c>
      <c r="S398" s="154">
        <v>29277</v>
      </c>
      <c r="T398" s="154">
        <v>29309</v>
      </c>
      <c r="U398" s="154">
        <v>29331</v>
      </c>
      <c r="V398" s="154">
        <v>29351</v>
      </c>
      <c r="W398" s="154">
        <v>29392</v>
      </c>
      <c r="X398" s="154">
        <v>29419</v>
      </c>
      <c r="Y398" s="154">
        <v>29431</v>
      </c>
      <c r="Z398" s="154">
        <v>29447</v>
      </c>
      <c r="AA398" s="154">
        <v>29479</v>
      </c>
      <c r="AB398" s="154">
        <v>29506</v>
      </c>
      <c r="AC398" s="154">
        <v>29516</v>
      </c>
      <c r="AD398" s="154">
        <v>29530</v>
      </c>
      <c r="AE398" s="154">
        <v>29541</v>
      </c>
      <c r="AF398" s="154">
        <v>29568</v>
      </c>
      <c r="AG398" s="154">
        <v>29584</v>
      </c>
      <c r="AH398" s="154">
        <v>29645</v>
      </c>
      <c r="AI398" s="154">
        <v>29696</v>
      </c>
      <c r="AJ398" s="154">
        <v>29710</v>
      </c>
      <c r="AK398" s="154">
        <v>29733</v>
      </c>
      <c r="AL398" s="154">
        <v>29755</v>
      </c>
      <c r="AS398">
        <v>398</v>
      </c>
    </row>
    <row r="399" spans="1:46" hidden="1" x14ac:dyDescent="0.25">
      <c r="A399">
        <v>398</v>
      </c>
      <c r="B399">
        <v>2025</v>
      </c>
      <c r="C399">
        <v>8</v>
      </c>
      <c r="D399" t="s">
        <v>269</v>
      </c>
      <c r="E399">
        <v>31</v>
      </c>
      <c r="F399">
        <v>7</v>
      </c>
      <c r="G399" t="s">
        <v>535</v>
      </c>
      <c r="H399" s="154">
        <v>28986</v>
      </c>
      <c r="I399" s="154">
        <v>29012</v>
      </c>
      <c r="J399" s="154">
        <v>29027</v>
      </c>
      <c r="K399" s="154">
        <v>29050</v>
      </c>
      <c r="L399" s="154">
        <v>29075</v>
      </c>
      <c r="M399" s="154">
        <v>29102</v>
      </c>
      <c r="N399" s="154">
        <v>29112</v>
      </c>
      <c r="O399" s="154">
        <v>29206</v>
      </c>
      <c r="P399" s="154">
        <v>29244</v>
      </c>
      <c r="Q399" s="154" t="s">
        <v>424</v>
      </c>
      <c r="R399" s="154">
        <v>29277</v>
      </c>
      <c r="S399" s="154">
        <v>29309</v>
      </c>
      <c r="T399" s="154">
        <v>29331</v>
      </c>
      <c r="U399" s="154">
        <v>29351</v>
      </c>
      <c r="V399" s="154">
        <v>29392</v>
      </c>
      <c r="W399" s="154">
        <v>29419</v>
      </c>
      <c r="X399" s="154">
        <v>29431</v>
      </c>
      <c r="Y399" s="154">
        <v>29447</v>
      </c>
      <c r="Z399" s="154">
        <v>29479</v>
      </c>
      <c r="AA399" s="154">
        <v>29506</v>
      </c>
      <c r="AB399" s="154">
        <v>29516</v>
      </c>
      <c r="AC399" s="154">
        <v>29530</v>
      </c>
      <c r="AD399" s="154">
        <v>29541</v>
      </c>
      <c r="AE399" s="154">
        <v>29568</v>
      </c>
      <c r="AF399" s="154">
        <v>29584</v>
      </c>
      <c r="AG399" s="154">
        <v>29645</v>
      </c>
      <c r="AH399" s="154">
        <v>29696</v>
      </c>
      <c r="AI399" s="154">
        <v>29710</v>
      </c>
      <c r="AJ399" s="154">
        <v>29733</v>
      </c>
      <c r="AK399" s="154">
        <v>29755</v>
      </c>
      <c r="AL399" s="154">
        <v>29778</v>
      </c>
      <c r="AP399" cm="1">
        <f t="array" ref="AP399">IF(AQ399="","",SUM(IFERROR(H399:AL399-H398:AL398,0))*AQ399/100)</f>
        <v>120</v>
      </c>
      <c r="AQ399">
        <f>_xlfn.XLOOKUP(D399,log_prices!M:M,log_prices!L:L,,0)</f>
        <v>15</v>
      </c>
      <c r="AS399">
        <v>399</v>
      </c>
      <c r="AT399" cm="1">
        <f t="array" ref="AT399">IF(AQ399="","",SUM(IFERROR(H399:AL399-H398:AL398,0)))</f>
        <v>800</v>
      </c>
    </row>
    <row r="400" spans="1:46" hidden="1" x14ac:dyDescent="0.25">
      <c r="A400">
        <v>399</v>
      </c>
      <c r="B400">
        <v>2025</v>
      </c>
      <c r="C400">
        <v>8</v>
      </c>
      <c r="D400" t="s">
        <v>258</v>
      </c>
      <c r="E400">
        <v>31</v>
      </c>
      <c r="F400">
        <v>7</v>
      </c>
      <c r="G400" t="s">
        <v>534</v>
      </c>
      <c r="H400" s="154" t="s">
        <v>479</v>
      </c>
      <c r="I400" s="154" t="s">
        <v>479</v>
      </c>
      <c r="J400" s="154" t="s">
        <v>479</v>
      </c>
      <c r="K400" s="154" t="s">
        <v>479</v>
      </c>
      <c r="L400" s="154" t="s">
        <v>479</v>
      </c>
      <c r="M400" s="154" t="s">
        <v>479</v>
      </c>
      <c r="N400" s="154" t="s">
        <v>479</v>
      </c>
      <c r="O400" s="154" t="s">
        <v>479</v>
      </c>
      <c r="P400" s="154" t="s">
        <v>479</v>
      </c>
      <c r="Q400" s="154" t="s">
        <v>424</v>
      </c>
      <c r="R400" s="154" t="s">
        <v>479</v>
      </c>
      <c r="S400" s="154" t="s">
        <v>479</v>
      </c>
      <c r="T400" s="154" t="s">
        <v>479</v>
      </c>
      <c r="U400" s="154" t="s">
        <v>479</v>
      </c>
      <c r="V400" s="154" t="s">
        <v>479</v>
      </c>
      <c r="W400" s="154" t="s">
        <v>479</v>
      </c>
      <c r="X400" s="154" t="s">
        <v>479</v>
      </c>
      <c r="Y400" s="154" t="s">
        <v>479</v>
      </c>
      <c r="Z400" s="154" t="s">
        <v>479</v>
      </c>
      <c r="AA400" s="154" t="s">
        <v>479</v>
      </c>
      <c r="AB400" s="154" t="s">
        <v>479</v>
      </c>
      <c r="AC400" s="154" t="s">
        <v>479</v>
      </c>
      <c r="AD400" s="154" t="s">
        <v>479</v>
      </c>
      <c r="AE400" s="154" t="s">
        <v>479</v>
      </c>
      <c r="AF400" s="154" t="s">
        <v>479</v>
      </c>
      <c r="AG400" s="154" t="s">
        <v>479</v>
      </c>
      <c r="AH400" s="154" t="s">
        <v>479</v>
      </c>
      <c r="AI400" s="154" t="s">
        <v>479</v>
      </c>
      <c r="AJ400" s="154" t="s">
        <v>479</v>
      </c>
      <c r="AK400" s="154" t="s">
        <v>479</v>
      </c>
      <c r="AL400" s="154" t="s">
        <v>479</v>
      </c>
      <c r="AS400">
        <v>400</v>
      </c>
    </row>
    <row r="401" spans="1:46" hidden="1" x14ac:dyDescent="0.25">
      <c r="A401">
        <v>400</v>
      </c>
      <c r="B401">
        <v>2025</v>
      </c>
      <c r="C401">
        <v>8</v>
      </c>
      <c r="D401" t="s">
        <v>258</v>
      </c>
      <c r="E401">
        <v>31</v>
      </c>
      <c r="F401">
        <v>7</v>
      </c>
      <c r="G401" t="s">
        <v>535</v>
      </c>
      <c r="H401" s="154">
        <v>0.91666666666666674</v>
      </c>
      <c r="I401" s="154">
        <v>0.75</v>
      </c>
      <c r="J401" s="154">
        <v>0.875</v>
      </c>
      <c r="K401" s="154">
        <v>0.91666666666666674</v>
      </c>
      <c r="L401" s="154">
        <v>0.91666666666666674</v>
      </c>
      <c r="M401" s="154">
        <v>0.875</v>
      </c>
      <c r="N401" s="154">
        <v>0.875</v>
      </c>
      <c r="O401" s="154">
        <v>0.95833333333333326</v>
      </c>
      <c r="P401" s="154">
        <v>0.91666666666666674</v>
      </c>
      <c r="Q401" s="154" t="s">
        <v>424</v>
      </c>
      <c r="R401" s="154">
        <v>0.75</v>
      </c>
      <c r="S401" s="154">
        <v>0.875</v>
      </c>
      <c r="T401" s="154">
        <v>0.875</v>
      </c>
      <c r="U401" s="154">
        <v>0.91666666666666674</v>
      </c>
      <c r="V401" s="154">
        <v>0.91666666666666674</v>
      </c>
      <c r="W401" s="154">
        <v>0.875</v>
      </c>
      <c r="X401" s="154">
        <v>0.75</v>
      </c>
      <c r="Y401" s="154">
        <v>0.91666666666666674</v>
      </c>
      <c r="Z401" s="154">
        <v>0.91666666666666674</v>
      </c>
      <c r="AA401" s="154">
        <v>0.91666666666666674</v>
      </c>
      <c r="AB401" s="154">
        <v>0.83333333333333326</v>
      </c>
      <c r="AC401" s="154">
        <v>0.75</v>
      </c>
      <c r="AD401" s="154">
        <v>0.83333333333333326</v>
      </c>
      <c r="AE401" s="154">
        <v>0.91666666666666674</v>
      </c>
      <c r="AF401" s="154">
        <v>0.75</v>
      </c>
      <c r="AG401" s="154">
        <v>0.83333333333333326</v>
      </c>
      <c r="AH401" s="154">
        <v>0.75</v>
      </c>
      <c r="AI401" s="154">
        <v>0.875</v>
      </c>
      <c r="AJ401" s="154">
        <v>0.91666666666666674</v>
      </c>
      <c r="AK401" s="154">
        <v>0.75</v>
      </c>
      <c r="AL401" s="154">
        <v>0.75</v>
      </c>
      <c r="AM401" cm="1">
        <f t="array" ref="AM401">SUM(_xlfn.LET(_xlpm.r,((IFERROR(H401:AL401-H400:AL400,0))*24)/10,IF(_xlpm.r&gt;1,1,_xlpm.r)))</f>
        <v>30</v>
      </c>
      <c r="AO401" cm="1">
        <f t="array" ref="AO401">SUM(IFERROR(MOD((H401:AL401-H400:AL400)*24,11),""))</f>
        <v>75.999999999999986</v>
      </c>
      <c r="AS401">
        <v>401</v>
      </c>
    </row>
    <row r="402" spans="1:46" hidden="1" x14ac:dyDescent="0.25">
      <c r="A402">
        <v>401</v>
      </c>
      <c r="B402">
        <v>2025</v>
      </c>
      <c r="C402">
        <v>8</v>
      </c>
      <c r="D402" t="s">
        <v>258</v>
      </c>
      <c r="E402">
        <v>31</v>
      </c>
      <c r="F402">
        <v>7</v>
      </c>
      <c r="G402" t="s">
        <v>534</v>
      </c>
      <c r="H402" s="154">
        <v>29558</v>
      </c>
      <c r="I402" s="154">
        <v>29655</v>
      </c>
      <c r="J402" s="154">
        <v>29740</v>
      </c>
      <c r="K402" s="154">
        <v>29798</v>
      </c>
      <c r="L402" s="154">
        <v>29871</v>
      </c>
      <c r="M402" s="154">
        <v>29969</v>
      </c>
      <c r="N402" s="154">
        <v>30107</v>
      </c>
      <c r="O402" s="154">
        <v>30275</v>
      </c>
      <c r="P402" s="154">
        <v>30394</v>
      </c>
      <c r="Q402" s="154" t="s">
        <v>424</v>
      </c>
      <c r="R402" s="154">
        <v>30515</v>
      </c>
      <c r="S402" s="154">
        <v>30633</v>
      </c>
      <c r="T402" s="154">
        <v>30760</v>
      </c>
      <c r="U402" s="154">
        <v>30918</v>
      </c>
      <c r="V402" s="154">
        <v>31060</v>
      </c>
      <c r="W402" s="154">
        <v>31168</v>
      </c>
      <c r="X402" s="154">
        <v>31392</v>
      </c>
      <c r="Y402" s="154">
        <v>31523</v>
      </c>
      <c r="Z402" s="154">
        <v>31667</v>
      </c>
      <c r="AA402" s="154">
        <v>31804</v>
      </c>
      <c r="AB402" s="154">
        <v>31942</v>
      </c>
      <c r="AC402" s="154">
        <v>32069</v>
      </c>
      <c r="AD402" s="154">
        <v>32202</v>
      </c>
      <c r="AE402" s="154">
        <v>32326</v>
      </c>
      <c r="AF402" s="154">
        <v>32462</v>
      </c>
      <c r="AG402" s="154">
        <v>32610</v>
      </c>
      <c r="AH402" s="154">
        <v>32846</v>
      </c>
      <c r="AI402" s="154">
        <v>32954</v>
      </c>
      <c r="AJ402" s="154">
        <v>33107</v>
      </c>
      <c r="AK402" s="154">
        <v>33216</v>
      </c>
      <c r="AL402" s="154">
        <v>33312</v>
      </c>
      <c r="AS402">
        <v>402</v>
      </c>
    </row>
    <row r="403" spans="1:46" hidden="1" x14ac:dyDescent="0.25">
      <c r="A403">
        <v>402</v>
      </c>
      <c r="B403">
        <v>2025</v>
      </c>
      <c r="C403">
        <v>8</v>
      </c>
      <c r="D403" t="s">
        <v>258</v>
      </c>
      <c r="E403">
        <v>31</v>
      </c>
      <c r="F403">
        <v>7</v>
      </c>
      <c r="G403" t="s">
        <v>535</v>
      </c>
      <c r="H403" s="154">
        <v>29655</v>
      </c>
      <c r="I403" s="154">
        <v>29740</v>
      </c>
      <c r="J403" s="154">
        <v>29798</v>
      </c>
      <c r="K403" s="154">
        <v>29871</v>
      </c>
      <c r="L403" s="154">
        <v>29969</v>
      </c>
      <c r="M403" s="154">
        <v>30107</v>
      </c>
      <c r="N403" s="154">
        <v>30275</v>
      </c>
      <c r="O403" s="154">
        <v>30394</v>
      </c>
      <c r="P403" s="154">
        <v>30501</v>
      </c>
      <c r="Q403" s="154" t="s">
        <v>424</v>
      </c>
      <c r="R403" s="154">
        <v>30633</v>
      </c>
      <c r="S403" s="154">
        <v>30760</v>
      </c>
      <c r="T403" s="154">
        <v>30918</v>
      </c>
      <c r="U403" s="154">
        <v>31060</v>
      </c>
      <c r="V403" s="154">
        <v>31168</v>
      </c>
      <c r="W403" s="154">
        <v>31392</v>
      </c>
      <c r="X403" s="154">
        <v>31523</v>
      </c>
      <c r="Y403" s="154">
        <v>31667</v>
      </c>
      <c r="Z403" s="154">
        <v>31804</v>
      </c>
      <c r="AA403" s="154">
        <v>31942</v>
      </c>
      <c r="AB403" s="154">
        <v>32069</v>
      </c>
      <c r="AC403" s="154">
        <v>32202</v>
      </c>
      <c r="AD403" s="154">
        <v>32326</v>
      </c>
      <c r="AE403" s="154">
        <v>32462</v>
      </c>
      <c r="AF403" s="154">
        <v>32610</v>
      </c>
      <c r="AG403" s="154">
        <v>32846</v>
      </c>
      <c r="AH403" s="154">
        <v>32954</v>
      </c>
      <c r="AI403" s="154">
        <v>33107</v>
      </c>
      <c r="AJ403" s="154">
        <v>33216</v>
      </c>
      <c r="AK403" s="154">
        <v>33312</v>
      </c>
      <c r="AL403" s="154">
        <v>33423</v>
      </c>
      <c r="AP403" cm="1">
        <f t="array" ref="AP403">IF(AQ403="","",SUM(IFERROR(H403:AL403-H402:AL402,0))*AQ403/100)</f>
        <v>693.18</v>
      </c>
      <c r="AQ403">
        <f>_xlfn.XLOOKUP(D403,log_prices!M:M,log_prices!L:L,,0)</f>
        <v>18</v>
      </c>
      <c r="AS403">
        <v>403</v>
      </c>
      <c r="AT403" cm="1">
        <f t="array" ref="AT403">IF(AQ403="","",SUM(IFERROR(H403:AL403-H402:AL402,0)))</f>
        <v>3851</v>
      </c>
    </row>
    <row r="404" spans="1:46" hidden="1" x14ac:dyDescent="0.25">
      <c r="A404">
        <v>403</v>
      </c>
      <c r="B404">
        <v>2025</v>
      </c>
      <c r="C404">
        <v>8</v>
      </c>
      <c r="D404" t="s">
        <v>257</v>
      </c>
      <c r="E404">
        <v>31</v>
      </c>
      <c r="F404">
        <v>7</v>
      </c>
      <c r="G404" t="s">
        <v>534</v>
      </c>
      <c r="H404" s="154" t="s">
        <v>424</v>
      </c>
      <c r="I404" s="154" t="s">
        <v>424</v>
      </c>
      <c r="J404" s="154" t="s">
        <v>424</v>
      </c>
      <c r="K404" s="154" t="s">
        <v>424</v>
      </c>
      <c r="L404" s="154" t="s">
        <v>424</v>
      </c>
      <c r="M404" s="154" t="s">
        <v>479</v>
      </c>
      <c r="N404" s="154" t="s">
        <v>479</v>
      </c>
      <c r="O404" s="154" t="s">
        <v>479</v>
      </c>
      <c r="P404" s="154" t="s">
        <v>479</v>
      </c>
      <c r="Q404" s="154" t="s">
        <v>479</v>
      </c>
      <c r="R404" s="154" t="s">
        <v>479</v>
      </c>
      <c r="S404" s="154" t="s">
        <v>479</v>
      </c>
      <c r="T404" s="154" t="s">
        <v>479</v>
      </c>
      <c r="U404" s="154" t="s">
        <v>479</v>
      </c>
      <c r="V404" s="154" t="s">
        <v>479</v>
      </c>
      <c r="W404" s="154" t="s">
        <v>479</v>
      </c>
      <c r="X404" s="154" t="s">
        <v>479</v>
      </c>
      <c r="Y404" s="154" t="s">
        <v>479</v>
      </c>
      <c r="Z404" s="154" t="s">
        <v>479</v>
      </c>
      <c r="AA404" s="154" t="s">
        <v>479</v>
      </c>
      <c r="AB404" s="154" t="s">
        <v>479</v>
      </c>
      <c r="AC404" s="154" t="s">
        <v>479</v>
      </c>
      <c r="AD404" s="154" t="s">
        <v>479</v>
      </c>
      <c r="AE404" s="154" t="s">
        <v>479</v>
      </c>
      <c r="AF404" s="154" t="s">
        <v>479</v>
      </c>
      <c r="AG404" s="154" t="s">
        <v>479</v>
      </c>
      <c r="AH404" s="154" t="s">
        <v>479</v>
      </c>
      <c r="AI404" s="154" t="s">
        <v>479</v>
      </c>
      <c r="AJ404" s="154" t="s">
        <v>479</v>
      </c>
      <c r="AK404" s="154" t="s">
        <v>479</v>
      </c>
      <c r="AL404" s="154" t="s">
        <v>479</v>
      </c>
      <c r="AS404">
        <v>404</v>
      </c>
    </row>
    <row r="405" spans="1:46" hidden="1" x14ac:dyDescent="0.25">
      <c r="A405">
        <v>404</v>
      </c>
      <c r="B405">
        <v>2025</v>
      </c>
      <c r="C405">
        <v>8</v>
      </c>
      <c r="D405" t="s">
        <v>257</v>
      </c>
      <c r="E405">
        <v>31</v>
      </c>
      <c r="F405">
        <v>7</v>
      </c>
      <c r="G405" t="s">
        <v>535</v>
      </c>
      <c r="H405" s="154" t="s">
        <v>424</v>
      </c>
      <c r="I405" s="154" t="s">
        <v>424</v>
      </c>
      <c r="J405" s="154" t="s">
        <v>424</v>
      </c>
      <c r="K405" s="154" t="s">
        <v>424</v>
      </c>
      <c r="L405" s="154" t="s">
        <v>424</v>
      </c>
      <c r="M405" s="154" t="s">
        <v>480</v>
      </c>
      <c r="N405" s="154" t="s">
        <v>480</v>
      </c>
      <c r="O405" s="154" t="s">
        <v>480</v>
      </c>
      <c r="P405" s="154" t="s">
        <v>480</v>
      </c>
      <c r="Q405" s="154" t="s">
        <v>515</v>
      </c>
      <c r="R405" s="154" t="s">
        <v>480</v>
      </c>
      <c r="S405" s="154" t="s">
        <v>480</v>
      </c>
      <c r="T405" s="154" t="s">
        <v>480</v>
      </c>
      <c r="U405" s="154" t="s">
        <v>480</v>
      </c>
      <c r="V405" s="154" t="s">
        <v>480</v>
      </c>
      <c r="W405" s="154" t="s">
        <v>480</v>
      </c>
      <c r="X405" s="154" t="s">
        <v>480</v>
      </c>
      <c r="Y405" s="154" t="s">
        <v>493</v>
      </c>
      <c r="Z405" s="154" t="s">
        <v>493</v>
      </c>
      <c r="AA405" s="154" t="s">
        <v>480</v>
      </c>
      <c r="AB405" s="154" t="s">
        <v>480</v>
      </c>
      <c r="AC405" s="154" t="s">
        <v>493</v>
      </c>
      <c r="AD405" s="154" t="s">
        <v>480</v>
      </c>
      <c r="AE405" s="154" t="s">
        <v>515</v>
      </c>
      <c r="AF405" s="154" t="s">
        <v>480</v>
      </c>
      <c r="AG405" s="154" t="s">
        <v>493</v>
      </c>
      <c r="AH405" s="154" t="s">
        <v>480</v>
      </c>
      <c r="AI405" s="154" t="s">
        <v>480</v>
      </c>
      <c r="AJ405" s="154" t="s">
        <v>480</v>
      </c>
      <c r="AK405" s="154" t="s">
        <v>480</v>
      </c>
      <c r="AL405" s="154" t="s">
        <v>515</v>
      </c>
      <c r="AM405" cm="1">
        <f t="array" ref="AM405">SUM(_xlfn.LET(_xlpm.r,((IFERROR(H405:AL405-H404:AL404,0))*24)/10,IF(_xlpm.r&gt;1,1,_xlpm.r)))</f>
        <v>26</v>
      </c>
      <c r="AO405" cm="1">
        <f t="array" ref="AO405">SUM(IFERROR(MOD((H405:AL405-H404:AL404)*24,11),""))</f>
        <v>20.000000000000007</v>
      </c>
      <c r="AS405">
        <v>405</v>
      </c>
    </row>
    <row r="406" spans="1:46" hidden="1" x14ac:dyDescent="0.25">
      <c r="A406">
        <v>405</v>
      </c>
      <c r="B406">
        <v>2025</v>
      </c>
      <c r="C406">
        <v>8</v>
      </c>
      <c r="D406" t="s">
        <v>257</v>
      </c>
      <c r="E406">
        <v>31</v>
      </c>
      <c r="F406">
        <v>7</v>
      </c>
      <c r="G406" t="s">
        <v>534</v>
      </c>
      <c r="H406" s="154" t="s">
        <v>424</v>
      </c>
      <c r="I406" s="154" t="s">
        <v>424</v>
      </c>
      <c r="J406" s="154" t="s">
        <v>424</v>
      </c>
      <c r="K406" s="154" t="s">
        <v>424</v>
      </c>
      <c r="L406" s="154" t="s">
        <v>424</v>
      </c>
      <c r="M406" s="154">
        <v>955181</v>
      </c>
      <c r="N406" s="154">
        <v>955200</v>
      </c>
      <c r="O406" s="154">
        <v>955225</v>
      </c>
      <c r="P406" s="154">
        <v>955270</v>
      </c>
      <c r="Q406" s="154">
        <v>955297</v>
      </c>
      <c r="R406" s="154">
        <v>955426</v>
      </c>
      <c r="S406" s="154">
        <v>955456</v>
      </c>
      <c r="T406" s="154">
        <v>955485</v>
      </c>
      <c r="U406" s="154">
        <v>955512</v>
      </c>
      <c r="V406" s="154">
        <v>955545</v>
      </c>
      <c r="W406" s="154">
        <v>955561</v>
      </c>
      <c r="X406" s="154">
        <v>955594</v>
      </c>
      <c r="Y406" s="154">
        <v>955617</v>
      </c>
      <c r="Z406" s="154">
        <v>955663</v>
      </c>
      <c r="AA406" s="154">
        <v>955698</v>
      </c>
      <c r="AB406" s="154">
        <v>955733</v>
      </c>
      <c r="AC406" s="154">
        <v>955765</v>
      </c>
      <c r="AD406" s="154">
        <v>955805</v>
      </c>
      <c r="AE406" s="154">
        <v>955837</v>
      </c>
      <c r="AF406" s="154">
        <v>955894</v>
      </c>
      <c r="AG406" s="154">
        <v>955928</v>
      </c>
      <c r="AH406" s="154">
        <v>955966</v>
      </c>
      <c r="AI406" s="154">
        <v>955994</v>
      </c>
      <c r="AJ406" s="154">
        <v>956030</v>
      </c>
      <c r="AK406" s="154">
        <v>956073</v>
      </c>
      <c r="AL406" s="154">
        <v>956103</v>
      </c>
      <c r="AS406">
        <v>406</v>
      </c>
    </row>
    <row r="407" spans="1:46" hidden="1" x14ac:dyDescent="0.25">
      <c r="A407">
        <v>406</v>
      </c>
      <c r="B407">
        <v>2025</v>
      </c>
      <c r="C407">
        <v>8</v>
      </c>
      <c r="D407" t="s">
        <v>257</v>
      </c>
      <c r="E407">
        <v>31</v>
      </c>
      <c r="F407">
        <v>7</v>
      </c>
      <c r="G407" t="s">
        <v>535</v>
      </c>
      <c r="H407" s="154" t="s">
        <v>424</v>
      </c>
      <c r="I407" s="154" t="s">
        <v>424</v>
      </c>
      <c r="J407" s="154" t="s">
        <v>424</v>
      </c>
      <c r="K407" s="154" t="s">
        <v>424</v>
      </c>
      <c r="L407" s="154" t="s">
        <v>424</v>
      </c>
      <c r="M407" s="154">
        <v>955200</v>
      </c>
      <c r="N407" s="154">
        <v>955225</v>
      </c>
      <c r="O407" s="154">
        <v>955270</v>
      </c>
      <c r="P407" s="154">
        <v>955297</v>
      </c>
      <c r="Q407" s="154">
        <v>955426</v>
      </c>
      <c r="R407" s="154">
        <v>955456</v>
      </c>
      <c r="S407" s="154">
        <v>955485</v>
      </c>
      <c r="T407" s="154">
        <v>955512</v>
      </c>
      <c r="U407" s="154">
        <v>955545</v>
      </c>
      <c r="V407" s="154">
        <v>955561</v>
      </c>
      <c r="W407" s="154">
        <v>955594</v>
      </c>
      <c r="X407" s="154">
        <v>955617</v>
      </c>
      <c r="Y407" s="154">
        <v>955663</v>
      </c>
      <c r="Z407" s="154">
        <v>955698</v>
      </c>
      <c r="AA407" s="154">
        <v>955733</v>
      </c>
      <c r="AB407" s="154">
        <v>955765</v>
      </c>
      <c r="AC407" s="154">
        <v>955805</v>
      </c>
      <c r="AD407" s="154">
        <v>955837</v>
      </c>
      <c r="AE407" s="154">
        <v>955894</v>
      </c>
      <c r="AF407" s="154">
        <v>955928</v>
      </c>
      <c r="AG407" s="154">
        <v>955966</v>
      </c>
      <c r="AH407" s="154">
        <v>955994</v>
      </c>
      <c r="AI407" s="154">
        <v>956030</v>
      </c>
      <c r="AJ407" s="154">
        <v>956073</v>
      </c>
      <c r="AK407" s="154">
        <v>956103</v>
      </c>
      <c r="AL407" s="154">
        <v>956157</v>
      </c>
      <c r="AP407" cm="1">
        <f t="array" ref="AP407">IF(AQ407="","",SUM(IFERROR(H407:AL407-H406:AL406,0))*AQ407/100)</f>
        <v>146.4</v>
      </c>
      <c r="AQ407">
        <f>_xlfn.XLOOKUP(D407,log_prices!M:M,log_prices!L:L,,0)</f>
        <v>15</v>
      </c>
      <c r="AS407">
        <v>407</v>
      </c>
      <c r="AT407" cm="1">
        <f t="array" ref="AT407">IF(AQ407="","",SUM(IFERROR(H407:AL407-H406:AL406,0)))</f>
        <v>976</v>
      </c>
    </row>
    <row r="408" spans="1:46" hidden="1" x14ac:dyDescent="0.25">
      <c r="A408">
        <v>407</v>
      </c>
      <c r="B408">
        <v>2025</v>
      </c>
      <c r="C408">
        <v>8</v>
      </c>
      <c r="D408" t="s">
        <v>266</v>
      </c>
      <c r="E408">
        <v>31</v>
      </c>
      <c r="F408">
        <v>7</v>
      </c>
      <c r="G408" t="s">
        <v>534</v>
      </c>
      <c r="H408" s="154" t="s">
        <v>486</v>
      </c>
      <c r="I408" s="154" t="s">
        <v>486</v>
      </c>
      <c r="J408" s="154" t="s">
        <v>486</v>
      </c>
      <c r="K408" s="154" t="s">
        <v>486</v>
      </c>
      <c r="L408" s="154" t="s">
        <v>486</v>
      </c>
      <c r="M408" s="154" t="s">
        <v>486</v>
      </c>
      <c r="N408" s="154" t="s">
        <v>486</v>
      </c>
      <c r="O408" s="154" t="s">
        <v>486</v>
      </c>
      <c r="P408" s="154" t="s">
        <v>486</v>
      </c>
      <c r="Q408" s="154" t="s">
        <v>486</v>
      </c>
      <c r="R408" s="154" t="s">
        <v>486</v>
      </c>
      <c r="S408" s="154" t="s">
        <v>486</v>
      </c>
      <c r="T408" s="154" t="s">
        <v>486</v>
      </c>
      <c r="U408" s="154" t="s">
        <v>486</v>
      </c>
      <c r="V408" s="154" t="s">
        <v>486</v>
      </c>
      <c r="W408" s="154" t="s">
        <v>486</v>
      </c>
      <c r="X408" s="154" t="s">
        <v>486</v>
      </c>
      <c r="Y408" s="154" t="s">
        <v>486</v>
      </c>
      <c r="Z408" s="154" t="s">
        <v>486</v>
      </c>
      <c r="AA408" s="154" t="s">
        <v>486</v>
      </c>
      <c r="AB408" s="154" t="s">
        <v>486</v>
      </c>
      <c r="AC408" s="154" t="s">
        <v>486</v>
      </c>
      <c r="AD408" s="154" t="s">
        <v>486</v>
      </c>
      <c r="AE408" s="154" t="s">
        <v>486</v>
      </c>
      <c r="AF408" s="154" t="s">
        <v>486</v>
      </c>
      <c r="AG408" s="154" t="s">
        <v>486</v>
      </c>
      <c r="AH408" s="154" t="s">
        <v>486</v>
      </c>
      <c r="AI408" s="154" t="s">
        <v>486</v>
      </c>
      <c r="AJ408" s="154" t="s">
        <v>486</v>
      </c>
      <c r="AK408" s="154" t="s">
        <v>486</v>
      </c>
      <c r="AL408" s="154" t="s">
        <v>486</v>
      </c>
      <c r="AS408">
        <v>408</v>
      </c>
    </row>
    <row r="409" spans="1:46" hidden="1" x14ac:dyDescent="0.25">
      <c r="A409">
        <v>408</v>
      </c>
      <c r="B409">
        <v>2025</v>
      </c>
      <c r="C409">
        <v>8</v>
      </c>
      <c r="D409" t="s">
        <v>266</v>
      </c>
      <c r="E409">
        <v>31</v>
      </c>
      <c r="F409">
        <v>7</v>
      </c>
      <c r="G409" t="s">
        <v>535</v>
      </c>
      <c r="H409" s="154">
        <v>0.79166666666666674</v>
      </c>
      <c r="I409" s="154">
        <v>0.79166666666666674</v>
      </c>
      <c r="J409" s="154">
        <v>0.79166666666666674</v>
      </c>
      <c r="K409" s="154">
        <v>0.79166666666666674</v>
      </c>
      <c r="L409" s="154">
        <v>0.79166666666666674</v>
      </c>
      <c r="M409" s="154">
        <v>0.79166666666666674</v>
      </c>
      <c r="N409" s="154">
        <v>0.79166666666666674</v>
      </c>
      <c r="O409" s="154">
        <v>0.79166666666666674</v>
      </c>
      <c r="P409" s="154">
        <v>0.79166666666666674</v>
      </c>
      <c r="Q409" s="154">
        <v>0.875</v>
      </c>
      <c r="R409" s="154">
        <v>0.79166666666666674</v>
      </c>
      <c r="S409" s="154">
        <v>0.79166666666666674</v>
      </c>
      <c r="T409" s="154">
        <v>0.79166666666666674</v>
      </c>
      <c r="U409" s="154">
        <v>0.79166666666666674</v>
      </c>
      <c r="V409" s="154">
        <v>0.79166666666666674</v>
      </c>
      <c r="W409" s="154">
        <v>0.91666666666666674</v>
      </c>
      <c r="X409" s="154">
        <v>0.79166666666666674</v>
      </c>
      <c r="Y409" s="154">
        <v>0.79166666666666674</v>
      </c>
      <c r="Z409" s="154">
        <v>0.79166666666666674</v>
      </c>
      <c r="AA409" s="154">
        <v>0.79166666666666674</v>
      </c>
      <c r="AB409" s="154">
        <v>0.79166666666666674</v>
      </c>
      <c r="AC409" s="154">
        <v>0.79166666666666674</v>
      </c>
      <c r="AD409" s="154">
        <v>0.79166666666666674</v>
      </c>
      <c r="AE409" s="154">
        <v>0.79166666666666674</v>
      </c>
      <c r="AF409" s="154">
        <v>0.79166666666666674</v>
      </c>
      <c r="AG409" s="154">
        <v>0.79166666666666674</v>
      </c>
      <c r="AH409" s="154">
        <v>0.79166666666666674</v>
      </c>
      <c r="AI409" s="154">
        <v>0.79166666666666674</v>
      </c>
      <c r="AJ409" s="154">
        <v>0.79166666666666674</v>
      </c>
      <c r="AK409" s="154">
        <v>0.79166666666666674</v>
      </c>
      <c r="AL409" s="154">
        <v>0.79166666666666674</v>
      </c>
      <c r="AM409" cm="1">
        <f t="array" ref="AM409">SUM(_xlfn.LET(_xlpm.r,((IFERROR(H409:AL409-H408:AL408,0))*24)/10,IF(_xlpm.r&gt;1,1,_xlpm.r)))</f>
        <v>31</v>
      </c>
      <c r="AO409" cm="1">
        <f t="array" ref="AO409">SUM(IFERROR(MOD((H409:AL409-H408:AL408)*24,11),""))</f>
        <v>98</v>
      </c>
      <c r="AS409">
        <v>409</v>
      </c>
    </row>
    <row r="410" spans="1:46" hidden="1" x14ac:dyDescent="0.25">
      <c r="A410">
        <v>409</v>
      </c>
      <c r="B410">
        <v>2025</v>
      </c>
      <c r="C410">
        <v>8</v>
      </c>
      <c r="D410" t="s">
        <v>266</v>
      </c>
      <c r="E410">
        <v>31</v>
      </c>
      <c r="F410">
        <v>7</v>
      </c>
      <c r="G410" t="s">
        <v>536</v>
      </c>
      <c r="H410" s="154">
        <v>89710</v>
      </c>
      <c r="I410" s="154">
        <v>89878</v>
      </c>
      <c r="J410" s="154">
        <v>90098</v>
      </c>
      <c r="K410" s="154">
        <v>90263</v>
      </c>
      <c r="L410" s="154">
        <v>90436</v>
      </c>
      <c r="M410" s="154">
        <v>90614</v>
      </c>
      <c r="N410" s="154">
        <v>90779</v>
      </c>
      <c r="O410" s="154">
        <v>90986</v>
      </c>
      <c r="P410" s="154">
        <v>91154</v>
      </c>
      <c r="Q410" s="154">
        <v>91326</v>
      </c>
      <c r="R410" s="154">
        <v>91423</v>
      </c>
      <c r="S410" s="154">
        <v>91599</v>
      </c>
      <c r="T410" s="154">
        <v>91781</v>
      </c>
      <c r="U410" s="154">
        <v>91948</v>
      </c>
      <c r="V410" s="154">
        <v>92162</v>
      </c>
      <c r="W410" s="154">
        <v>92335</v>
      </c>
      <c r="X410" s="154">
        <v>92527</v>
      </c>
      <c r="Y410" s="154">
        <v>92694</v>
      </c>
      <c r="Z410" s="154">
        <v>92879</v>
      </c>
      <c r="AA410" s="154">
        <v>93052</v>
      </c>
      <c r="AB410" s="154">
        <v>93220</v>
      </c>
      <c r="AC410" s="154">
        <v>93412</v>
      </c>
      <c r="AD410" s="154">
        <v>93595</v>
      </c>
      <c r="AE410" s="154">
        <v>93822</v>
      </c>
      <c r="AF410" s="154">
        <v>94041</v>
      </c>
      <c r="AG410" s="154">
        <v>94224</v>
      </c>
      <c r="AH410" s="154">
        <v>94418</v>
      </c>
      <c r="AI410" s="154">
        <v>94585</v>
      </c>
      <c r="AJ410" s="154">
        <v>94768</v>
      </c>
      <c r="AK410" s="154">
        <v>94940</v>
      </c>
      <c r="AL410" s="154">
        <v>95108</v>
      </c>
      <c r="AS410">
        <v>410</v>
      </c>
    </row>
    <row r="411" spans="1:46" hidden="1" x14ac:dyDescent="0.25">
      <c r="A411">
        <v>410</v>
      </c>
      <c r="B411">
        <v>2025</v>
      </c>
      <c r="C411">
        <v>8</v>
      </c>
      <c r="D411" t="s">
        <v>266</v>
      </c>
      <c r="E411">
        <v>31</v>
      </c>
      <c r="F411">
        <v>7</v>
      </c>
      <c r="G411" t="s">
        <v>537</v>
      </c>
      <c r="H411" s="154">
        <v>89878</v>
      </c>
      <c r="I411" s="154">
        <v>90098</v>
      </c>
      <c r="J411" s="154">
        <v>90263</v>
      </c>
      <c r="K411" s="154">
        <v>90436</v>
      </c>
      <c r="L411" s="154">
        <v>90614</v>
      </c>
      <c r="M411" s="154">
        <v>90779</v>
      </c>
      <c r="N411" s="154">
        <v>90986</v>
      </c>
      <c r="O411" s="154">
        <v>91154</v>
      </c>
      <c r="P411" s="154">
        <v>91326</v>
      </c>
      <c r="Q411" s="154">
        <v>91423</v>
      </c>
      <c r="R411" s="154">
        <v>91599</v>
      </c>
      <c r="S411" s="154">
        <v>91781</v>
      </c>
      <c r="T411" s="154">
        <v>91948</v>
      </c>
      <c r="U411" s="154">
        <v>92162</v>
      </c>
      <c r="V411" s="154">
        <v>92335</v>
      </c>
      <c r="W411" s="154">
        <v>92527</v>
      </c>
      <c r="X411" s="154">
        <v>92694</v>
      </c>
      <c r="Y411" s="154">
        <v>92879</v>
      </c>
      <c r="Z411" s="154">
        <v>93052</v>
      </c>
      <c r="AA411" s="154">
        <v>93220</v>
      </c>
      <c r="AB411" s="154">
        <v>93412</v>
      </c>
      <c r="AC411" s="154">
        <v>93595</v>
      </c>
      <c r="AD411" s="154">
        <v>93822</v>
      </c>
      <c r="AE411" s="154">
        <v>94041</v>
      </c>
      <c r="AF411" s="154">
        <v>94224</v>
      </c>
      <c r="AG411" s="154">
        <v>94418</v>
      </c>
      <c r="AH411" s="154">
        <v>94585</v>
      </c>
      <c r="AI411" s="154">
        <v>94768</v>
      </c>
      <c r="AJ411" s="154">
        <v>94940</v>
      </c>
      <c r="AK411" s="154">
        <v>95108</v>
      </c>
      <c r="AL411" s="154">
        <v>95281</v>
      </c>
      <c r="AP411" cm="1">
        <f t="array" ref="AP411">IF(AQ411="","",SUM(IFERROR(H411:AL411-H410:AL410,0))*AQ411/100)-AM409*6</f>
        <v>649.64999999999986</v>
      </c>
      <c r="AQ411">
        <f>_xlfn.XLOOKUP(D411,log_prices!M:M,log_prices!L:L,,0)</f>
        <v>14.999999999999998</v>
      </c>
      <c r="AR411" t="s">
        <v>449</v>
      </c>
      <c r="AS411">
        <v>411</v>
      </c>
      <c r="AT411" cm="1">
        <f t="array" ref="AT411">IF(AQ411="","",SUM(IFERROR(H411:AL411-H410:AL410,0)))</f>
        <v>5571</v>
      </c>
    </row>
    <row r="412" spans="1:46" hidden="1" x14ac:dyDescent="0.25">
      <c r="A412">
        <v>411</v>
      </c>
      <c r="B412">
        <v>2025</v>
      </c>
      <c r="C412">
        <v>8</v>
      </c>
      <c r="D412" t="s">
        <v>275</v>
      </c>
      <c r="E412">
        <v>31</v>
      </c>
      <c r="F412">
        <v>7</v>
      </c>
      <c r="G412" t="s">
        <v>534</v>
      </c>
      <c r="H412" s="154" t="s">
        <v>424</v>
      </c>
      <c r="I412" s="154" t="s">
        <v>424</v>
      </c>
      <c r="J412" s="154" t="s">
        <v>424</v>
      </c>
      <c r="K412" s="154" t="s">
        <v>424</v>
      </c>
      <c r="L412" s="154" t="s">
        <v>424</v>
      </c>
      <c r="M412" s="154" t="s">
        <v>424</v>
      </c>
      <c r="N412" s="154" t="s">
        <v>424</v>
      </c>
      <c r="O412" s="154" t="s">
        <v>424</v>
      </c>
      <c r="P412" s="154" t="s">
        <v>479</v>
      </c>
      <c r="Q412" s="154" t="s">
        <v>479</v>
      </c>
      <c r="R412" s="154" t="s">
        <v>479</v>
      </c>
      <c r="S412" s="154" t="s">
        <v>479</v>
      </c>
      <c r="T412" s="154" t="s">
        <v>479</v>
      </c>
      <c r="U412" s="154" t="s">
        <v>479</v>
      </c>
      <c r="V412" s="154" t="s">
        <v>479</v>
      </c>
      <c r="W412" s="154" t="s">
        <v>479</v>
      </c>
      <c r="X412" s="154" t="s">
        <v>479</v>
      </c>
      <c r="Y412" s="154" t="s">
        <v>479</v>
      </c>
      <c r="Z412" s="154" t="s">
        <v>479</v>
      </c>
      <c r="AA412" s="154" t="s">
        <v>479</v>
      </c>
      <c r="AB412" s="154" t="s">
        <v>479</v>
      </c>
      <c r="AC412" s="154" t="s">
        <v>479</v>
      </c>
      <c r="AD412" s="154" t="s">
        <v>479</v>
      </c>
      <c r="AE412" s="154" t="s">
        <v>424</v>
      </c>
      <c r="AF412" s="154" t="s">
        <v>479</v>
      </c>
      <c r="AG412" s="154" t="s">
        <v>479</v>
      </c>
      <c r="AH412" s="154" t="s">
        <v>479</v>
      </c>
      <c r="AI412" s="154" t="s">
        <v>479</v>
      </c>
      <c r="AJ412" s="154" t="s">
        <v>479</v>
      </c>
      <c r="AK412" s="154" t="s">
        <v>479</v>
      </c>
      <c r="AL412" s="154" t="s">
        <v>479</v>
      </c>
      <c r="AS412">
        <v>412</v>
      </c>
    </row>
    <row r="413" spans="1:46" hidden="1" x14ac:dyDescent="0.25">
      <c r="A413">
        <v>412</v>
      </c>
      <c r="B413">
        <v>2025</v>
      </c>
      <c r="C413">
        <v>8</v>
      </c>
      <c r="D413" t="s">
        <v>275</v>
      </c>
      <c r="E413">
        <v>31</v>
      </c>
      <c r="F413">
        <v>7</v>
      </c>
      <c r="G413" t="s">
        <v>535</v>
      </c>
      <c r="H413" s="154" t="s">
        <v>424</v>
      </c>
      <c r="I413" s="154" t="s">
        <v>424</v>
      </c>
      <c r="J413" s="154" t="s">
        <v>424</v>
      </c>
      <c r="K413" s="154" t="s">
        <v>424</v>
      </c>
      <c r="L413" s="154" t="s">
        <v>424</v>
      </c>
      <c r="M413" s="154" t="s">
        <v>424</v>
      </c>
      <c r="N413" s="154" t="s">
        <v>424</v>
      </c>
      <c r="O413" s="154" t="s">
        <v>424</v>
      </c>
      <c r="P413" s="154">
        <v>0.75</v>
      </c>
      <c r="Q413" s="154">
        <v>0.75</v>
      </c>
      <c r="R413" s="154">
        <v>0.75</v>
      </c>
      <c r="S413" s="154">
        <v>0.75</v>
      </c>
      <c r="T413" s="154">
        <v>0.75</v>
      </c>
      <c r="U413" s="154">
        <v>0.75</v>
      </c>
      <c r="V413" s="154">
        <v>0.75</v>
      </c>
      <c r="W413" s="154">
        <v>0.75</v>
      </c>
      <c r="X413" s="154">
        <v>0.75</v>
      </c>
      <c r="Y413" s="154">
        <v>0.75</v>
      </c>
      <c r="Z413" s="154">
        <v>0.75</v>
      </c>
      <c r="AA413" s="154">
        <v>0.875</v>
      </c>
      <c r="AB413" s="154">
        <v>0.75</v>
      </c>
      <c r="AC413" s="154">
        <v>0.91666666666666674</v>
      </c>
      <c r="AD413" s="154">
        <v>0.75</v>
      </c>
      <c r="AE413" s="154" t="s">
        <v>424</v>
      </c>
      <c r="AF413" s="154">
        <v>0.75</v>
      </c>
      <c r="AG413" s="154">
        <v>0.91666666666666674</v>
      </c>
      <c r="AH413" s="154">
        <v>0.875</v>
      </c>
      <c r="AI413" s="154">
        <v>0.875</v>
      </c>
      <c r="AJ413" s="154">
        <v>0.875</v>
      </c>
      <c r="AK413" s="154">
        <v>0.75</v>
      </c>
      <c r="AL413" s="154">
        <v>0.75</v>
      </c>
      <c r="AM413" cm="1">
        <f t="array" ref="AM413">SUM(_xlfn.LET(_xlpm.r,((IFERROR(H413:AL413-H412:AL412,0))*24)/10,IF(_xlpm.r&gt;1,1,_xlpm.r)))</f>
        <v>22</v>
      </c>
      <c r="AO413" cm="1">
        <f t="array" ref="AO413">SUM(IFERROR(MOD((H413:AL413-H412:AL412)*24,11),""))</f>
        <v>19.999999999999993</v>
      </c>
      <c r="AS413">
        <v>413</v>
      </c>
    </row>
    <row r="414" spans="1:46" hidden="1" x14ac:dyDescent="0.25">
      <c r="A414">
        <v>413</v>
      </c>
      <c r="B414">
        <v>2025</v>
      </c>
      <c r="C414">
        <v>8</v>
      </c>
      <c r="D414" t="s">
        <v>275</v>
      </c>
      <c r="E414">
        <v>31</v>
      </c>
      <c r="F414">
        <v>7</v>
      </c>
      <c r="G414" t="s">
        <v>534</v>
      </c>
      <c r="H414" s="154" t="s">
        <v>424</v>
      </c>
      <c r="I414" s="154" t="s">
        <v>424</v>
      </c>
      <c r="J414" s="154" t="s">
        <v>424</v>
      </c>
      <c r="K414" s="154" t="s">
        <v>424</v>
      </c>
      <c r="L414" s="154" t="s">
        <v>424</v>
      </c>
      <c r="M414" s="154" t="s">
        <v>424</v>
      </c>
      <c r="N414" s="154" t="s">
        <v>424</v>
      </c>
      <c r="O414" s="154" t="s">
        <v>424</v>
      </c>
      <c r="P414" s="154">
        <v>198480</v>
      </c>
      <c r="Q414" s="154">
        <v>198480</v>
      </c>
      <c r="R414" s="154">
        <v>198480</v>
      </c>
      <c r="S414" s="154">
        <v>198480</v>
      </c>
      <c r="T414" s="154">
        <v>198480</v>
      </c>
      <c r="U414" s="154">
        <v>198480</v>
      </c>
      <c r="V414" s="154">
        <v>198480</v>
      </c>
      <c r="W414" s="154">
        <v>198480</v>
      </c>
      <c r="X414" s="154">
        <v>198480</v>
      </c>
      <c r="Y414" s="154">
        <v>198480</v>
      </c>
      <c r="Z414" s="154">
        <v>198571</v>
      </c>
      <c r="AA414" s="154">
        <v>198650</v>
      </c>
      <c r="AB414" s="154">
        <v>198818</v>
      </c>
      <c r="AC414" s="154">
        <v>198913</v>
      </c>
      <c r="AD414" s="154">
        <v>199035</v>
      </c>
      <c r="AE414" s="154" t="s">
        <v>424</v>
      </c>
      <c r="AF414" s="154">
        <v>199191</v>
      </c>
      <c r="AG414" s="154">
        <v>199258</v>
      </c>
      <c r="AH414" s="154">
        <v>199299</v>
      </c>
      <c r="AI414" s="154">
        <v>199344</v>
      </c>
      <c r="AJ414" s="154">
        <v>199384</v>
      </c>
      <c r="AK414" s="154">
        <v>199423</v>
      </c>
      <c r="AL414" s="154">
        <v>199442</v>
      </c>
      <c r="AS414">
        <v>414</v>
      </c>
    </row>
    <row r="415" spans="1:46" hidden="1" x14ac:dyDescent="0.25">
      <c r="A415">
        <v>414</v>
      </c>
      <c r="B415">
        <v>2025</v>
      </c>
      <c r="C415">
        <v>8</v>
      </c>
      <c r="D415" t="s">
        <v>275</v>
      </c>
      <c r="E415">
        <v>31</v>
      </c>
      <c r="F415">
        <v>7</v>
      </c>
      <c r="G415" t="s">
        <v>535</v>
      </c>
      <c r="H415" s="154" t="s">
        <v>424</v>
      </c>
      <c r="I415" s="154" t="s">
        <v>424</v>
      </c>
      <c r="J415" s="154" t="s">
        <v>424</v>
      </c>
      <c r="K415" s="154" t="s">
        <v>424</v>
      </c>
      <c r="L415" s="154" t="s">
        <v>424</v>
      </c>
      <c r="M415" s="154" t="s">
        <v>424</v>
      </c>
      <c r="N415" s="154" t="s">
        <v>424</v>
      </c>
      <c r="O415" s="154" t="s">
        <v>424</v>
      </c>
      <c r="P415" s="154">
        <v>198571</v>
      </c>
      <c r="Q415" s="154">
        <v>198571</v>
      </c>
      <c r="R415" s="154">
        <v>198571</v>
      </c>
      <c r="S415" s="154">
        <v>198571</v>
      </c>
      <c r="T415" s="154">
        <v>198571</v>
      </c>
      <c r="U415" s="154">
        <v>198571</v>
      </c>
      <c r="V415" s="154">
        <v>198571</v>
      </c>
      <c r="W415" s="154">
        <v>198571</v>
      </c>
      <c r="X415" s="154">
        <v>198571</v>
      </c>
      <c r="Y415" s="154">
        <v>198571</v>
      </c>
      <c r="Z415" s="154">
        <v>198650</v>
      </c>
      <c r="AA415" s="154">
        <v>198818</v>
      </c>
      <c r="AB415" s="154">
        <v>198913</v>
      </c>
      <c r="AC415" s="154">
        <v>199035</v>
      </c>
      <c r="AD415" s="154">
        <v>199191</v>
      </c>
      <c r="AE415" s="154" t="s">
        <v>424</v>
      </c>
      <c r="AF415" s="154">
        <v>199258</v>
      </c>
      <c r="AG415" s="154">
        <v>199299</v>
      </c>
      <c r="AH415" s="154">
        <v>199344</v>
      </c>
      <c r="AI415" s="154">
        <v>199384</v>
      </c>
      <c r="AJ415" s="154">
        <v>199423</v>
      </c>
      <c r="AK415" s="154">
        <v>199442</v>
      </c>
      <c r="AL415" s="154">
        <v>199498</v>
      </c>
      <c r="AP415" cm="1">
        <f t="array" ref="AP415">IF(AQ415="","",SUM(IFERROR(H415:AL415-H414:AL414,0))*AQ415/100)</f>
        <v>275.55</v>
      </c>
      <c r="AQ415">
        <f>_xlfn.XLOOKUP(D415,log_prices!M:M,log_prices!L:L,,0)</f>
        <v>15</v>
      </c>
      <c r="AS415">
        <v>415</v>
      </c>
      <c r="AT415" cm="1">
        <f t="array" ref="AT415">IF(AQ415="","",SUM(IFERROR(H415:AL415-H414:AL414,0)))</f>
        <v>1837</v>
      </c>
    </row>
    <row r="416" spans="1:46" hidden="1" x14ac:dyDescent="0.25">
      <c r="A416">
        <v>415</v>
      </c>
      <c r="B416">
        <v>2025</v>
      </c>
      <c r="C416">
        <v>8</v>
      </c>
      <c r="D416" t="s">
        <v>254</v>
      </c>
      <c r="E416">
        <v>31</v>
      </c>
      <c r="F416">
        <v>7</v>
      </c>
      <c r="G416" t="s">
        <v>534</v>
      </c>
      <c r="H416" s="154" t="s">
        <v>511</v>
      </c>
      <c r="I416" s="154" t="s">
        <v>511</v>
      </c>
      <c r="J416" s="154" t="s">
        <v>511</v>
      </c>
      <c r="K416" s="154" t="s">
        <v>511</v>
      </c>
      <c r="L416" s="154" t="s">
        <v>511</v>
      </c>
      <c r="M416" s="154" t="s">
        <v>511</v>
      </c>
      <c r="N416" s="154" t="s">
        <v>511</v>
      </c>
      <c r="O416" s="154" t="s">
        <v>511</v>
      </c>
      <c r="P416" s="154" t="s">
        <v>511</v>
      </c>
      <c r="Q416" s="154" t="s">
        <v>511</v>
      </c>
      <c r="R416" s="154" t="s">
        <v>424</v>
      </c>
      <c r="S416" s="154" t="s">
        <v>424</v>
      </c>
      <c r="T416" s="154" t="s">
        <v>424</v>
      </c>
      <c r="U416" s="154" t="s">
        <v>424</v>
      </c>
      <c r="V416" s="154" t="s">
        <v>424</v>
      </c>
      <c r="W416" s="154" t="s">
        <v>424</v>
      </c>
      <c r="X416" s="154" t="s">
        <v>424</v>
      </c>
      <c r="Y416" s="154" t="s">
        <v>424</v>
      </c>
      <c r="Z416" s="154" t="s">
        <v>424</v>
      </c>
      <c r="AA416" s="154" t="s">
        <v>424</v>
      </c>
      <c r="AB416" s="154" t="s">
        <v>424</v>
      </c>
      <c r="AC416" s="154" t="s">
        <v>424</v>
      </c>
      <c r="AD416" s="154" t="s">
        <v>424</v>
      </c>
      <c r="AE416" s="154" t="s">
        <v>424</v>
      </c>
      <c r="AF416" s="154" t="s">
        <v>424</v>
      </c>
      <c r="AG416" s="154" t="s">
        <v>424</v>
      </c>
      <c r="AH416" s="154" t="s">
        <v>424</v>
      </c>
      <c r="AI416" s="154" t="s">
        <v>424</v>
      </c>
      <c r="AJ416" s="154" t="s">
        <v>424</v>
      </c>
      <c r="AK416" s="154" t="s">
        <v>424</v>
      </c>
      <c r="AL416" s="154" t="s">
        <v>424</v>
      </c>
      <c r="AS416">
        <v>416</v>
      </c>
    </row>
    <row r="417" spans="1:46" hidden="1" x14ac:dyDescent="0.25">
      <c r="A417">
        <v>416</v>
      </c>
      <c r="B417">
        <v>2025</v>
      </c>
      <c r="C417">
        <v>8</v>
      </c>
      <c r="D417" t="s">
        <v>254</v>
      </c>
      <c r="E417">
        <v>31</v>
      </c>
      <c r="F417">
        <v>7</v>
      </c>
      <c r="G417" t="s">
        <v>535</v>
      </c>
      <c r="H417" s="154">
        <v>0.85416666666666663</v>
      </c>
      <c r="I417" s="154">
        <v>0.77083333333333326</v>
      </c>
      <c r="J417" s="154">
        <v>0.85416666666666663</v>
      </c>
      <c r="K417" s="154">
        <v>0.85416666666666663</v>
      </c>
      <c r="L417" s="154">
        <v>0.77083333333333326</v>
      </c>
      <c r="M417" s="154">
        <v>0.85416666666666663</v>
      </c>
      <c r="N417" s="154">
        <v>0.85416666666666663</v>
      </c>
      <c r="O417" s="154">
        <v>0.85416666666666663</v>
      </c>
      <c r="P417" s="154">
        <v>0.85416666666666663</v>
      </c>
      <c r="Q417" s="154">
        <v>0.85416666666666663</v>
      </c>
      <c r="R417" s="154" t="s">
        <v>424</v>
      </c>
      <c r="S417" s="154" t="s">
        <v>424</v>
      </c>
      <c r="T417" s="154" t="s">
        <v>424</v>
      </c>
      <c r="U417" s="154" t="s">
        <v>424</v>
      </c>
      <c r="V417" s="154" t="s">
        <v>424</v>
      </c>
      <c r="W417" s="154" t="s">
        <v>424</v>
      </c>
      <c r="X417" s="154" t="s">
        <v>424</v>
      </c>
      <c r="Y417" s="154" t="s">
        <v>424</v>
      </c>
      <c r="Z417" s="154" t="s">
        <v>424</v>
      </c>
      <c r="AA417" s="154" t="s">
        <v>424</v>
      </c>
      <c r="AB417" s="154" t="s">
        <v>424</v>
      </c>
      <c r="AC417" s="154" t="s">
        <v>424</v>
      </c>
      <c r="AD417" s="154" t="s">
        <v>424</v>
      </c>
      <c r="AE417" s="154" t="s">
        <v>424</v>
      </c>
      <c r="AF417" s="154" t="s">
        <v>424</v>
      </c>
      <c r="AG417" s="154" t="s">
        <v>424</v>
      </c>
      <c r="AH417" s="154" t="s">
        <v>424</v>
      </c>
      <c r="AI417" s="154" t="s">
        <v>424</v>
      </c>
      <c r="AJ417" s="154" t="s">
        <v>424</v>
      </c>
      <c r="AK417" s="154" t="s">
        <v>424</v>
      </c>
      <c r="AL417" s="154" t="s">
        <v>424</v>
      </c>
      <c r="AM417" cm="1">
        <f t="array" ref="AM417">SUM(_xlfn.LET(_xlpm.r,((IFERROR(H417:AL417-H416:AL416,0))*24)/10,IF(_xlpm.r&gt;1,1,_xlpm.r)))</f>
        <v>10</v>
      </c>
      <c r="AO417" cm="1">
        <f t="array" ref="AO417">SUM(IFERROR(MOD((H417:AL417-H416:AL416)*24,11),""))</f>
        <v>25.999999999999986</v>
      </c>
      <c r="AS417">
        <v>417</v>
      </c>
    </row>
    <row r="418" spans="1:46" hidden="1" x14ac:dyDescent="0.25">
      <c r="A418">
        <v>417</v>
      </c>
      <c r="B418">
        <v>2025</v>
      </c>
      <c r="C418">
        <v>8</v>
      </c>
      <c r="D418" t="s">
        <v>254</v>
      </c>
      <c r="E418">
        <v>31</v>
      </c>
      <c r="F418">
        <v>7</v>
      </c>
      <c r="G418" t="s">
        <v>536</v>
      </c>
      <c r="H418" s="154">
        <v>781847</v>
      </c>
      <c r="I418" s="154">
        <v>782069</v>
      </c>
      <c r="J418" s="154">
        <v>782258</v>
      </c>
      <c r="K418" s="154">
        <v>782542</v>
      </c>
      <c r="L418" s="154">
        <v>782691</v>
      </c>
      <c r="M418" s="154">
        <v>782781</v>
      </c>
      <c r="N418" s="154">
        <v>782886</v>
      </c>
      <c r="O418" s="154">
        <v>783026</v>
      </c>
      <c r="P418" s="154">
        <v>783160</v>
      </c>
      <c r="Q418" s="154">
        <v>783290</v>
      </c>
      <c r="R418" s="154" t="s">
        <v>424</v>
      </c>
      <c r="S418" s="154" t="s">
        <v>424</v>
      </c>
      <c r="T418" s="154" t="s">
        <v>424</v>
      </c>
      <c r="U418" s="154" t="s">
        <v>424</v>
      </c>
      <c r="V418" s="154" t="s">
        <v>424</v>
      </c>
      <c r="W418" s="154" t="s">
        <v>424</v>
      </c>
      <c r="X418" s="154" t="s">
        <v>424</v>
      </c>
      <c r="Y418" s="154" t="s">
        <v>424</v>
      </c>
      <c r="Z418" s="154" t="s">
        <v>424</v>
      </c>
      <c r="AA418" s="154" t="s">
        <v>424</v>
      </c>
      <c r="AB418" s="154" t="s">
        <v>424</v>
      </c>
      <c r="AC418" s="154" t="s">
        <v>424</v>
      </c>
      <c r="AD418" s="154" t="s">
        <v>424</v>
      </c>
      <c r="AE418" s="154" t="s">
        <v>424</v>
      </c>
      <c r="AF418" s="154" t="s">
        <v>424</v>
      </c>
      <c r="AG418" s="154" t="s">
        <v>424</v>
      </c>
      <c r="AH418" s="154" t="s">
        <v>424</v>
      </c>
      <c r="AI418" s="154" t="s">
        <v>424</v>
      </c>
      <c r="AJ418" s="154" t="s">
        <v>424</v>
      </c>
      <c r="AK418" s="154" t="s">
        <v>424</v>
      </c>
      <c r="AL418" s="154" t="s">
        <v>424</v>
      </c>
      <c r="AS418">
        <v>418</v>
      </c>
    </row>
    <row r="419" spans="1:46" hidden="1" x14ac:dyDescent="0.25">
      <c r="A419">
        <v>418</v>
      </c>
      <c r="B419">
        <v>2025</v>
      </c>
      <c r="C419">
        <v>8</v>
      </c>
      <c r="D419" t="s">
        <v>254</v>
      </c>
      <c r="E419">
        <v>31</v>
      </c>
      <c r="F419">
        <v>7</v>
      </c>
      <c r="G419" t="s">
        <v>537</v>
      </c>
      <c r="H419" s="154">
        <v>782069</v>
      </c>
      <c r="I419" s="154">
        <v>782203</v>
      </c>
      <c r="J419" s="154">
        <v>782512</v>
      </c>
      <c r="K419" s="154">
        <v>782691</v>
      </c>
      <c r="L419" s="154">
        <v>782781</v>
      </c>
      <c r="M419" s="154">
        <v>782886</v>
      </c>
      <c r="N419" s="154">
        <v>783026</v>
      </c>
      <c r="O419" s="154">
        <v>783160</v>
      </c>
      <c r="P419" s="154">
        <v>783290</v>
      </c>
      <c r="Q419" s="154">
        <v>783410</v>
      </c>
      <c r="R419" s="154" t="s">
        <v>424</v>
      </c>
      <c r="S419" s="154" t="s">
        <v>424</v>
      </c>
      <c r="T419" s="154" t="s">
        <v>424</v>
      </c>
      <c r="U419" s="154" t="s">
        <v>424</v>
      </c>
      <c r="V419" s="154" t="s">
        <v>424</v>
      </c>
      <c r="W419" s="154" t="s">
        <v>424</v>
      </c>
      <c r="X419" s="154" t="s">
        <v>424</v>
      </c>
      <c r="Y419" s="154" t="s">
        <v>424</v>
      </c>
      <c r="Z419" s="154" t="s">
        <v>424</v>
      </c>
      <c r="AA419" s="154" t="s">
        <v>424</v>
      </c>
      <c r="AB419" s="154" t="s">
        <v>424</v>
      </c>
      <c r="AC419" s="154" t="s">
        <v>424</v>
      </c>
      <c r="AD419" s="154" t="s">
        <v>424</v>
      </c>
      <c r="AE419" s="154" t="s">
        <v>424</v>
      </c>
      <c r="AF419" s="154" t="s">
        <v>424</v>
      </c>
      <c r="AG419" s="154" t="s">
        <v>424</v>
      </c>
      <c r="AH419" s="154" t="s">
        <v>424</v>
      </c>
      <c r="AI419" s="154" t="s">
        <v>424</v>
      </c>
      <c r="AJ419" s="154" t="s">
        <v>424</v>
      </c>
      <c r="AK419" s="154" t="s">
        <v>424</v>
      </c>
      <c r="AL419" s="154" t="s">
        <v>424</v>
      </c>
      <c r="AP419" cm="1">
        <f t="array" ref="AP419">IF(AQ419="","",SUM(IFERROR(H419:AL419-H418:AL418,0))*AQ419/100)-(AM417-1)*9</f>
        <v>140.69999999999999</v>
      </c>
      <c r="AQ419">
        <f>_xlfn.XLOOKUP(D419,log_prices!M:M,log_prices!L:L,,0)</f>
        <v>15</v>
      </c>
      <c r="AR419" t="s">
        <v>450</v>
      </c>
      <c r="AS419">
        <v>419</v>
      </c>
      <c r="AT419" cm="1">
        <f t="array" ref="AT419">IF(AQ419="","",SUM(IFERROR(H419:AL419-H418:AL418,0)))</f>
        <v>1478</v>
      </c>
    </row>
    <row r="420" spans="1:46" hidden="1" x14ac:dyDescent="0.25">
      <c r="A420">
        <v>419</v>
      </c>
      <c r="B420">
        <v>2025</v>
      </c>
      <c r="C420">
        <v>8</v>
      </c>
      <c r="D420" t="s">
        <v>265</v>
      </c>
      <c r="E420">
        <v>31</v>
      </c>
      <c r="F420">
        <v>7</v>
      </c>
      <c r="G420" t="s">
        <v>534</v>
      </c>
      <c r="H420" s="154" t="s">
        <v>479</v>
      </c>
      <c r="I420" s="154" t="s">
        <v>479</v>
      </c>
      <c r="J420" s="154" t="s">
        <v>479</v>
      </c>
      <c r="K420" s="154" t="s">
        <v>479</v>
      </c>
      <c r="L420" s="154" t="s">
        <v>479</v>
      </c>
      <c r="M420" s="154" t="s">
        <v>479</v>
      </c>
      <c r="N420" s="154" t="s">
        <v>479</v>
      </c>
      <c r="O420" s="154" t="s">
        <v>479</v>
      </c>
      <c r="P420" s="154" t="s">
        <v>479</v>
      </c>
      <c r="Q420" s="154" t="s">
        <v>479</v>
      </c>
      <c r="R420" s="154" t="s">
        <v>479</v>
      </c>
      <c r="S420" s="154" t="s">
        <v>479</v>
      </c>
      <c r="T420" s="154" t="s">
        <v>479</v>
      </c>
      <c r="U420" s="154" t="s">
        <v>479</v>
      </c>
      <c r="V420" s="154" t="s">
        <v>479</v>
      </c>
      <c r="W420" s="154" t="s">
        <v>479</v>
      </c>
      <c r="X420" s="154" t="s">
        <v>479</v>
      </c>
      <c r="Y420" s="154" t="s">
        <v>479</v>
      </c>
      <c r="Z420" s="154" t="s">
        <v>479</v>
      </c>
      <c r="AA420" s="154" t="s">
        <v>479</v>
      </c>
      <c r="AB420" s="154" t="s">
        <v>479</v>
      </c>
      <c r="AC420" s="154" t="s">
        <v>479</v>
      </c>
      <c r="AD420" s="154" t="s">
        <v>479</v>
      </c>
      <c r="AE420" s="154" t="s">
        <v>424</v>
      </c>
      <c r="AF420" s="154" t="s">
        <v>479</v>
      </c>
      <c r="AG420" s="154" t="s">
        <v>479</v>
      </c>
      <c r="AH420" s="154" t="s">
        <v>479</v>
      </c>
      <c r="AI420" s="154" t="s">
        <v>479</v>
      </c>
      <c r="AJ420" s="154" t="s">
        <v>479</v>
      </c>
      <c r="AK420" s="154" t="s">
        <v>479</v>
      </c>
      <c r="AL420" s="154" t="s">
        <v>479</v>
      </c>
      <c r="AS420">
        <v>420</v>
      </c>
    </row>
    <row r="421" spans="1:46" hidden="1" x14ac:dyDescent="0.25">
      <c r="A421">
        <v>420</v>
      </c>
      <c r="B421">
        <v>2025</v>
      </c>
      <c r="C421">
        <v>8</v>
      </c>
      <c r="D421" t="s">
        <v>265</v>
      </c>
      <c r="E421">
        <v>31</v>
      </c>
      <c r="F421">
        <v>7</v>
      </c>
      <c r="G421" t="s">
        <v>535</v>
      </c>
      <c r="H421" s="154">
        <v>0.79166666666666674</v>
      </c>
      <c r="I421" s="154">
        <v>1.0416666666666667</v>
      </c>
      <c r="J421" s="154">
        <v>1</v>
      </c>
      <c r="K421" s="154">
        <v>0.75</v>
      </c>
      <c r="L421" s="154">
        <v>1.0416666666666667</v>
      </c>
      <c r="M421" s="154">
        <v>0.79166666666666674</v>
      </c>
      <c r="N421" s="154">
        <v>1.0416666666666667</v>
      </c>
      <c r="O421" s="154">
        <v>0.75</v>
      </c>
      <c r="P421" s="154">
        <v>1.0416666666666667</v>
      </c>
      <c r="Q421" s="154">
        <v>0.75</v>
      </c>
      <c r="R421" s="154">
        <v>0.79166666666666674</v>
      </c>
      <c r="S421" s="154">
        <v>1</v>
      </c>
      <c r="T421" s="154">
        <v>0.79166666666666674</v>
      </c>
      <c r="U421" s="154">
        <v>1.0416666666666667</v>
      </c>
      <c r="V421" s="154">
        <v>0.83333333333333326</v>
      </c>
      <c r="W421" s="154">
        <v>1.0833333333333333</v>
      </c>
      <c r="X421" s="154">
        <v>0.75</v>
      </c>
      <c r="Y421" s="154">
        <v>0.75</v>
      </c>
      <c r="Z421" s="154">
        <v>1.0833333333333333</v>
      </c>
      <c r="AA421" s="154">
        <v>0.75</v>
      </c>
      <c r="AB421" s="154">
        <v>0.91666666666666674</v>
      </c>
      <c r="AC421" s="154">
        <v>0.75</v>
      </c>
      <c r="AD421" s="154">
        <v>0.75</v>
      </c>
      <c r="AE421" s="154" t="s">
        <v>424</v>
      </c>
      <c r="AF421" s="154">
        <v>1.0833333333333333</v>
      </c>
      <c r="AG421" s="154">
        <v>0.75</v>
      </c>
      <c r="AH421" s="154">
        <v>1</v>
      </c>
      <c r="AI421" s="154">
        <v>0.75</v>
      </c>
      <c r="AJ421" s="154">
        <v>1.0416666666666667</v>
      </c>
      <c r="AK421" s="154">
        <v>1</v>
      </c>
      <c r="AL421" s="154">
        <v>0.75</v>
      </c>
      <c r="AM421" cm="1">
        <f t="array" ref="AM421">SUM(_xlfn.LET(_xlpm.r,((IFERROR(H421:AL421-H420:AL420,0))*24)/10,IF(_xlpm.r&gt;1,1,_xlpm.r)))</f>
        <v>30</v>
      </c>
      <c r="AO421" cm="1">
        <f t="array" ref="AO421">SUM(IFERROR(MOD((H421:AL421-H420:AL420)*24,11),""))</f>
        <v>100</v>
      </c>
      <c r="AS421">
        <v>421</v>
      </c>
    </row>
    <row r="422" spans="1:46" hidden="1" x14ac:dyDescent="0.25">
      <c r="A422">
        <v>421</v>
      </c>
      <c r="B422">
        <v>2025</v>
      </c>
      <c r="C422">
        <v>8</v>
      </c>
      <c r="D422" t="s">
        <v>265</v>
      </c>
      <c r="E422">
        <v>31</v>
      </c>
      <c r="F422">
        <v>7</v>
      </c>
      <c r="G422" t="s">
        <v>534</v>
      </c>
      <c r="H422" s="154">
        <v>816037</v>
      </c>
      <c r="I422" s="154">
        <v>816089</v>
      </c>
      <c r="J422" s="154">
        <v>816184</v>
      </c>
      <c r="K422" s="154">
        <v>816267</v>
      </c>
      <c r="L422" s="154">
        <v>816321</v>
      </c>
      <c r="M422" s="154">
        <v>816381</v>
      </c>
      <c r="N422" s="154">
        <v>816435</v>
      </c>
      <c r="O422" s="154">
        <v>816509</v>
      </c>
      <c r="P422" s="154">
        <v>816584</v>
      </c>
      <c r="Q422" s="154">
        <v>816674</v>
      </c>
      <c r="R422" s="154">
        <v>816717</v>
      </c>
      <c r="S422" s="154">
        <v>816803</v>
      </c>
      <c r="T422" s="154">
        <v>816889</v>
      </c>
      <c r="U422" s="154">
        <v>816950</v>
      </c>
      <c r="V422" s="154">
        <v>817024</v>
      </c>
      <c r="W422" s="154">
        <v>817074</v>
      </c>
      <c r="X422" s="154">
        <v>817147</v>
      </c>
      <c r="Y422" s="154">
        <v>817198</v>
      </c>
      <c r="Z422" s="154">
        <v>817254</v>
      </c>
      <c r="AA422" s="154">
        <v>817334</v>
      </c>
      <c r="AB422" s="154">
        <v>817387</v>
      </c>
      <c r="AC422" s="154">
        <v>817478</v>
      </c>
      <c r="AD422" s="154">
        <v>817502</v>
      </c>
      <c r="AE422" s="154" t="s">
        <v>424</v>
      </c>
      <c r="AF422" s="154">
        <v>817581</v>
      </c>
      <c r="AG422" s="154">
        <v>817664</v>
      </c>
      <c r="AH422" s="154">
        <v>817723</v>
      </c>
      <c r="AI422" s="154">
        <v>817786</v>
      </c>
      <c r="AJ422" s="154">
        <v>817856</v>
      </c>
      <c r="AK422" s="154">
        <v>817922</v>
      </c>
      <c r="AL422" s="154">
        <v>818005</v>
      </c>
      <c r="AS422">
        <v>422</v>
      </c>
    </row>
    <row r="423" spans="1:46" hidden="1" x14ac:dyDescent="0.25">
      <c r="A423">
        <v>422</v>
      </c>
      <c r="B423">
        <v>2025</v>
      </c>
      <c r="C423">
        <v>8</v>
      </c>
      <c r="D423" t="s">
        <v>265</v>
      </c>
      <c r="E423">
        <v>31</v>
      </c>
      <c r="F423">
        <v>7</v>
      </c>
      <c r="G423" t="s">
        <v>535</v>
      </c>
      <c r="H423" s="154">
        <v>816089</v>
      </c>
      <c r="I423" s="154">
        <v>816184</v>
      </c>
      <c r="J423" s="154">
        <v>816267</v>
      </c>
      <c r="K423" s="154">
        <v>816321</v>
      </c>
      <c r="L423" s="154">
        <v>816381</v>
      </c>
      <c r="M423" s="154">
        <v>816435</v>
      </c>
      <c r="N423" s="154">
        <v>816509</v>
      </c>
      <c r="O423" s="154">
        <v>816584</v>
      </c>
      <c r="P423" s="154">
        <v>816674</v>
      </c>
      <c r="Q423" s="154">
        <v>816717</v>
      </c>
      <c r="R423" s="154">
        <v>816803</v>
      </c>
      <c r="S423" s="154">
        <v>816889</v>
      </c>
      <c r="T423" s="154">
        <v>816950</v>
      </c>
      <c r="U423" s="154">
        <v>817021</v>
      </c>
      <c r="V423" s="154">
        <v>817074</v>
      </c>
      <c r="W423" s="154">
        <v>817147</v>
      </c>
      <c r="X423" s="154">
        <v>817198</v>
      </c>
      <c r="Y423" s="154">
        <v>817254</v>
      </c>
      <c r="Z423" s="154">
        <v>817334</v>
      </c>
      <c r="AA423" s="154">
        <v>817387</v>
      </c>
      <c r="AB423" s="154">
        <v>817478</v>
      </c>
      <c r="AC423" s="154">
        <v>817502</v>
      </c>
      <c r="AD423" s="154">
        <v>817576</v>
      </c>
      <c r="AE423" s="154" t="s">
        <v>424</v>
      </c>
      <c r="AF423" s="154">
        <v>817664</v>
      </c>
      <c r="AG423" s="154">
        <v>817723</v>
      </c>
      <c r="AH423" s="154">
        <v>817786</v>
      </c>
      <c r="AI423" s="154">
        <v>817856</v>
      </c>
      <c r="AJ423" s="154">
        <v>817922</v>
      </c>
      <c r="AK423" s="154">
        <v>818005</v>
      </c>
      <c r="AL423" s="154">
        <v>818096</v>
      </c>
      <c r="AP423" cm="1">
        <f t="array" ref="AP423">IF(AQ423="","",SUM(IFERROR(H423:AL423-H422:AL422,0))*AQ423/100)</f>
        <v>307.64999999999998</v>
      </c>
      <c r="AQ423">
        <v>15</v>
      </c>
      <c r="AS423">
        <v>423</v>
      </c>
      <c r="AT423" cm="1">
        <f t="array" ref="AT423">IF(AQ423="","",SUM(IFERROR(H423:AL423-H422:AL422,0)))</f>
        <v>2051</v>
      </c>
    </row>
    <row r="424" spans="1:46" hidden="1" x14ac:dyDescent="0.25">
      <c r="A424">
        <v>423</v>
      </c>
      <c r="B424">
        <v>2025</v>
      </c>
      <c r="C424">
        <v>8</v>
      </c>
      <c r="D424" t="s">
        <v>261</v>
      </c>
      <c r="E424">
        <v>31</v>
      </c>
      <c r="F424">
        <v>7</v>
      </c>
      <c r="G424" t="s">
        <v>534</v>
      </c>
      <c r="H424" s="154">
        <v>0.29166666666666669</v>
      </c>
      <c r="I424" s="154">
        <v>0.29166666666666669</v>
      </c>
      <c r="J424" s="154">
        <v>0.29166666666666669</v>
      </c>
      <c r="K424" s="154">
        <v>0.29166666666666669</v>
      </c>
      <c r="L424" s="154">
        <v>0.29166666666666669</v>
      </c>
      <c r="M424" s="154">
        <v>0.29166666666666669</v>
      </c>
      <c r="N424" s="154">
        <v>0.29166666666666669</v>
      </c>
      <c r="O424" s="154">
        <v>0.29166666666666669</v>
      </c>
      <c r="P424" s="154">
        <v>0.29166666666666669</v>
      </c>
      <c r="Q424" s="154">
        <v>0.29166666666666669</v>
      </c>
      <c r="R424" s="154">
        <v>0.29166666666666669</v>
      </c>
      <c r="S424" s="154">
        <v>0.29166666666666669</v>
      </c>
      <c r="T424" s="154">
        <v>0.29166666666666669</v>
      </c>
      <c r="U424" s="154">
        <v>0.29166666666666669</v>
      </c>
      <c r="V424" s="154">
        <v>0.29166666666666669</v>
      </c>
      <c r="W424" s="154">
        <v>0.29166666666666669</v>
      </c>
      <c r="X424" s="154">
        <v>0.29166666666666669</v>
      </c>
      <c r="Y424" s="154">
        <v>0.29166666666666669</v>
      </c>
      <c r="Z424" s="154">
        <v>0.29166666666666669</v>
      </c>
      <c r="AA424" s="154">
        <v>0.29166666666666669</v>
      </c>
      <c r="AB424" s="154">
        <v>0.29166666666666669</v>
      </c>
      <c r="AC424" s="154">
        <v>0.29166666666666669</v>
      </c>
      <c r="AD424" s="154">
        <v>0.29166666666666669</v>
      </c>
      <c r="AE424" s="154">
        <v>0.29166666666666669</v>
      </c>
      <c r="AF424" s="154">
        <v>0.29166666666666669</v>
      </c>
      <c r="AG424" s="154">
        <v>0.29166666666666669</v>
      </c>
      <c r="AH424" s="154">
        <v>0.29166666666666669</v>
      </c>
      <c r="AI424" s="154">
        <v>0.29166666666666669</v>
      </c>
      <c r="AJ424" s="154">
        <v>0.29166666666666669</v>
      </c>
      <c r="AK424" s="154">
        <v>0.29166666666666669</v>
      </c>
      <c r="AL424" s="154" t="s">
        <v>424</v>
      </c>
      <c r="AS424">
        <v>424</v>
      </c>
    </row>
    <row r="425" spans="1:46" hidden="1" x14ac:dyDescent="0.25">
      <c r="A425">
        <v>424</v>
      </c>
      <c r="B425">
        <v>2025</v>
      </c>
      <c r="C425">
        <v>8</v>
      </c>
      <c r="D425" t="s">
        <v>261</v>
      </c>
      <c r="E425">
        <v>31</v>
      </c>
      <c r="F425">
        <v>7</v>
      </c>
      <c r="G425" t="s">
        <v>535</v>
      </c>
      <c r="H425" s="154">
        <v>0.75</v>
      </c>
      <c r="I425" s="154">
        <v>0.75</v>
      </c>
      <c r="J425" s="154">
        <v>0.75</v>
      </c>
      <c r="K425" s="154">
        <v>0.75</v>
      </c>
      <c r="L425" s="154">
        <v>0.75</v>
      </c>
      <c r="M425" s="154">
        <v>0.75</v>
      </c>
      <c r="N425" s="154">
        <v>0.75</v>
      </c>
      <c r="O425" s="154">
        <v>0.75</v>
      </c>
      <c r="P425" s="154">
        <v>0.75</v>
      </c>
      <c r="Q425" s="154">
        <v>0.75</v>
      </c>
      <c r="R425" s="154">
        <v>0.75</v>
      </c>
      <c r="S425" s="154">
        <v>0.75</v>
      </c>
      <c r="T425" s="154">
        <v>0.75</v>
      </c>
      <c r="U425" s="154">
        <v>0.75</v>
      </c>
      <c r="V425" s="154">
        <v>0.75</v>
      </c>
      <c r="W425" s="154">
        <v>0.75</v>
      </c>
      <c r="X425" s="154">
        <v>0.75</v>
      </c>
      <c r="Y425" s="154">
        <v>0.75</v>
      </c>
      <c r="Z425" s="154">
        <v>0.75</v>
      </c>
      <c r="AA425" s="154">
        <v>0.75</v>
      </c>
      <c r="AB425" s="154">
        <v>0.75</v>
      </c>
      <c r="AC425" s="154">
        <v>0.75</v>
      </c>
      <c r="AD425" s="154">
        <v>0.75</v>
      </c>
      <c r="AE425" s="154">
        <v>0.75</v>
      </c>
      <c r="AF425" s="154">
        <v>0.75</v>
      </c>
      <c r="AG425" s="154">
        <v>0.75</v>
      </c>
      <c r="AH425" s="154">
        <v>0.75</v>
      </c>
      <c r="AI425" s="154">
        <v>0.75</v>
      </c>
      <c r="AJ425" s="154">
        <v>0.75</v>
      </c>
      <c r="AK425" s="154">
        <v>0.75</v>
      </c>
      <c r="AL425" s="154" t="s">
        <v>424</v>
      </c>
      <c r="AM425" cm="1">
        <f t="array" ref="AM425">SUM(_xlfn.LET(_xlpm.r,((IFERROR(H425:AL425-H424:AL424,0))*24)/10,IF(_xlpm.r&gt;1,1,_xlpm.r)))</f>
        <v>30</v>
      </c>
      <c r="AO425" cm="1">
        <f t="array" ref="AO425">SUM(IFERROR(MOD((H425:AL425-H424:AL424)*24,11),""))</f>
        <v>0</v>
      </c>
      <c r="AS425">
        <v>425</v>
      </c>
    </row>
    <row r="426" spans="1:46" hidden="1" x14ac:dyDescent="0.25">
      <c r="A426">
        <v>425</v>
      </c>
      <c r="B426">
        <v>2025</v>
      </c>
      <c r="C426">
        <v>8</v>
      </c>
      <c r="D426" t="s">
        <v>261</v>
      </c>
      <c r="E426">
        <v>31</v>
      </c>
      <c r="F426">
        <v>7</v>
      </c>
      <c r="G426" t="s">
        <v>534</v>
      </c>
      <c r="H426" s="154">
        <v>1</v>
      </c>
      <c r="I426" s="154">
        <v>1</v>
      </c>
      <c r="J426" s="154">
        <v>1</v>
      </c>
      <c r="K426" s="154">
        <v>1</v>
      </c>
      <c r="L426" s="154">
        <v>1</v>
      </c>
      <c r="M426" s="154">
        <v>1</v>
      </c>
      <c r="N426" s="154">
        <v>1</v>
      </c>
      <c r="O426" s="154">
        <v>1</v>
      </c>
      <c r="P426" s="154">
        <v>1</v>
      </c>
      <c r="Q426" s="154">
        <v>1</v>
      </c>
      <c r="R426" s="154">
        <v>1</v>
      </c>
      <c r="S426" s="154">
        <v>1</v>
      </c>
      <c r="T426" s="154">
        <v>1</v>
      </c>
      <c r="U426" s="154">
        <v>1</v>
      </c>
      <c r="V426" s="154">
        <v>1</v>
      </c>
      <c r="W426" s="154">
        <v>1</v>
      </c>
      <c r="X426" s="154">
        <v>1</v>
      </c>
      <c r="Y426" s="154">
        <v>1</v>
      </c>
      <c r="Z426" s="154">
        <v>1</v>
      </c>
      <c r="AA426" s="154">
        <v>1</v>
      </c>
      <c r="AB426" s="154">
        <v>1</v>
      </c>
      <c r="AC426" s="154">
        <v>1</v>
      </c>
      <c r="AD426" s="154">
        <v>1</v>
      </c>
      <c r="AE426" s="154">
        <v>1</v>
      </c>
      <c r="AF426" s="154">
        <v>1</v>
      </c>
      <c r="AG426" s="154">
        <v>1</v>
      </c>
      <c r="AH426" s="154">
        <v>1</v>
      </c>
      <c r="AI426" s="154">
        <v>1</v>
      </c>
      <c r="AJ426" s="154">
        <v>1</v>
      </c>
      <c r="AK426" s="154">
        <v>1</v>
      </c>
      <c r="AL426" s="154" t="s">
        <v>424</v>
      </c>
      <c r="AS426">
        <v>426</v>
      </c>
    </row>
    <row r="427" spans="1:46" hidden="1" x14ac:dyDescent="0.25">
      <c r="A427">
        <v>426</v>
      </c>
      <c r="B427">
        <v>2025</v>
      </c>
      <c r="C427">
        <v>8</v>
      </c>
      <c r="D427" t="s">
        <v>261</v>
      </c>
      <c r="E427">
        <v>31</v>
      </c>
      <c r="F427">
        <v>7</v>
      </c>
      <c r="G427" t="s">
        <v>535</v>
      </c>
      <c r="H427" s="154">
        <v>1</v>
      </c>
      <c r="I427" s="154">
        <v>1</v>
      </c>
      <c r="J427" s="154">
        <v>1</v>
      </c>
      <c r="K427" s="154">
        <v>1</v>
      </c>
      <c r="L427" s="154">
        <v>1</v>
      </c>
      <c r="M427" s="154">
        <v>1</v>
      </c>
      <c r="N427" s="154">
        <v>1</v>
      </c>
      <c r="O427" s="154">
        <v>1</v>
      </c>
      <c r="P427" s="154">
        <v>1</v>
      </c>
      <c r="Q427" s="154">
        <v>1</v>
      </c>
      <c r="R427" s="154">
        <v>1</v>
      </c>
      <c r="S427" s="154">
        <v>1</v>
      </c>
      <c r="T427" s="154">
        <v>1</v>
      </c>
      <c r="U427" s="154">
        <v>1</v>
      </c>
      <c r="V427" s="154">
        <v>1</v>
      </c>
      <c r="W427" s="154">
        <v>1</v>
      </c>
      <c r="X427" s="154">
        <v>1</v>
      </c>
      <c r="Y427" s="154">
        <v>1</v>
      </c>
      <c r="Z427" s="154">
        <v>1</v>
      </c>
      <c r="AA427" s="154">
        <v>1</v>
      </c>
      <c r="AB427" s="154">
        <v>1</v>
      </c>
      <c r="AC427" s="154">
        <v>1</v>
      </c>
      <c r="AD427" s="154">
        <v>1</v>
      </c>
      <c r="AE427" s="154">
        <v>1</v>
      </c>
      <c r="AF427" s="154">
        <v>1</v>
      </c>
      <c r="AG427" s="154">
        <v>1</v>
      </c>
      <c r="AH427" s="154">
        <v>1</v>
      </c>
      <c r="AI427" s="154">
        <v>1</v>
      </c>
      <c r="AJ427" s="154">
        <v>1</v>
      </c>
      <c r="AK427" s="154">
        <v>1</v>
      </c>
      <c r="AL427" s="154" t="s">
        <v>424</v>
      </c>
      <c r="AP427" cm="1">
        <f t="array" ref="AP427">IF(AQ427="","",SUM(IFERROR(H427:AL427-H426:AL426,0))*AQ427/100)</f>
        <v>0</v>
      </c>
      <c r="AQ427">
        <f>_xlfn.XLOOKUP(D427,log_prices!M:M,log_prices!L:L,,0)</f>
        <v>15</v>
      </c>
      <c r="AS427">
        <v>427</v>
      </c>
      <c r="AT427" cm="1">
        <f t="array" ref="AT427">IF(AQ427="","",SUM(IFERROR(H427:AL427-H426:AL426,0)))</f>
        <v>0</v>
      </c>
    </row>
    <row r="428" spans="1:46" hidden="1" x14ac:dyDescent="0.25">
      <c r="A428">
        <v>427</v>
      </c>
      <c r="B428">
        <v>2025</v>
      </c>
      <c r="C428">
        <v>8</v>
      </c>
      <c r="D428" t="s">
        <v>255</v>
      </c>
      <c r="E428">
        <v>31</v>
      </c>
      <c r="F428">
        <v>7</v>
      </c>
      <c r="G428" t="s">
        <v>534</v>
      </c>
      <c r="H428" s="154" t="s">
        <v>479</v>
      </c>
      <c r="I428" s="154" t="s">
        <v>479</v>
      </c>
      <c r="J428" s="154" t="s">
        <v>479</v>
      </c>
      <c r="K428" s="154" t="s">
        <v>479</v>
      </c>
      <c r="L428" s="154" t="s">
        <v>479</v>
      </c>
      <c r="M428" s="154" t="s">
        <v>479</v>
      </c>
      <c r="N428" s="154" t="s">
        <v>479</v>
      </c>
      <c r="O428" s="154" t="s">
        <v>479</v>
      </c>
      <c r="P428" s="154" t="s">
        <v>479</v>
      </c>
      <c r="Q428" s="154" t="s">
        <v>479</v>
      </c>
      <c r="R428" s="154" t="s">
        <v>479</v>
      </c>
      <c r="S428" s="154" t="s">
        <v>479</v>
      </c>
      <c r="T428" s="154" t="s">
        <v>479</v>
      </c>
      <c r="U428" s="154" t="s">
        <v>479</v>
      </c>
      <c r="V428" s="154" t="s">
        <v>479</v>
      </c>
      <c r="W428" s="154" t="s">
        <v>479</v>
      </c>
      <c r="X428" s="154" t="s">
        <v>479</v>
      </c>
      <c r="Y428" s="154" t="s">
        <v>479</v>
      </c>
      <c r="Z428" s="154" t="s">
        <v>479</v>
      </c>
      <c r="AA428" s="154" t="s">
        <v>479</v>
      </c>
      <c r="AB428" s="154" t="s">
        <v>479</v>
      </c>
      <c r="AC428" s="154" t="s">
        <v>479</v>
      </c>
      <c r="AD428" s="154" t="s">
        <v>479</v>
      </c>
      <c r="AE428" s="154" t="s">
        <v>479</v>
      </c>
      <c r="AF428" s="154" t="s">
        <v>479</v>
      </c>
      <c r="AG428" s="154" t="s">
        <v>479</v>
      </c>
      <c r="AH428" s="154" t="s">
        <v>479</v>
      </c>
      <c r="AI428" s="154" t="s">
        <v>479</v>
      </c>
      <c r="AJ428" s="154" t="s">
        <v>479</v>
      </c>
      <c r="AK428" s="154" t="s">
        <v>479</v>
      </c>
      <c r="AL428" s="154" t="s">
        <v>479</v>
      </c>
      <c r="AS428">
        <v>428</v>
      </c>
    </row>
    <row r="429" spans="1:46" hidden="1" x14ac:dyDescent="0.25">
      <c r="A429">
        <v>428</v>
      </c>
      <c r="B429">
        <v>2025</v>
      </c>
      <c r="C429">
        <v>8</v>
      </c>
      <c r="D429" t="s">
        <v>255</v>
      </c>
      <c r="E429">
        <v>31</v>
      </c>
      <c r="F429">
        <v>7</v>
      </c>
      <c r="G429" t="s">
        <v>535</v>
      </c>
      <c r="H429" s="154">
        <v>0.25</v>
      </c>
      <c r="I429" s="154">
        <v>0.25</v>
      </c>
      <c r="J429" s="154">
        <v>0.25</v>
      </c>
      <c r="K429" s="154">
        <v>0.25</v>
      </c>
      <c r="L429" s="154">
        <v>0.25</v>
      </c>
      <c r="M429" s="154">
        <v>0.25</v>
      </c>
      <c r="N429" s="154">
        <v>0.25</v>
      </c>
      <c r="O429" s="154">
        <v>0.25</v>
      </c>
      <c r="P429" s="154">
        <v>0.25</v>
      </c>
      <c r="Q429" s="154">
        <v>0.25</v>
      </c>
      <c r="R429" s="154">
        <v>0.25</v>
      </c>
      <c r="S429" s="154">
        <v>0.25</v>
      </c>
      <c r="T429" s="154">
        <v>0.25</v>
      </c>
      <c r="U429" s="154">
        <v>0.25</v>
      </c>
      <c r="V429" s="154">
        <v>0.25</v>
      </c>
      <c r="W429" s="154">
        <v>0.25</v>
      </c>
      <c r="X429" s="154">
        <v>0.25</v>
      </c>
      <c r="Y429" s="154">
        <v>0.25</v>
      </c>
      <c r="Z429" s="154">
        <v>0.25</v>
      </c>
      <c r="AA429" s="154">
        <v>0.25</v>
      </c>
      <c r="AB429" s="154">
        <v>0.25</v>
      </c>
      <c r="AC429" s="154">
        <v>0.25</v>
      </c>
      <c r="AD429" s="154">
        <v>0.25</v>
      </c>
      <c r="AE429" s="154">
        <v>0.25</v>
      </c>
      <c r="AF429" s="154">
        <v>0.25</v>
      </c>
      <c r="AG429" s="154">
        <v>0.25</v>
      </c>
      <c r="AH429" s="154">
        <v>0.25</v>
      </c>
      <c r="AI429" s="154">
        <v>0.25</v>
      </c>
      <c r="AJ429" s="154">
        <v>0.25</v>
      </c>
      <c r="AK429" s="154">
        <v>0.25</v>
      </c>
      <c r="AL429" s="154">
        <v>0.25</v>
      </c>
      <c r="AM429" cm="1">
        <f t="array" ref="AM429">_xlfn.LET(_xlpm.r,IFERROR((H429:AL429-H428:AL428)*24,""),SUM(IF(_xlpm.r="",0,IF(_xlpm.r=-1,0,1))))</f>
        <v>0</v>
      </c>
      <c r="AN429" cm="1">
        <f t="array" ref="AN429">_xlfn.LET(_xlpm.r,IFERROR((H429:AL429-H428:AL428)*24,""),SUM(IF(_xlpm.r="",0,IF(_xlpm.r=-1,1,0))))</f>
        <v>31</v>
      </c>
      <c r="AO429" cm="1">
        <f t="array" ref="AO429">_xlfn.LET(_xlpm.r,SUM(IFERROR(MOD((H429:AL429-H428:AL428)*24,11),"")),_xlpm.r-AN429*10)</f>
        <v>0</v>
      </c>
      <c r="AS429">
        <v>429</v>
      </c>
    </row>
    <row r="430" spans="1:46" hidden="1" x14ac:dyDescent="0.25">
      <c r="A430">
        <v>429</v>
      </c>
      <c r="B430">
        <v>2025</v>
      </c>
      <c r="C430">
        <v>8</v>
      </c>
      <c r="D430" t="s">
        <v>255</v>
      </c>
      <c r="E430">
        <v>31</v>
      </c>
      <c r="F430">
        <v>7</v>
      </c>
      <c r="G430" t="s">
        <v>536</v>
      </c>
      <c r="H430" s="154">
        <v>268771</v>
      </c>
      <c r="I430" s="154">
        <v>268890</v>
      </c>
      <c r="J430" s="154">
        <v>269010</v>
      </c>
      <c r="K430" s="154">
        <v>269151</v>
      </c>
      <c r="L430" s="154">
        <v>269352</v>
      </c>
      <c r="M430" s="154">
        <v>269474</v>
      </c>
      <c r="N430" s="154">
        <v>269581</v>
      </c>
      <c r="O430" s="154">
        <v>269710</v>
      </c>
      <c r="P430" s="154">
        <v>269786</v>
      </c>
      <c r="Q430" s="154">
        <v>269855</v>
      </c>
      <c r="R430" s="154">
        <v>269980</v>
      </c>
      <c r="S430" s="154">
        <v>270063</v>
      </c>
      <c r="T430" s="154">
        <v>270203</v>
      </c>
      <c r="U430" s="154">
        <v>270275</v>
      </c>
      <c r="V430" s="154">
        <v>270432</v>
      </c>
      <c r="W430" s="154">
        <v>270560</v>
      </c>
      <c r="X430" s="154">
        <v>270681</v>
      </c>
      <c r="Y430" s="154">
        <v>270835</v>
      </c>
      <c r="Z430" s="154">
        <v>270968</v>
      </c>
      <c r="AA430" s="154">
        <v>271105</v>
      </c>
      <c r="AB430" s="154">
        <v>271217</v>
      </c>
      <c r="AC430" s="154">
        <v>271289</v>
      </c>
      <c r="AD430" s="154">
        <v>271444</v>
      </c>
      <c r="AE430" s="154">
        <v>271540</v>
      </c>
      <c r="AF430" s="154">
        <v>271630</v>
      </c>
      <c r="AG430" s="154">
        <v>271684</v>
      </c>
      <c r="AH430" s="154">
        <v>271817</v>
      </c>
      <c r="AI430" s="154">
        <v>271870</v>
      </c>
      <c r="AJ430" s="154">
        <v>271969</v>
      </c>
      <c r="AK430" s="154">
        <v>272060</v>
      </c>
      <c r="AL430" s="154">
        <v>272150</v>
      </c>
      <c r="AS430">
        <v>430</v>
      </c>
    </row>
    <row r="431" spans="1:46" hidden="1" x14ac:dyDescent="0.25">
      <c r="A431">
        <v>430</v>
      </c>
      <c r="B431">
        <v>2025</v>
      </c>
      <c r="C431">
        <v>8</v>
      </c>
      <c r="D431" t="s">
        <v>255</v>
      </c>
      <c r="E431">
        <v>31</v>
      </c>
      <c r="F431">
        <v>7</v>
      </c>
      <c r="G431" t="s">
        <v>537</v>
      </c>
      <c r="H431" s="154">
        <v>268890</v>
      </c>
      <c r="I431" s="154">
        <v>269010</v>
      </c>
      <c r="J431" s="154">
        <v>269151</v>
      </c>
      <c r="K431" s="154">
        <v>269352</v>
      </c>
      <c r="L431" s="154">
        <v>269474</v>
      </c>
      <c r="M431" s="154">
        <v>269581</v>
      </c>
      <c r="N431" s="154">
        <v>269710</v>
      </c>
      <c r="O431" s="154">
        <v>269786</v>
      </c>
      <c r="P431" s="154">
        <v>269895</v>
      </c>
      <c r="Q431" s="154">
        <v>269980</v>
      </c>
      <c r="R431" s="154">
        <v>270063</v>
      </c>
      <c r="S431" s="154">
        <v>270203</v>
      </c>
      <c r="T431" s="154">
        <v>270275</v>
      </c>
      <c r="U431" s="154">
        <v>270432</v>
      </c>
      <c r="V431" s="154">
        <v>270560</v>
      </c>
      <c r="W431" s="154">
        <v>270681</v>
      </c>
      <c r="X431" s="154">
        <v>270835</v>
      </c>
      <c r="Y431" s="154">
        <v>270968</v>
      </c>
      <c r="Z431" s="154">
        <v>271105</v>
      </c>
      <c r="AA431" s="154">
        <v>271217</v>
      </c>
      <c r="AB431" s="154">
        <v>271289</v>
      </c>
      <c r="AC431" s="154">
        <v>271444</v>
      </c>
      <c r="AD431" s="154">
        <v>271540</v>
      </c>
      <c r="AE431" s="154">
        <v>271630</v>
      </c>
      <c r="AF431" s="154">
        <v>271684</v>
      </c>
      <c r="AG431" s="154">
        <v>271817</v>
      </c>
      <c r="AH431" s="154">
        <v>271870</v>
      </c>
      <c r="AI431" s="154">
        <v>271969</v>
      </c>
      <c r="AJ431" s="154">
        <v>272060</v>
      </c>
      <c r="AK431" s="154">
        <v>272150</v>
      </c>
      <c r="AL431" s="154">
        <v>272261</v>
      </c>
      <c r="AP431" cm="1">
        <f t="array" ref="AP431">IF(AQ431="","",SUM(IFERROR(H431:AL431-H430:AL430,0))*AQ431/100)-SUM(AM429:AN429)*4.4</f>
        <v>393.1</v>
      </c>
      <c r="AQ431">
        <v>15</v>
      </c>
      <c r="AR431" t="s">
        <v>538</v>
      </c>
      <c r="AS431">
        <v>431</v>
      </c>
      <c r="AT431" cm="1">
        <f t="array" ref="AT431">IF(AQ431="","",SUM(IFERROR(H431:AL431-H430:AL430,0)))</f>
        <v>3530</v>
      </c>
    </row>
    <row r="432" spans="1:46" hidden="1" x14ac:dyDescent="0.25">
      <c r="A432">
        <v>431</v>
      </c>
      <c r="B432">
        <v>2025</v>
      </c>
      <c r="C432">
        <v>8</v>
      </c>
      <c r="D432" t="s">
        <v>253</v>
      </c>
      <c r="E432">
        <v>31</v>
      </c>
      <c r="F432">
        <v>7</v>
      </c>
      <c r="G432" t="s">
        <v>534</v>
      </c>
      <c r="H432" s="154" t="s">
        <v>479</v>
      </c>
      <c r="I432" s="154" t="s">
        <v>479</v>
      </c>
      <c r="J432" s="154" t="s">
        <v>479</v>
      </c>
      <c r="K432" s="154" t="s">
        <v>479</v>
      </c>
      <c r="L432" s="154" t="s">
        <v>479</v>
      </c>
      <c r="M432" s="154" t="s">
        <v>424</v>
      </c>
      <c r="N432" s="154" t="s">
        <v>479</v>
      </c>
      <c r="O432" s="154" t="s">
        <v>479</v>
      </c>
      <c r="P432" s="154" t="s">
        <v>479</v>
      </c>
      <c r="Q432" s="154" t="s">
        <v>479</v>
      </c>
      <c r="R432" s="154" t="s">
        <v>479</v>
      </c>
      <c r="S432" s="154" t="s">
        <v>479</v>
      </c>
      <c r="T432" s="154" t="s">
        <v>479</v>
      </c>
      <c r="U432" s="154" t="s">
        <v>479</v>
      </c>
      <c r="V432" s="154" t="s">
        <v>479</v>
      </c>
      <c r="W432" s="154" t="s">
        <v>479</v>
      </c>
      <c r="X432" s="154" t="s">
        <v>479</v>
      </c>
      <c r="Y432" s="154" t="s">
        <v>479</v>
      </c>
      <c r="Z432" s="154" t="s">
        <v>479</v>
      </c>
      <c r="AA432" s="154" t="s">
        <v>479</v>
      </c>
      <c r="AB432" s="154" t="s">
        <v>479</v>
      </c>
      <c r="AC432" s="154" t="s">
        <v>479</v>
      </c>
      <c r="AD432" s="154" t="s">
        <v>479</v>
      </c>
      <c r="AE432" s="154" t="s">
        <v>479</v>
      </c>
      <c r="AF432" s="154" t="s">
        <v>479</v>
      </c>
      <c r="AG432" s="154" t="s">
        <v>479</v>
      </c>
      <c r="AH432" s="154" t="s">
        <v>479</v>
      </c>
      <c r="AI432" s="154" t="s">
        <v>479</v>
      </c>
      <c r="AJ432" s="154" t="s">
        <v>479</v>
      </c>
      <c r="AK432" s="154" t="s">
        <v>479</v>
      </c>
      <c r="AL432" s="154" t="s">
        <v>479</v>
      </c>
      <c r="AS432">
        <v>432</v>
      </c>
    </row>
    <row r="433" spans="1:46" hidden="1" x14ac:dyDescent="0.25">
      <c r="A433">
        <v>432</v>
      </c>
      <c r="B433">
        <v>2025</v>
      </c>
      <c r="C433">
        <v>8</v>
      </c>
      <c r="D433" t="s">
        <v>253</v>
      </c>
      <c r="E433">
        <v>31</v>
      </c>
      <c r="F433">
        <v>7</v>
      </c>
      <c r="G433" t="s">
        <v>535</v>
      </c>
      <c r="H433" s="154">
        <v>0.75</v>
      </c>
      <c r="I433" s="154">
        <v>0.75</v>
      </c>
      <c r="J433" s="154">
        <v>0.75</v>
      </c>
      <c r="K433" s="154">
        <v>0.75</v>
      </c>
      <c r="L433" s="154">
        <v>0.75</v>
      </c>
      <c r="M433" s="154" t="s">
        <v>424</v>
      </c>
      <c r="N433" s="154">
        <v>0.75</v>
      </c>
      <c r="O433" s="154">
        <v>0.75</v>
      </c>
      <c r="P433" s="154">
        <v>0.75</v>
      </c>
      <c r="Q433" s="154">
        <v>0.75</v>
      </c>
      <c r="R433" s="154">
        <v>0.75</v>
      </c>
      <c r="S433" s="154">
        <v>0.75</v>
      </c>
      <c r="T433" s="154">
        <v>0.75</v>
      </c>
      <c r="U433" s="154">
        <v>0.75</v>
      </c>
      <c r="V433" s="154">
        <v>0.75</v>
      </c>
      <c r="W433" s="154">
        <v>0.75</v>
      </c>
      <c r="X433" s="154">
        <v>0.75</v>
      </c>
      <c r="Y433" s="154">
        <v>0.75</v>
      </c>
      <c r="Z433" s="154">
        <v>0.75</v>
      </c>
      <c r="AA433" s="154">
        <v>0.75</v>
      </c>
      <c r="AB433" s="154">
        <v>0.75</v>
      </c>
      <c r="AC433" s="154">
        <v>0.75</v>
      </c>
      <c r="AD433" s="154">
        <v>0.75</v>
      </c>
      <c r="AE433" s="154">
        <v>0.75</v>
      </c>
      <c r="AF433" s="154">
        <v>0.75</v>
      </c>
      <c r="AG433" s="154">
        <v>0.75</v>
      </c>
      <c r="AH433" s="154">
        <v>0.75</v>
      </c>
      <c r="AI433" s="154">
        <v>0.75</v>
      </c>
      <c r="AJ433" s="154">
        <v>0.75</v>
      </c>
      <c r="AK433" s="154">
        <v>0.75</v>
      </c>
      <c r="AL433" s="154">
        <v>0.75</v>
      </c>
      <c r="AM433" cm="1">
        <f t="array" ref="AM433">SUM(_xlfn.LET(_xlpm.r,((IFERROR(H433:AL433-H432:AL432,0))*24)/10,IF(_xlpm.r&gt;1,1,_xlpm.r)))</f>
        <v>30</v>
      </c>
      <c r="AO433" cm="1">
        <f t="array" ref="AO433">SUM(IFERROR(MOD((H433:AL433-H432:AL432)*24,11),""))</f>
        <v>0</v>
      </c>
      <c r="AS433">
        <v>433</v>
      </c>
    </row>
    <row r="434" spans="1:46" hidden="1" x14ac:dyDescent="0.25">
      <c r="A434">
        <v>433</v>
      </c>
      <c r="B434">
        <v>2025</v>
      </c>
      <c r="C434">
        <v>8</v>
      </c>
      <c r="D434" t="s">
        <v>253</v>
      </c>
      <c r="E434">
        <v>31</v>
      </c>
      <c r="F434">
        <v>7</v>
      </c>
      <c r="G434" t="s">
        <v>534</v>
      </c>
      <c r="H434" s="154">
        <v>845528</v>
      </c>
      <c r="I434" s="154">
        <v>845832</v>
      </c>
      <c r="J434" s="154">
        <v>1</v>
      </c>
      <c r="K434" s="154">
        <v>846034</v>
      </c>
      <c r="L434" s="154">
        <v>846249</v>
      </c>
      <c r="M434" s="154" t="s">
        <v>424</v>
      </c>
      <c r="N434" s="154">
        <v>846670</v>
      </c>
      <c r="O434" s="154">
        <v>846883</v>
      </c>
      <c r="P434" s="154">
        <v>847106</v>
      </c>
      <c r="Q434" s="154">
        <v>1</v>
      </c>
      <c r="R434" s="154">
        <v>847307</v>
      </c>
      <c r="S434" s="154">
        <v>847667</v>
      </c>
      <c r="T434" s="154">
        <v>847876</v>
      </c>
      <c r="U434" s="154">
        <v>848084</v>
      </c>
      <c r="V434" s="154">
        <v>848299</v>
      </c>
      <c r="W434" s="154">
        <v>848500</v>
      </c>
      <c r="X434" s="154">
        <v>848693</v>
      </c>
      <c r="Y434" s="154">
        <v>848838</v>
      </c>
      <c r="Z434" s="154">
        <v>849048</v>
      </c>
      <c r="AA434" s="154">
        <v>849256</v>
      </c>
      <c r="AB434" s="154">
        <v>849476</v>
      </c>
      <c r="AC434" s="154">
        <v>849685</v>
      </c>
      <c r="AD434" s="154">
        <v>849897</v>
      </c>
      <c r="AE434" s="154">
        <v>850118</v>
      </c>
      <c r="AF434" s="154">
        <v>850319</v>
      </c>
      <c r="AG434" s="154">
        <v>850533</v>
      </c>
      <c r="AH434" s="154">
        <v>850743</v>
      </c>
      <c r="AI434" s="154">
        <v>850952</v>
      </c>
      <c r="AJ434" s="154">
        <v>851164</v>
      </c>
      <c r="AK434" s="154">
        <v>851375</v>
      </c>
      <c r="AL434" s="154">
        <v>1</v>
      </c>
      <c r="AS434">
        <v>434</v>
      </c>
    </row>
    <row r="435" spans="1:46" hidden="1" x14ac:dyDescent="0.25">
      <c r="A435">
        <v>434</v>
      </c>
      <c r="B435">
        <v>2025</v>
      </c>
      <c r="C435">
        <v>8</v>
      </c>
      <c r="D435" t="s">
        <v>253</v>
      </c>
      <c r="E435">
        <v>31</v>
      </c>
      <c r="F435">
        <v>7</v>
      </c>
      <c r="G435" t="s">
        <v>535</v>
      </c>
      <c r="H435" s="154">
        <v>845832</v>
      </c>
      <c r="I435" s="154">
        <v>846034</v>
      </c>
      <c r="J435" s="154">
        <v>1</v>
      </c>
      <c r="K435" s="154">
        <v>846249</v>
      </c>
      <c r="L435" s="154">
        <v>846458</v>
      </c>
      <c r="M435" s="154" t="s">
        <v>424</v>
      </c>
      <c r="N435" s="154">
        <v>846883</v>
      </c>
      <c r="O435" s="154">
        <v>847106</v>
      </c>
      <c r="P435" s="154">
        <v>847307</v>
      </c>
      <c r="Q435" s="154">
        <v>1</v>
      </c>
      <c r="R435" s="154">
        <v>847667</v>
      </c>
      <c r="S435" s="154">
        <v>847876</v>
      </c>
      <c r="T435" s="154">
        <v>848084</v>
      </c>
      <c r="U435" s="154">
        <v>848299</v>
      </c>
      <c r="V435" s="154">
        <v>848500</v>
      </c>
      <c r="W435" s="154">
        <v>848693</v>
      </c>
      <c r="X435" s="154">
        <v>848838</v>
      </c>
      <c r="Y435" s="154">
        <v>849048</v>
      </c>
      <c r="Z435" s="154">
        <v>849256</v>
      </c>
      <c r="AA435" s="154">
        <v>849476</v>
      </c>
      <c r="AB435" s="154">
        <v>849685</v>
      </c>
      <c r="AC435" s="154">
        <v>849897</v>
      </c>
      <c r="AD435" s="154">
        <v>850118</v>
      </c>
      <c r="AE435" s="154">
        <v>850319</v>
      </c>
      <c r="AF435" s="154">
        <v>850533</v>
      </c>
      <c r="AG435" s="154">
        <v>850743</v>
      </c>
      <c r="AH435" s="154">
        <v>850952</v>
      </c>
      <c r="AI435" s="154">
        <v>851164</v>
      </c>
      <c r="AJ435" s="154">
        <v>851375</v>
      </c>
      <c r="AK435" s="154">
        <v>851585</v>
      </c>
      <c r="AL435" s="154">
        <v>1</v>
      </c>
      <c r="AP435" cm="1">
        <f t="array" ref="AP435">IF(AQ435="","",SUM(IFERROR(H435:AL435-H434:AL434,0))*AQ435/100)</f>
        <v>1052.0999999999999</v>
      </c>
      <c r="AQ435">
        <f>_xlfn.XLOOKUP(D435,log_prices!M:M,log_prices!L:L,,0)</f>
        <v>18</v>
      </c>
      <c r="AS435">
        <v>435</v>
      </c>
      <c r="AT435" cm="1">
        <f t="array" ref="AT435">IF(AQ435="","",SUM(IFERROR(H435:AL435-H434:AL434,0)))</f>
        <v>5845</v>
      </c>
    </row>
    <row r="436" spans="1:46" hidden="1" x14ac:dyDescent="0.25">
      <c r="A436">
        <v>435</v>
      </c>
      <c r="B436">
        <v>2025</v>
      </c>
      <c r="C436">
        <v>8</v>
      </c>
      <c r="D436" t="s">
        <v>276</v>
      </c>
      <c r="E436">
        <v>31</v>
      </c>
      <c r="F436">
        <v>7</v>
      </c>
      <c r="G436" t="s">
        <v>534</v>
      </c>
      <c r="H436" s="154" t="s">
        <v>424</v>
      </c>
      <c r="I436" s="154" t="s">
        <v>424</v>
      </c>
      <c r="J436" s="154" t="s">
        <v>424</v>
      </c>
      <c r="K436" s="154" t="s">
        <v>424</v>
      </c>
      <c r="L436" s="154" t="s">
        <v>424</v>
      </c>
      <c r="M436" s="154" t="s">
        <v>479</v>
      </c>
      <c r="N436" s="154" t="s">
        <v>479</v>
      </c>
      <c r="O436" s="154" t="s">
        <v>479</v>
      </c>
      <c r="P436" s="154" t="s">
        <v>479</v>
      </c>
      <c r="Q436" s="154" t="s">
        <v>479</v>
      </c>
      <c r="R436" s="154" t="s">
        <v>479</v>
      </c>
      <c r="S436" s="154" t="s">
        <v>479</v>
      </c>
      <c r="T436" s="154" t="s">
        <v>479</v>
      </c>
      <c r="U436" s="154" t="s">
        <v>479</v>
      </c>
      <c r="V436" s="154" t="s">
        <v>479</v>
      </c>
      <c r="W436" s="154" t="s">
        <v>479</v>
      </c>
      <c r="X436" s="154" t="s">
        <v>424</v>
      </c>
      <c r="Y436" s="154" t="s">
        <v>479</v>
      </c>
      <c r="Z436" s="154" t="s">
        <v>479</v>
      </c>
      <c r="AA436" s="154" t="s">
        <v>479</v>
      </c>
      <c r="AB436" s="154" t="s">
        <v>479</v>
      </c>
      <c r="AC436" s="154" t="s">
        <v>479</v>
      </c>
      <c r="AD436" s="154" t="s">
        <v>479</v>
      </c>
      <c r="AE436" s="154" t="s">
        <v>479</v>
      </c>
      <c r="AF436" s="154" t="s">
        <v>479</v>
      </c>
      <c r="AG436" s="154" t="s">
        <v>479</v>
      </c>
      <c r="AH436" s="154" t="s">
        <v>479</v>
      </c>
      <c r="AI436" s="154" t="s">
        <v>479</v>
      </c>
      <c r="AJ436" s="154" t="s">
        <v>479</v>
      </c>
      <c r="AK436" s="154" t="s">
        <v>479</v>
      </c>
      <c r="AL436" s="154" t="s">
        <v>479</v>
      </c>
      <c r="AS436">
        <v>436</v>
      </c>
    </row>
    <row r="437" spans="1:46" hidden="1" x14ac:dyDescent="0.25">
      <c r="A437">
        <v>436</v>
      </c>
      <c r="B437">
        <v>2025</v>
      </c>
      <c r="C437">
        <v>8</v>
      </c>
      <c r="D437" t="s">
        <v>276</v>
      </c>
      <c r="E437">
        <v>31</v>
      </c>
      <c r="F437">
        <v>7</v>
      </c>
      <c r="G437" t="s">
        <v>535</v>
      </c>
      <c r="H437" s="154" t="s">
        <v>424</v>
      </c>
      <c r="I437" s="154" t="s">
        <v>424</v>
      </c>
      <c r="J437" s="154" t="s">
        <v>424</v>
      </c>
      <c r="K437" s="154" t="s">
        <v>424</v>
      </c>
      <c r="L437" s="154" t="s">
        <v>424</v>
      </c>
      <c r="M437" s="154" t="s">
        <v>480</v>
      </c>
      <c r="N437" s="154" t="s">
        <v>480</v>
      </c>
      <c r="O437" s="154" t="s">
        <v>480</v>
      </c>
      <c r="P437" s="154" t="s">
        <v>480</v>
      </c>
      <c r="Q437" s="154" t="s">
        <v>480</v>
      </c>
      <c r="R437" s="154" t="s">
        <v>480</v>
      </c>
      <c r="S437" s="154" t="s">
        <v>480</v>
      </c>
      <c r="T437" s="154" t="s">
        <v>480</v>
      </c>
      <c r="U437" s="154" t="s">
        <v>480</v>
      </c>
      <c r="V437" s="154" t="s">
        <v>480</v>
      </c>
      <c r="W437" s="154" t="s">
        <v>480</v>
      </c>
      <c r="X437" s="154" t="s">
        <v>424</v>
      </c>
      <c r="Y437" s="154" t="s">
        <v>480</v>
      </c>
      <c r="Z437" s="154" t="s">
        <v>480</v>
      </c>
      <c r="AA437" s="154" t="s">
        <v>480</v>
      </c>
      <c r="AB437" s="154" t="s">
        <v>480</v>
      </c>
      <c r="AC437" s="154" t="s">
        <v>480</v>
      </c>
      <c r="AD437" s="154" t="s">
        <v>480</v>
      </c>
      <c r="AE437" s="154" t="s">
        <v>480</v>
      </c>
      <c r="AF437" s="154" t="s">
        <v>480</v>
      </c>
      <c r="AG437" s="154" t="s">
        <v>480</v>
      </c>
      <c r="AH437" s="154" t="s">
        <v>480</v>
      </c>
      <c r="AI437" s="154" t="s">
        <v>480</v>
      </c>
      <c r="AJ437" s="154" t="s">
        <v>480</v>
      </c>
      <c r="AK437" s="154" t="s">
        <v>480</v>
      </c>
      <c r="AL437" s="154" t="s">
        <v>480</v>
      </c>
      <c r="AM437" cm="1">
        <f t="array" ref="AM437">SUM(_xlfn.LET(_xlpm.r,((IFERROR(H437:AL437-H436:AL436,0))*24)/10,IF(_xlpm.r&gt;1,1,_xlpm.r)))</f>
        <v>25</v>
      </c>
      <c r="AO437" cm="1">
        <f t="array" ref="AO437">SUM(IFERROR(MOD((H437:AL437-H436:AL436)*24,11),""))</f>
        <v>0</v>
      </c>
      <c r="AS437">
        <v>437</v>
      </c>
    </row>
    <row r="438" spans="1:46" hidden="1" x14ac:dyDescent="0.25">
      <c r="A438">
        <v>437</v>
      </c>
      <c r="B438">
        <v>2025</v>
      </c>
      <c r="C438">
        <v>8</v>
      </c>
      <c r="D438" t="s">
        <v>276</v>
      </c>
      <c r="E438">
        <v>31</v>
      </c>
      <c r="F438">
        <v>7</v>
      </c>
      <c r="G438" t="s">
        <v>534</v>
      </c>
      <c r="H438" s="154" t="s">
        <v>424</v>
      </c>
      <c r="I438" s="154" t="s">
        <v>424</v>
      </c>
      <c r="J438" s="154" t="s">
        <v>424</v>
      </c>
      <c r="K438" s="154" t="s">
        <v>424</v>
      </c>
      <c r="L438" s="154" t="s">
        <v>424</v>
      </c>
      <c r="M438" s="154">
        <v>551650</v>
      </c>
      <c r="N438" s="154">
        <v>551702</v>
      </c>
      <c r="O438" s="154">
        <v>551754</v>
      </c>
      <c r="P438" s="154">
        <v>551814</v>
      </c>
      <c r="Q438" s="154">
        <v>551861</v>
      </c>
      <c r="R438" s="154">
        <v>551876</v>
      </c>
      <c r="S438" s="154">
        <v>551944</v>
      </c>
      <c r="T438" s="154">
        <v>552000</v>
      </c>
      <c r="U438" s="154">
        <v>552065</v>
      </c>
      <c r="V438" s="154">
        <v>552128</v>
      </c>
      <c r="W438" s="154">
        <v>552189</v>
      </c>
      <c r="X438" s="154" t="s">
        <v>424</v>
      </c>
      <c r="Y438" s="154">
        <v>552402</v>
      </c>
      <c r="Z438" s="154">
        <v>552561</v>
      </c>
      <c r="AA438" s="154">
        <v>552617</v>
      </c>
      <c r="AB438" s="154">
        <v>552671</v>
      </c>
      <c r="AC438" s="154">
        <v>552721</v>
      </c>
      <c r="AD438" s="154">
        <v>552777</v>
      </c>
      <c r="AE438" s="154">
        <v>552827</v>
      </c>
      <c r="AF438" s="154">
        <v>552885</v>
      </c>
      <c r="AG438" s="154">
        <v>552955</v>
      </c>
      <c r="AH438" s="154">
        <v>553010</v>
      </c>
      <c r="AI438" s="154">
        <v>553048</v>
      </c>
      <c r="AJ438" s="154">
        <v>553081</v>
      </c>
      <c r="AK438" s="154">
        <v>553126</v>
      </c>
      <c r="AL438" s="154">
        <v>553159</v>
      </c>
      <c r="AS438">
        <v>438</v>
      </c>
    </row>
    <row r="439" spans="1:46" hidden="1" x14ac:dyDescent="0.25">
      <c r="A439">
        <v>438</v>
      </c>
      <c r="B439">
        <v>2025</v>
      </c>
      <c r="C439">
        <v>8</v>
      </c>
      <c r="D439" t="s">
        <v>276</v>
      </c>
      <c r="E439">
        <v>31</v>
      </c>
      <c r="F439">
        <v>7</v>
      </c>
      <c r="G439" t="s">
        <v>535</v>
      </c>
      <c r="H439" s="154" t="s">
        <v>424</v>
      </c>
      <c r="I439" s="154" t="s">
        <v>424</v>
      </c>
      <c r="J439" s="154" t="s">
        <v>424</v>
      </c>
      <c r="K439" s="154" t="s">
        <v>424</v>
      </c>
      <c r="L439" s="154" t="s">
        <v>424</v>
      </c>
      <c r="M439" s="154">
        <v>551701</v>
      </c>
      <c r="N439" s="154">
        <v>551754</v>
      </c>
      <c r="O439" s="154">
        <v>551814</v>
      </c>
      <c r="P439" s="154">
        <v>551861</v>
      </c>
      <c r="Q439" s="154">
        <v>551876</v>
      </c>
      <c r="R439" s="154">
        <v>551944</v>
      </c>
      <c r="S439" s="154">
        <v>552000</v>
      </c>
      <c r="T439" s="154">
        <v>552065</v>
      </c>
      <c r="U439" s="154">
        <v>552128</v>
      </c>
      <c r="V439" s="154">
        <v>552189</v>
      </c>
      <c r="W439" s="154">
        <v>552352</v>
      </c>
      <c r="X439" s="154" t="s">
        <v>424</v>
      </c>
      <c r="Y439" s="154">
        <v>552561</v>
      </c>
      <c r="Z439" s="154">
        <v>552617</v>
      </c>
      <c r="AA439" s="154">
        <v>552671</v>
      </c>
      <c r="AB439" s="154">
        <v>552721</v>
      </c>
      <c r="AC439" s="154">
        <v>552777</v>
      </c>
      <c r="AD439" s="154">
        <v>552827</v>
      </c>
      <c r="AE439" s="154">
        <v>552885</v>
      </c>
      <c r="AF439" s="154">
        <v>552955</v>
      </c>
      <c r="AG439" s="154">
        <v>553010</v>
      </c>
      <c r="AH439" s="154">
        <v>553048</v>
      </c>
      <c r="AI439" s="154">
        <v>553081</v>
      </c>
      <c r="AJ439" s="154">
        <v>553126</v>
      </c>
      <c r="AK439" s="154">
        <v>553159</v>
      </c>
      <c r="AL439" s="154">
        <v>553186</v>
      </c>
      <c r="AP439" cm="1">
        <f t="array" ref="AP439">IF(AQ439="","",SUM(IFERROR(H439:AL439-H438:AL438,0))*AQ439/100)</f>
        <v>222.75</v>
      </c>
      <c r="AQ439">
        <f>_xlfn.XLOOKUP(D439,log_prices!M:M,log_prices!L:L,,0)</f>
        <v>15</v>
      </c>
      <c r="AS439">
        <v>439</v>
      </c>
      <c r="AT439" cm="1">
        <f t="array" ref="AT439">IF(AQ439="","",SUM(IFERROR(H439:AL439-H438:AL438,0)))</f>
        <v>1485</v>
      </c>
    </row>
    <row r="440" spans="1:46" hidden="1" x14ac:dyDescent="0.25">
      <c r="A440">
        <v>439</v>
      </c>
      <c r="B440">
        <v>2025</v>
      </c>
      <c r="C440">
        <v>8</v>
      </c>
      <c r="D440" t="s">
        <v>271</v>
      </c>
      <c r="E440">
        <v>31</v>
      </c>
      <c r="F440">
        <v>7</v>
      </c>
      <c r="G440" t="s">
        <v>534</v>
      </c>
      <c r="H440" s="154" t="s">
        <v>479</v>
      </c>
      <c r="I440" s="154" t="s">
        <v>479</v>
      </c>
      <c r="J440" s="154" t="s">
        <v>479</v>
      </c>
      <c r="K440" s="154" t="s">
        <v>479</v>
      </c>
      <c r="L440" s="154" t="s">
        <v>479</v>
      </c>
      <c r="M440" s="154" t="s">
        <v>479</v>
      </c>
      <c r="N440" s="154" t="s">
        <v>479</v>
      </c>
      <c r="O440" s="154" t="s">
        <v>479</v>
      </c>
      <c r="P440" s="154" t="s">
        <v>479</v>
      </c>
      <c r="Q440" s="154" t="s">
        <v>424</v>
      </c>
      <c r="R440" s="154" t="s">
        <v>479</v>
      </c>
      <c r="S440" s="154" t="s">
        <v>479</v>
      </c>
      <c r="T440" s="154" t="s">
        <v>479</v>
      </c>
      <c r="U440" s="154" t="s">
        <v>479</v>
      </c>
      <c r="V440" s="154" t="s">
        <v>479</v>
      </c>
      <c r="W440" s="154" t="s">
        <v>479</v>
      </c>
      <c r="X440" s="154" t="s">
        <v>479</v>
      </c>
      <c r="Y440" s="154" t="s">
        <v>479</v>
      </c>
      <c r="Z440" s="154" t="s">
        <v>479</v>
      </c>
      <c r="AA440" s="154" t="s">
        <v>479</v>
      </c>
      <c r="AB440" s="154" t="s">
        <v>479</v>
      </c>
      <c r="AC440" s="154" t="s">
        <v>479</v>
      </c>
      <c r="AD440" s="154" t="s">
        <v>479</v>
      </c>
      <c r="AE440" s="154" t="s">
        <v>424</v>
      </c>
      <c r="AF440" s="154" t="s">
        <v>479</v>
      </c>
      <c r="AG440" s="154" t="s">
        <v>479</v>
      </c>
      <c r="AH440" s="154" t="s">
        <v>479</v>
      </c>
      <c r="AI440" s="154" t="s">
        <v>479</v>
      </c>
      <c r="AJ440" s="154" t="s">
        <v>479</v>
      </c>
      <c r="AK440" s="154" t="s">
        <v>479</v>
      </c>
      <c r="AL440" s="154" t="s">
        <v>479</v>
      </c>
      <c r="AS440">
        <v>440</v>
      </c>
    </row>
    <row r="441" spans="1:46" hidden="1" x14ac:dyDescent="0.25">
      <c r="A441">
        <v>440</v>
      </c>
      <c r="B441">
        <v>2025</v>
      </c>
      <c r="C441">
        <v>8</v>
      </c>
      <c r="D441" t="s">
        <v>271</v>
      </c>
      <c r="E441">
        <v>31</v>
      </c>
      <c r="F441">
        <v>7</v>
      </c>
      <c r="G441" t="s">
        <v>535</v>
      </c>
      <c r="H441" s="154" t="s">
        <v>480</v>
      </c>
      <c r="I441" s="154" t="s">
        <v>480</v>
      </c>
      <c r="J441" s="154" t="s">
        <v>480</v>
      </c>
      <c r="K441" s="154" t="s">
        <v>480</v>
      </c>
      <c r="L441" s="154" t="s">
        <v>480</v>
      </c>
      <c r="M441" s="154" t="s">
        <v>480</v>
      </c>
      <c r="N441" s="154" t="s">
        <v>480</v>
      </c>
      <c r="O441" s="154" t="s">
        <v>480</v>
      </c>
      <c r="P441" s="154" t="s">
        <v>480</v>
      </c>
      <c r="Q441" s="154" t="s">
        <v>424</v>
      </c>
      <c r="R441" s="154" t="s">
        <v>480</v>
      </c>
      <c r="S441" s="154" t="s">
        <v>480</v>
      </c>
      <c r="T441" s="154" t="s">
        <v>480</v>
      </c>
      <c r="U441" s="154" t="s">
        <v>480</v>
      </c>
      <c r="V441" s="154" t="s">
        <v>480</v>
      </c>
      <c r="W441" s="154" t="s">
        <v>480</v>
      </c>
      <c r="X441" s="154" t="s">
        <v>480</v>
      </c>
      <c r="Y441" s="154" t="s">
        <v>480</v>
      </c>
      <c r="Z441" s="154" t="s">
        <v>480</v>
      </c>
      <c r="AA441" s="154" t="s">
        <v>480</v>
      </c>
      <c r="AB441" s="154" t="s">
        <v>480</v>
      </c>
      <c r="AC441" s="154" t="s">
        <v>480</v>
      </c>
      <c r="AD441" s="154" t="s">
        <v>480</v>
      </c>
      <c r="AE441" s="154" t="s">
        <v>424</v>
      </c>
      <c r="AF441" s="154" t="s">
        <v>480</v>
      </c>
      <c r="AG441" s="154" t="s">
        <v>480</v>
      </c>
      <c r="AH441" s="154" t="s">
        <v>480</v>
      </c>
      <c r="AI441" s="154" t="s">
        <v>480</v>
      </c>
      <c r="AJ441" s="154" t="s">
        <v>480</v>
      </c>
      <c r="AK441" s="154" t="s">
        <v>480</v>
      </c>
      <c r="AL441" s="154" t="s">
        <v>480</v>
      </c>
      <c r="AM441" cm="1">
        <f t="array" ref="AM441">SUM(_xlfn.LET(_xlpm.r,((IFERROR(H441:AL441-H440:AL440,0))*24)/10,IF(_xlpm.r&gt;1,1,_xlpm.r)))</f>
        <v>29</v>
      </c>
      <c r="AO441" cm="1">
        <f t="array" ref="AO441">SUM(IFERROR(MOD((H441:AL441-H440:AL440)*24,11),""))</f>
        <v>0</v>
      </c>
      <c r="AS441">
        <v>441</v>
      </c>
    </row>
    <row r="442" spans="1:46" hidden="1" x14ac:dyDescent="0.25">
      <c r="A442">
        <v>441</v>
      </c>
      <c r="B442">
        <v>2025</v>
      </c>
      <c r="C442">
        <v>8</v>
      </c>
      <c r="D442" t="s">
        <v>271</v>
      </c>
      <c r="E442">
        <v>31</v>
      </c>
      <c r="F442">
        <v>7</v>
      </c>
      <c r="G442" t="s">
        <v>534</v>
      </c>
      <c r="H442" s="154">
        <v>204711</v>
      </c>
      <c r="I442" s="154">
        <v>204805</v>
      </c>
      <c r="J442" s="154">
        <v>204889</v>
      </c>
      <c r="K442" s="154">
        <v>204942</v>
      </c>
      <c r="L442" s="154">
        <v>205022</v>
      </c>
      <c r="M442" s="154">
        <v>205116</v>
      </c>
      <c r="N442" s="154">
        <v>205205</v>
      </c>
      <c r="O442" s="154">
        <v>205265</v>
      </c>
      <c r="P442" s="154">
        <v>205341</v>
      </c>
      <c r="Q442" s="154" t="s">
        <v>424</v>
      </c>
      <c r="R442" s="154">
        <v>205474</v>
      </c>
      <c r="S442" s="154">
        <v>205560</v>
      </c>
      <c r="T442" s="154">
        <v>205653</v>
      </c>
      <c r="U442" s="154">
        <v>205711</v>
      </c>
      <c r="V442" s="154">
        <v>205846</v>
      </c>
      <c r="W442" s="154">
        <v>205959</v>
      </c>
      <c r="X442" s="154">
        <v>206065</v>
      </c>
      <c r="Y442" s="154">
        <v>206221</v>
      </c>
      <c r="Z442" s="154">
        <v>206285</v>
      </c>
      <c r="AA442" s="154">
        <v>206354</v>
      </c>
      <c r="AB442" s="154">
        <v>206422</v>
      </c>
      <c r="AC442" s="154">
        <v>206514</v>
      </c>
      <c r="AD442" s="154">
        <v>206601</v>
      </c>
      <c r="AE442" s="154" t="s">
        <v>424</v>
      </c>
      <c r="AF442" s="154">
        <v>206717</v>
      </c>
      <c r="AG442" s="154">
        <v>206776</v>
      </c>
      <c r="AH442" s="154">
        <v>206831</v>
      </c>
      <c r="AI442" s="154">
        <v>206912</v>
      </c>
      <c r="AJ442" s="154">
        <v>207044</v>
      </c>
      <c r="AK442" s="154">
        <v>207103</v>
      </c>
      <c r="AL442" s="154">
        <v>207152</v>
      </c>
      <c r="AS442">
        <v>442</v>
      </c>
    </row>
    <row r="443" spans="1:46" hidden="1" x14ac:dyDescent="0.25">
      <c r="A443">
        <v>442</v>
      </c>
      <c r="B443">
        <v>2025</v>
      </c>
      <c r="C443">
        <v>8</v>
      </c>
      <c r="D443" t="s">
        <v>271</v>
      </c>
      <c r="E443">
        <v>31</v>
      </c>
      <c r="F443">
        <v>7</v>
      </c>
      <c r="G443" t="s">
        <v>535</v>
      </c>
      <c r="H443" s="154">
        <v>204805</v>
      </c>
      <c r="I443" s="154">
        <v>204889</v>
      </c>
      <c r="J443" s="154">
        <v>204942</v>
      </c>
      <c r="K443" s="154">
        <v>205022</v>
      </c>
      <c r="L443" s="154">
        <v>205116</v>
      </c>
      <c r="M443" s="154">
        <v>205205</v>
      </c>
      <c r="N443" s="154">
        <v>205265</v>
      </c>
      <c r="O443" s="154">
        <v>205341</v>
      </c>
      <c r="P443" s="154">
        <v>205422</v>
      </c>
      <c r="Q443" s="154" t="s">
        <v>424</v>
      </c>
      <c r="R443" s="154">
        <v>205560</v>
      </c>
      <c r="S443" s="154">
        <v>205653</v>
      </c>
      <c r="T443" s="154">
        <v>205711</v>
      </c>
      <c r="U443" s="154">
        <v>205846</v>
      </c>
      <c r="V443" s="154">
        <v>205959</v>
      </c>
      <c r="W443" s="154">
        <v>206065</v>
      </c>
      <c r="X443" s="154">
        <v>206139</v>
      </c>
      <c r="Y443" s="154">
        <v>206285</v>
      </c>
      <c r="Z443" s="154">
        <v>206354</v>
      </c>
      <c r="AA443" s="154">
        <v>206422</v>
      </c>
      <c r="AB443" s="154">
        <v>206514</v>
      </c>
      <c r="AC443" s="154">
        <v>206601</v>
      </c>
      <c r="AD443" s="154">
        <v>206652</v>
      </c>
      <c r="AE443" s="154" t="s">
        <v>424</v>
      </c>
      <c r="AF443" s="154">
        <v>206776</v>
      </c>
      <c r="AG443" s="154">
        <v>206831</v>
      </c>
      <c r="AH443" s="154">
        <v>206912</v>
      </c>
      <c r="AI443" s="154">
        <v>207044</v>
      </c>
      <c r="AJ443" s="154">
        <v>207103</v>
      </c>
      <c r="AK443" s="154">
        <v>207152</v>
      </c>
      <c r="AL443" s="154">
        <v>207203</v>
      </c>
      <c r="AP443" cm="1">
        <f t="array" ref="AP443">IF(AQ443="","",SUM(IFERROR(H443:AL443-H442:AL442,0))*AQ443/100)</f>
        <v>343.95</v>
      </c>
      <c r="AQ443">
        <f>_xlfn.XLOOKUP(D443,log_prices!M:M,log_prices!L:L,,0)</f>
        <v>15</v>
      </c>
      <c r="AS443">
        <v>443</v>
      </c>
      <c r="AT443" cm="1">
        <f t="array" ref="AT443">IF(AQ443="","",SUM(IFERROR(H443:AL443-H442:AL442,0)))</f>
        <v>2293</v>
      </c>
    </row>
    <row r="444" spans="1:46" hidden="1" x14ac:dyDescent="0.25">
      <c r="A444">
        <v>443</v>
      </c>
      <c r="B444">
        <v>2025</v>
      </c>
      <c r="C444">
        <v>8</v>
      </c>
      <c r="D444" t="s">
        <v>264</v>
      </c>
      <c r="E444">
        <v>31</v>
      </c>
      <c r="F444">
        <v>7</v>
      </c>
      <c r="G444" t="s">
        <v>534</v>
      </c>
      <c r="H444" s="154" t="s">
        <v>479</v>
      </c>
      <c r="I444" s="154" t="s">
        <v>479</v>
      </c>
      <c r="J444" s="154" t="s">
        <v>479</v>
      </c>
      <c r="K444" s="154" t="s">
        <v>479</v>
      </c>
      <c r="L444" s="154" t="s">
        <v>479</v>
      </c>
      <c r="M444" s="154" t="s">
        <v>479</v>
      </c>
      <c r="N444" s="154" t="s">
        <v>479</v>
      </c>
      <c r="O444" s="154" t="s">
        <v>479</v>
      </c>
      <c r="P444" s="154" t="s">
        <v>479</v>
      </c>
      <c r="Q444" s="154" t="s">
        <v>479</v>
      </c>
      <c r="R444" s="154" t="s">
        <v>479</v>
      </c>
      <c r="S444" s="154" t="s">
        <v>479</v>
      </c>
      <c r="T444" s="154" t="s">
        <v>479</v>
      </c>
      <c r="U444" s="154" t="s">
        <v>479</v>
      </c>
      <c r="V444" s="154" t="s">
        <v>479</v>
      </c>
      <c r="W444" s="154" t="s">
        <v>424</v>
      </c>
      <c r="X444" s="154" t="s">
        <v>424</v>
      </c>
      <c r="Y444" s="154" t="s">
        <v>424</v>
      </c>
      <c r="Z444" s="154" t="s">
        <v>424</v>
      </c>
      <c r="AA444" s="154" t="s">
        <v>424</v>
      </c>
      <c r="AB444" s="154" t="s">
        <v>424</v>
      </c>
      <c r="AC444" s="154" t="s">
        <v>424</v>
      </c>
      <c r="AD444" s="154" t="s">
        <v>424</v>
      </c>
      <c r="AE444" s="154" t="s">
        <v>424</v>
      </c>
      <c r="AF444" s="154" t="s">
        <v>424</v>
      </c>
      <c r="AG444" s="154" t="s">
        <v>424</v>
      </c>
      <c r="AH444" s="154" t="s">
        <v>424</v>
      </c>
      <c r="AI444" s="154" t="s">
        <v>424</v>
      </c>
      <c r="AJ444" s="154" t="s">
        <v>424</v>
      </c>
      <c r="AK444" s="154" t="s">
        <v>424</v>
      </c>
      <c r="AL444" s="154" t="s">
        <v>424</v>
      </c>
      <c r="AS444">
        <v>444</v>
      </c>
    </row>
    <row r="445" spans="1:46" hidden="1" x14ac:dyDescent="0.25">
      <c r="A445">
        <v>444</v>
      </c>
      <c r="B445">
        <v>2025</v>
      </c>
      <c r="C445">
        <v>8</v>
      </c>
      <c r="D445" t="s">
        <v>264</v>
      </c>
      <c r="E445">
        <v>31</v>
      </c>
      <c r="F445">
        <v>7</v>
      </c>
      <c r="G445" t="s">
        <v>535</v>
      </c>
      <c r="H445" s="154" t="s">
        <v>480</v>
      </c>
      <c r="I445" s="154" t="s">
        <v>480</v>
      </c>
      <c r="J445" s="154" t="s">
        <v>480</v>
      </c>
      <c r="K445" s="154" t="s">
        <v>480</v>
      </c>
      <c r="L445" s="154" t="s">
        <v>480</v>
      </c>
      <c r="M445" s="154" t="s">
        <v>480</v>
      </c>
      <c r="N445" s="154" t="s">
        <v>480</v>
      </c>
      <c r="O445" s="154" t="s">
        <v>480</v>
      </c>
      <c r="P445" s="154" t="s">
        <v>480</v>
      </c>
      <c r="Q445" s="154" t="s">
        <v>480</v>
      </c>
      <c r="R445" s="154" t="s">
        <v>480</v>
      </c>
      <c r="S445" s="154" t="s">
        <v>480</v>
      </c>
      <c r="T445" s="154" t="s">
        <v>480</v>
      </c>
      <c r="U445" s="154" t="s">
        <v>480</v>
      </c>
      <c r="V445" s="154" t="s">
        <v>480</v>
      </c>
      <c r="W445" s="154" t="s">
        <v>424</v>
      </c>
      <c r="X445" s="154" t="s">
        <v>424</v>
      </c>
      <c r="Y445" s="154" t="s">
        <v>424</v>
      </c>
      <c r="Z445" s="154" t="s">
        <v>424</v>
      </c>
      <c r="AA445" s="154" t="s">
        <v>424</v>
      </c>
      <c r="AB445" s="154" t="s">
        <v>424</v>
      </c>
      <c r="AC445" s="154" t="s">
        <v>424</v>
      </c>
      <c r="AD445" s="154" t="s">
        <v>424</v>
      </c>
      <c r="AE445" s="154" t="s">
        <v>424</v>
      </c>
      <c r="AF445" s="154" t="s">
        <v>424</v>
      </c>
      <c r="AG445" s="154" t="s">
        <v>424</v>
      </c>
      <c r="AH445" s="154" t="s">
        <v>424</v>
      </c>
      <c r="AI445" s="154" t="s">
        <v>424</v>
      </c>
      <c r="AJ445" s="154" t="s">
        <v>424</v>
      </c>
      <c r="AK445" s="154" t="s">
        <v>424</v>
      </c>
      <c r="AL445" s="154" t="s">
        <v>424</v>
      </c>
      <c r="AM445" cm="1">
        <f t="array" ref="AM445">SUM(_xlfn.LET(_xlpm.r,((IFERROR(H445:AL445-H444:AL444,0))*24)/10,IF(_xlpm.r&gt;1,1,_xlpm.r)))</f>
        <v>15</v>
      </c>
      <c r="AO445" cm="1">
        <f t="array" ref="AO445">SUM(IFERROR(MOD((H445:AL445-H444:AL444)*24,11),""))</f>
        <v>0</v>
      </c>
      <c r="AS445">
        <v>445</v>
      </c>
    </row>
    <row r="446" spans="1:46" hidden="1" x14ac:dyDescent="0.25">
      <c r="A446">
        <v>445</v>
      </c>
      <c r="B446">
        <v>2025</v>
      </c>
      <c r="C446">
        <v>8</v>
      </c>
      <c r="D446" t="s">
        <v>264</v>
      </c>
      <c r="E446">
        <v>31</v>
      </c>
      <c r="F446">
        <v>7</v>
      </c>
      <c r="G446" t="s">
        <v>534</v>
      </c>
      <c r="H446" s="154">
        <v>283644</v>
      </c>
      <c r="I446" s="154">
        <v>283672</v>
      </c>
      <c r="J446" s="154">
        <v>283699</v>
      </c>
      <c r="K446" s="154">
        <v>283730</v>
      </c>
      <c r="L446" s="154">
        <v>283776</v>
      </c>
      <c r="M446" s="154">
        <v>283811</v>
      </c>
      <c r="N446" s="154">
        <v>283846</v>
      </c>
      <c r="O446" s="154">
        <v>283873</v>
      </c>
      <c r="P446" s="154">
        <v>283901</v>
      </c>
      <c r="Q446" s="154">
        <v>283939</v>
      </c>
      <c r="R446" s="154">
        <v>283966</v>
      </c>
      <c r="S446" s="154">
        <v>283995</v>
      </c>
      <c r="T446" s="154">
        <v>284029</v>
      </c>
      <c r="U446" s="154">
        <v>284068</v>
      </c>
      <c r="V446" s="154">
        <v>284087</v>
      </c>
      <c r="W446" s="154" t="s">
        <v>424</v>
      </c>
      <c r="X446" s="154" t="s">
        <v>424</v>
      </c>
      <c r="Y446" s="154" t="s">
        <v>424</v>
      </c>
      <c r="Z446" s="154" t="s">
        <v>424</v>
      </c>
      <c r="AA446" s="154" t="s">
        <v>424</v>
      </c>
      <c r="AB446" s="154" t="s">
        <v>424</v>
      </c>
      <c r="AC446" s="154" t="s">
        <v>424</v>
      </c>
      <c r="AD446" s="154" t="s">
        <v>424</v>
      </c>
      <c r="AE446" s="154" t="s">
        <v>424</v>
      </c>
      <c r="AF446" s="154" t="s">
        <v>424</v>
      </c>
      <c r="AG446" s="154" t="s">
        <v>424</v>
      </c>
      <c r="AH446" s="154" t="s">
        <v>424</v>
      </c>
      <c r="AI446" s="154" t="s">
        <v>424</v>
      </c>
      <c r="AJ446" s="154" t="s">
        <v>424</v>
      </c>
      <c r="AK446" s="154" t="s">
        <v>424</v>
      </c>
      <c r="AL446" s="154" t="s">
        <v>424</v>
      </c>
      <c r="AS446">
        <v>446</v>
      </c>
    </row>
    <row r="447" spans="1:46" hidden="1" x14ac:dyDescent="0.25">
      <c r="A447">
        <v>446</v>
      </c>
      <c r="B447">
        <v>2025</v>
      </c>
      <c r="C447">
        <v>8</v>
      </c>
      <c r="D447" t="s">
        <v>264</v>
      </c>
      <c r="E447">
        <v>31</v>
      </c>
      <c r="F447">
        <v>7</v>
      </c>
      <c r="G447" t="s">
        <v>535</v>
      </c>
      <c r="H447" s="154">
        <v>283672</v>
      </c>
      <c r="I447" s="154">
        <v>283699</v>
      </c>
      <c r="J447" s="154">
        <v>283730</v>
      </c>
      <c r="K447" s="154">
        <v>283776</v>
      </c>
      <c r="L447" s="154">
        <v>283811</v>
      </c>
      <c r="M447" s="154">
        <v>283846</v>
      </c>
      <c r="N447" s="154">
        <v>283873</v>
      </c>
      <c r="O447" s="154">
        <v>283901</v>
      </c>
      <c r="P447" s="154">
        <v>283939</v>
      </c>
      <c r="Q447" s="154">
        <v>283966</v>
      </c>
      <c r="R447" s="154">
        <v>283995</v>
      </c>
      <c r="S447" s="154">
        <v>284029</v>
      </c>
      <c r="T447" s="154">
        <v>284068</v>
      </c>
      <c r="U447" s="154">
        <v>284087</v>
      </c>
      <c r="V447" s="154">
        <v>284145</v>
      </c>
      <c r="W447" s="154" t="s">
        <v>424</v>
      </c>
      <c r="X447" s="154" t="s">
        <v>424</v>
      </c>
      <c r="Y447" s="154" t="s">
        <v>424</v>
      </c>
      <c r="Z447" s="154" t="s">
        <v>424</v>
      </c>
      <c r="AA447" s="154" t="s">
        <v>424</v>
      </c>
      <c r="AB447" s="154" t="s">
        <v>424</v>
      </c>
      <c r="AC447" s="154" t="s">
        <v>424</v>
      </c>
      <c r="AD447" s="154" t="s">
        <v>424</v>
      </c>
      <c r="AE447" s="154" t="s">
        <v>424</v>
      </c>
      <c r="AF447" s="154" t="s">
        <v>424</v>
      </c>
      <c r="AG447" s="154" t="s">
        <v>424</v>
      </c>
      <c r="AH447" s="154" t="s">
        <v>424</v>
      </c>
      <c r="AI447" s="154" t="s">
        <v>424</v>
      </c>
      <c r="AJ447" s="154" t="s">
        <v>424</v>
      </c>
      <c r="AK447" s="154" t="s">
        <v>424</v>
      </c>
      <c r="AL447" s="154" t="s">
        <v>424</v>
      </c>
      <c r="AP447" t="str" cm="1">
        <f t="array" ref="AP447">IF(AQ447="","",SUM(IFERROR(H447:AL447-H446:AL446,0))*AQ447/100)</f>
        <v/>
      </c>
      <c r="AQ447" t="str">
        <f>_xlfn.XLOOKUP(D447,log_prices!M:M,log_prices!L:L,,0)</f>
        <v/>
      </c>
      <c r="AS447">
        <v>447</v>
      </c>
    </row>
    <row r="448" spans="1:46" hidden="1" x14ac:dyDescent="0.25">
      <c r="A448">
        <v>447</v>
      </c>
      <c r="B448">
        <v>2025</v>
      </c>
      <c r="C448">
        <v>8</v>
      </c>
      <c r="D448" t="s">
        <v>273</v>
      </c>
      <c r="E448">
        <v>31</v>
      </c>
      <c r="F448">
        <v>7</v>
      </c>
      <c r="G448" t="s">
        <v>534</v>
      </c>
      <c r="H448" s="154" t="s">
        <v>479</v>
      </c>
      <c r="I448" s="154" t="s">
        <v>479</v>
      </c>
      <c r="J448" s="154" t="s">
        <v>479</v>
      </c>
      <c r="K448" s="154" t="s">
        <v>479</v>
      </c>
      <c r="L448" s="154" t="s">
        <v>479</v>
      </c>
      <c r="M448" s="154" t="s">
        <v>479</v>
      </c>
      <c r="N448" s="154" t="s">
        <v>479</v>
      </c>
      <c r="O448" s="154" t="s">
        <v>479</v>
      </c>
      <c r="P448" s="154" t="s">
        <v>479</v>
      </c>
      <c r="Q448" s="154" t="s">
        <v>424</v>
      </c>
      <c r="R448" s="154" t="s">
        <v>479</v>
      </c>
      <c r="S448" s="154" t="s">
        <v>479</v>
      </c>
      <c r="T448" s="154" t="s">
        <v>479</v>
      </c>
      <c r="U448" s="154" t="s">
        <v>479</v>
      </c>
      <c r="V448" s="154" t="s">
        <v>479</v>
      </c>
      <c r="W448" s="154" t="s">
        <v>479</v>
      </c>
      <c r="X448" s="154" t="s">
        <v>479</v>
      </c>
      <c r="Y448" s="154" t="s">
        <v>479</v>
      </c>
      <c r="Z448" s="154" t="s">
        <v>479</v>
      </c>
      <c r="AA448" s="154" t="s">
        <v>479</v>
      </c>
      <c r="AB448" s="154" t="s">
        <v>479</v>
      </c>
      <c r="AC448" s="154" t="s">
        <v>479</v>
      </c>
      <c r="AD448" s="154" t="s">
        <v>479</v>
      </c>
      <c r="AE448" s="154" t="s">
        <v>424</v>
      </c>
      <c r="AF448" s="154" t="s">
        <v>479</v>
      </c>
      <c r="AG448" s="154" t="s">
        <v>479</v>
      </c>
      <c r="AH448" s="154" t="s">
        <v>479</v>
      </c>
      <c r="AI448" s="154" t="s">
        <v>479</v>
      </c>
      <c r="AJ448" s="154" t="s">
        <v>479</v>
      </c>
      <c r="AK448" s="154" t="s">
        <v>479</v>
      </c>
      <c r="AL448" s="154" t="s">
        <v>479</v>
      </c>
      <c r="AS448">
        <v>448</v>
      </c>
    </row>
    <row r="449" spans="1:46" hidden="1" x14ac:dyDescent="0.25">
      <c r="A449">
        <v>448</v>
      </c>
      <c r="B449">
        <v>2025</v>
      </c>
      <c r="C449">
        <v>8</v>
      </c>
      <c r="D449" t="s">
        <v>273</v>
      </c>
      <c r="E449">
        <v>31</v>
      </c>
      <c r="F449">
        <v>7</v>
      </c>
      <c r="G449" t="s">
        <v>535</v>
      </c>
      <c r="H449" s="154">
        <v>0.75</v>
      </c>
      <c r="I449" s="154">
        <v>0.75</v>
      </c>
      <c r="J449" s="154">
        <v>0.79166666666666674</v>
      </c>
      <c r="K449" s="154">
        <v>0.75</v>
      </c>
      <c r="L449" s="154">
        <v>0.91666666666666674</v>
      </c>
      <c r="M449" s="154">
        <v>0.75</v>
      </c>
      <c r="N449" s="154">
        <v>0.75</v>
      </c>
      <c r="O449" s="154">
        <v>0.75</v>
      </c>
      <c r="P449" s="154">
        <v>0.75</v>
      </c>
      <c r="Q449" s="154" t="s">
        <v>424</v>
      </c>
      <c r="R449" s="154">
        <v>0.75</v>
      </c>
      <c r="S449" s="154">
        <v>0.75</v>
      </c>
      <c r="T449" s="154">
        <v>0.875</v>
      </c>
      <c r="U449" s="154">
        <v>0.75</v>
      </c>
      <c r="V449" s="154">
        <v>0.83333333333333326</v>
      </c>
      <c r="W449" s="154">
        <v>0.75</v>
      </c>
      <c r="X449" s="154">
        <v>0.79166666666666674</v>
      </c>
      <c r="Y449" s="154">
        <v>0.75</v>
      </c>
      <c r="Z449" s="154">
        <v>0.75</v>
      </c>
      <c r="AA449" s="154">
        <v>0.75</v>
      </c>
      <c r="AB449" s="154">
        <v>0.75</v>
      </c>
      <c r="AC449" s="154">
        <v>0.75</v>
      </c>
      <c r="AD449" s="154">
        <v>0.75</v>
      </c>
      <c r="AE449" s="154" t="s">
        <v>424</v>
      </c>
      <c r="AF449" s="154">
        <v>0.75</v>
      </c>
      <c r="AG449" s="154">
        <v>0.75</v>
      </c>
      <c r="AH449" s="154">
        <v>0.75</v>
      </c>
      <c r="AI449" s="154">
        <v>0.75</v>
      </c>
      <c r="AJ449" s="154">
        <v>0.79166666666666674</v>
      </c>
      <c r="AK449" s="154">
        <v>0.75</v>
      </c>
      <c r="AL449" s="154">
        <v>0.75</v>
      </c>
      <c r="AM449" cm="1">
        <f t="array" ref="AM449">SUM(_xlfn.LET(_xlpm.r,((IFERROR(H449:AL449-H448:AL448,0))*24)/10,IF(_xlpm.r&gt;1,1,_xlpm.r)))</f>
        <v>29</v>
      </c>
      <c r="AO449" cm="1">
        <f t="array" ref="AO449">SUM(IFERROR(MOD((H449:AL449-H448:AL448)*24,11),""))</f>
        <v>11.999999999999995</v>
      </c>
      <c r="AS449">
        <v>449</v>
      </c>
    </row>
    <row r="450" spans="1:46" hidden="1" x14ac:dyDescent="0.25">
      <c r="A450">
        <v>449</v>
      </c>
      <c r="B450">
        <v>2025</v>
      </c>
      <c r="C450">
        <v>8</v>
      </c>
      <c r="D450" t="s">
        <v>273</v>
      </c>
      <c r="E450">
        <v>31</v>
      </c>
      <c r="F450">
        <v>7</v>
      </c>
      <c r="G450" t="s">
        <v>534</v>
      </c>
      <c r="H450" s="154">
        <v>237683</v>
      </c>
      <c r="I450" s="154">
        <v>237787</v>
      </c>
      <c r="J450" s="154">
        <v>237818</v>
      </c>
      <c r="K450" s="154">
        <v>237852</v>
      </c>
      <c r="L450" s="154">
        <v>237883</v>
      </c>
      <c r="M450" s="154">
        <v>237902</v>
      </c>
      <c r="N450" s="154">
        <v>237955</v>
      </c>
      <c r="O450" s="154">
        <v>237987</v>
      </c>
      <c r="P450" s="154">
        <v>238230</v>
      </c>
      <c r="Q450" s="154" t="s">
        <v>424</v>
      </c>
      <c r="R450" s="154">
        <v>238466</v>
      </c>
      <c r="S450" s="154">
        <v>238592</v>
      </c>
      <c r="T450" s="154">
        <v>238608</v>
      </c>
      <c r="U450" s="154">
        <v>238642</v>
      </c>
      <c r="V450" s="154">
        <v>238809</v>
      </c>
      <c r="W450" s="154">
        <v>238950</v>
      </c>
      <c r="X450" s="154">
        <v>238969</v>
      </c>
      <c r="Y450" s="154">
        <v>238994</v>
      </c>
      <c r="Z450" s="154">
        <v>239040</v>
      </c>
      <c r="AA450" s="154">
        <v>239075</v>
      </c>
      <c r="AB450" s="154">
        <v>239253</v>
      </c>
      <c r="AC450" s="154">
        <v>239350</v>
      </c>
      <c r="AD450" s="154">
        <v>239394</v>
      </c>
      <c r="AE450" s="154" t="s">
        <v>424</v>
      </c>
      <c r="AF450" s="154">
        <v>239633</v>
      </c>
      <c r="AG450" s="154">
        <v>239757</v>
      </c>
      <c r="AH450" s="154">
        <v>239786</v>
      </c>
      <c r="AI450" s="154">
        <v>239928</v>
      </c>
      <c r="AJ450" s="154">
        <v>240062</v>
      </c>
      <c r="AK450" s="154">
        <v>240103</v>
      </c>
      <c r="AL450" s="154">
        <v>240249</v>
      </c>
      <c r="AS450">
        <v>450</v>
      </c>
    </row>
    <row r="451" spans="1:46" hidden="1" x14ac:dyDescent="0.25">
      <c r="A451">
        <v>450</v>
      </c>
      <c r="B451">
        <v>2025</v>
      </c>
      <c r="C451">
        <v>8</v>
      </c>
      <c r="D451" t="s">
        <v>273</v>
      </c>
      <c r="E451">
        <v>31</v>
      </c>
      <c r="F451">
        <v>7</v>
      </c>
      <c r="G451" t="s">
        <v>535</v>
      </c>
      <c r="H451" s="154">
        <v>237787</v>
      </c>
      <c r="I451" s="154">
        <v>237818</v>
      </c>
      <c r="J451" s="154">
        <v>237852</v>
      </c>
      <c r="K451" s="154">
        <v>237883</v>
      </c>
      <c r="L451" s="154">
        <v>237902</v>
      </c>
      <c r="M451" s="154">
        <v>237955</v>
      </c>
      <c r="N451" s="154">
        <v>237987</v>
      </c>
      <c r="O451" s="154">
        <v>238223</v>
      </c>
      <c r="P451" s="154">
        <v>238456</v>
      </c>
      <c r="Q451" s="154" t="s">
        <v>424</v>
      </c>
      <c r="R451" s="154">
        <v>238591</v>
      </c>
      <c r="S451" s="154">
        <v>238607</v>
      </c>
      <c r="T451" s="154">
        <v>238632</v>
      </c>
      <c r="U451" s="154">
        <v>238787</v>
      </c>
      <c r="V451" s="154">
        <v>238930</v>
      </c>
      <c r="W451" s="154">
        <v>238969</v>
      </c>
      <c r="X451" s="154">
        <v>238990</v>
      </c>
      <c r="Y451" s="154">
        <v>239039</v>
      </c>
      <c r="Z451" s="154">
        <v>239075</v>
      </c>
      <c r="AA451" s="154">
        <v>239216</v>
      </c>
      <c r="AB451" s="154">
        <v>239350</v>
      </c>
      <c r="AC451" s="154">
        <v>239393</v>
      </c>
      <c r="AD451" s="154">
        <v>239514</v>
      </c>
      <c r="AE451" s="154" t="s">
        <v>424</v>
      </c>
      <c r="AF451" s="154">
        <v>239754</v>
      </c>
      <c r="AG451" s="154">
        <v>239786</v>
      </c>
      <c r="AH451" s="154">
        <v>239826</v>
      </c>
      <c r="AI451" s="154">
        <v>240062</v>
      </c>
      <c r="AJ451" s="154">
        <v>240103</v>
      </c>
      <c r="AK451" s="154">
        <v>240232</v>
      </c>
      <c r="AL451" s="154">
        <v>240365</v>
      </c>
      <c r="AP451" cm="1">
        <f t="array" ref="AP451">IF(AQ451="","",SUM(IFERROR(H451:AL451-H450:AL450,0))*AQ451/100)</f>
        <v>349.04999999999995</v>
      </c>
      <c r="AQ451">
        <f>_xlfn.XLOOKUP(D451,log_prices!M:M,log_prices!L:L,,0)</f>
        <v>14.999999999999998</v>
      </c>
      <c r="AS451">
        <v>451</v>
      </c>
      <c r="AT451" cm="1">
        <f t="array" ref="AT451">IF(AQ451="","",SUM(IFERROR(H451:AL451-H450:AL450,0)))</f>
        <v>2327</v>
      </c>
    </row>
    <row r="452" spans="1:46" hidden="1" x14ac:dyDescent="0.25">
      <c r="A452">
        <v>451</v>
      </c>
      <c r="B452">
        <v>2025</v>
      </c>
      <c r="C452">
        <v>8</v>
      </c>
      <c r="D452" t="s">
        <v>274</v>
      </c>
      <c r="E452">
        <v>31</v>
      </c>
      <c r="F452">
        <v>7</v>
      </c>
      <c r="G452" t="s">
        <v>534</v>
      </c>
      <c r="H452" s="154" t="s">
        <v>424</v>
      </c>
      <c r="I452" s="154" t="s">
        <v>424</v>
      </c>
      <c r="J452" s="154" t="s">
        <v>424</v>
      </c>
      <c r="K452" s="154" t="s">
        <v>424</v>
      </c>
      <c r="L452" s="154" t="s">
        <v>424</v>
      </c>
      <c r="M452" s="154" t="s">
        <v>424</v>
      </c>
      <c r="N452" s="154" t="s">
        <v>424</v>
      </c>
      <c r="O452" s="154" t="s">
        <v>424</v>
      </c>
      <c r="P452" s="154" t="s">
        <v>424</v>
      </c>
      <c r="Q452" s="154" t="s">
        <v>424</v>
      </c>
      <c r="R452" s="154" t="s">
        <v>424</v>
      </c>
      <c r="S452" s="154" t="s">
        <v>424</v>
      </c>
      <c r="T452" s="154" t="s">
        <v>424</v>
      </c>
      <c r="U452" s="154" t="s">
        <v>424</v>
      </c>
      <c r="V452" s="154" t="s">
        <v>424</v>
      </c>
      <c r="W452" s="154" t="s">
        <v>424</v>
      </c>
      <c r="X452" s="154" t="s">
        <v>424</v>
      </c>
      <c r="Y452" s="154" t="s">
        <v>479</v>
      </c>
      <c r="Z452" s="154" t="s">
        <v>479</v>
      </c>
      <c r="AA452" s="154" t="s">
        <v>479</v>
      </c>
      <c r="AB452" s="154" t="s">
        <v>479</v>
      </c>
      <c r="AC452" s="154" t="s">
        <v>479</v>
      </c>
      <c r="AD452" s="154" t="s">
        <v>479</v>
      </c>
      <c r="AE452" s="154" t="s">
        <v>479</v>
      </c>
      <c r="AF452" s="154" t="s">
        <v>479</v>
      </c>
      <c r="AG452" s="154" t="s">
        <v>479</v>
      </c>
      <c r="AH452" s="154" t="s">
        <v>479</v>
      </c>
      <c r="AI452" s="154" t="s">
        <v>479</v>
      </c>
      <c r="AJ452" s="154" t="s">
        <v>479</v>
      </c>
      <c r="AK452" s="154" t="s">
        <v>479</v>
      </c>
      <c r="AL452" s="154" t="s">
        <v>479</v>
      </c>
      <c r="AS452">
        <v>452</v>
      </c>
    </row>
    <row r="453" spans="1:46" hidden="1" x14ac:dyDescent="0.25">
      <c r="A453">
        <v>452</v>
      </c>
      <c r="B453">
        <v>2025</v>
      </c>
      <c r="C453">
        <v>8</v>
      </c>
      <c r="D453" t="s">
        <v>274</v>
      </c>
      <c r="E453">
        <v>31</v>
      </c>
      <c r="F453">
        <v>7</v>
      </c>
      <c r="G453" t="s">
        <v>535</v>
      </c>
      <c r="H453" s="154" t="s">
        <v>424</v>
      </c>
      <c r="I453" s="154" t="s">
        <v>424</v>
      </c>
      <c r="J453" s="154" t="s">
        <v>424</v>
      </c>
      <c r="K453" s="154" t="s">
        <v>424</v>
      </c>
      <c r="L453" s="154" t="s">
        <v>424</v>
      </c>
      <c r="M453" s="154" t="s">
        <v>424</v>
      </c>
      <c r="N453" s="154" t="s">
        <v>424</v>
      </c>
      <c r="O453" s="154" t="s">
        <v>424</v>
      </c>
      <c r="P453" s="154" t="s">
        <v>424</v>
      </c>
      <c r="Q453" s="154" t="s">
        <v>424</v>
      </c>
      <c r="R453" s="154" t="s">
        <v>424</v>
      </c>
      <c r="S453" s="154" t="s">
        <v>424</v>
      </c>
      <c r="T453" s="154" t="s">
        <v>424</v>
      </c>
      <c r="U453" s="154" t="s">
        <v>424</v>
      </c>
      <c r="V453" s="154" t="s">
        <v>424</v>
      </c>
      <c r="W453" s="154" t="s">
        <v>424</v>
      </c>
      <c r="X453" s="154" t="s">
        <v>424</v>
      </c>
      <c r="Y453" s="154" t="s">
        <v>516</v>
      </c>
      <c r="Z453" s="154" t="s">
        <v>516</v>
      </c>
      <c r="AA453" s="154" t="s">
        <v>516</v>
      </c>
      <c r="AB453" s="154" t="s">
        <v>516</v>
      </c>
      <c r="AC453" s="154" t="s">
        <v>516</v>
      </c>
      <c r="AD453" s="154" t="s">
        <v>516</v>
      </c>
      <c r="AE453" s="154" t="s">
        <v>516</v>
      </c>
      <c r="AF453" s="154" t="s">
        <v>516</v>
      </c>
      <c r="AG453" s="154" t="s">
        <v>516</v>
      </c>
      <c r="AH453" s="154" t="s">
        <v>517</v>
      </c>
      <c r="AI453" s="154" t="s">
        <v>518</v>
      </c>
      <c r="AJ453" s="154" t="s">
        <v>519</v>
      </c>
      <c r="AK453" s="154" t="s">
        <v>520</v>
      </c>
      <c r="AL453" s="154" t="s">
        <v>520</v>
      </c>
      <c r="AM453" cm="1">
        <f t="array" ref="AM453">SUM(_xlfn.LET(_xlpm.r,((IFERROR(H453:AL453-H452:AL452,0))*24)/10,IF(_xlpm.r&gt;1,1,_xlpm.r)))</f>
        <v>14</v>
      </c>
      <c r="AO453">
        <v>0</v>
      </c>
      <c r="AS453">
        <v>453</v>
      </c>
    </row>
    <row r="454" spans="1:46" hidden="1" x14ac:dyDescent="0.25">
      <c r="A454">
        <v>453</v>
      </c>
      <c r="B454">
        <v>2025</v>
      </c>
      <c r="C454">
        <v>8</v>
      </c>
      <c r="D454" t="s">
        <v>274</v>
      </c>
      <c r="E454">
        <v>31</v>
      </c>
      <c r="F454">
        <v>7</v>
      </c>
      <c r="G454" t="s">
        <v>534</v>
      </c>
      <c r="H454" s="154" t="s">
        <v>424</v>
      </c>
      <c r="I454" s="154" t="s">
        <v>424</v>
      </c>
      <c r="J454" s="154" t="s">
        <v>424</v>
      </c>
      <c r="K454" s="154" t="s">
        <v>424</v>
      </c>
      <c r="L454" s="154" t="s">
        <v>424</v>
      </c>
      <c r="M454" s="154" t="s">
        <v>424</v>
      </c>
      <c r="N454" s="154" t="s">
        <v>424</v>
      </c>
      <c r="O454" s="154" t="s">
        <v>424</v>
      </c>
      <c r="P454" s="154" t="s">
        <v>424</v>
      </c>
      <c r="Q454" s="154" t="s">
        <v>424</v>
      </c>
      <c r="R454" s="154" t="s">
        <v>424</v>
      </c>
      <c r="S454" s="154" t="s">
        <v>424</v>
      </c>
      <c r="T454" s="154" t="s">
        <v>424</v>
      </c>
      <c r="U454" s="154" t="s">
        <v>424</v>
      </c>
      <c r="V454" s="154" t="s">
        <v>424</v>
      </c>
      <c r="W454" s="154" t="s">
        <v>424</v>
      </c>
      <c r="X454" s="154" t="s">
        <v>424</v>
      </c>
      <c r="Y454" s="154">
        <v>364905</v>
      </c>
      <c r="Z454" s="154">
        <v>365010</v>
      </c>
      <c r="AA454" s="154">
        <v>365111</v>
      </c>
      <c r="AB454" s="154">
        <v>365212</v>
      </c>
      <c r="AC454" s="154">
        <v>365313</v>
      </c>
      <c r="AD454" s="154">
        <v>365414</v>
      </c>
      <c r="AE454" s="154">
        <v>365515</v>
      </c>
      <c r="AF454" s="154">
        <v>365616</v>
      </c>
      <c r="AG454" s="154">
        <v>365616</v>
      </c>
      <c r="AH454" s="154">
        <v>365717</v>
      </c>
      <c r="AI454" s="154">
        <v>365931</v>
      </c>
      <c r="AJ454" s="154">
        <v>366141</v>
      </c>
      <c r="AK454" s="154">
        <v>366321</v>
      </c>
      <c r="AL454" s="154">
        <v>1</v>
      </c>
      <c r="AS454">
        <v>454</v>
      </c>
    </row>
    <row r="455" spans="1:46" hidden="1" x14ac:dyDescent="0.25">
      <c r="A455">
        <v>454</v>
      </c>
      <c r="B455">
        <v>2025</v>
      </c>
      <c r="C455">
        <v>8</v>
      </c>
      <c r="D455" t="s">
        <v>274</v>
      </c>
      <c r="E455">
        <v>31</v>
      </c>
      <c r="F455">
        <v>7</v>
      </c>
      <c r="G455" t="s">
        <v>535</v>
      </c>
      <c r="H455" s="154" t="s">
        <v>424</v>
      </c>
      <c r="I455" s="154" t="s">
        <v>424</v>
      </c>
      <c r="J455" s="154" t="s">
        <v>424</v>
      </c>
      <c r="K455" s="154" t="s">
        <v>424</v>
      </c>
      <c r="L455" s="154" t="s">
        <v>424</v>
      </c>
      <c r="M455" s="154" t="s">
        <v>424</v>
      </c>
      <c r="N455" s="154" t="s">
        <v>424</v>
      </c>
      <c r="O455" s="154" t="s">
        <v>424</v>
      </c>
      <c r="P455" s="154" t="s">
        <v>424</v>
      </c>
      <c r="Q455" s="154" t="s">
        <v>424</v>
      </c>
      <c r="R455" s="154" t="s">
        <v>424</v>
      </c>
      <c r="S455" s="154" t="s">
        <v>424</v>
      </c>
      <c r="T455" s="154" t="s">
        <v>424</v>
      </c>
      <c r="U455" s="154" t="s">
        <v>424</v>
      </c>
      <c r="V455" s="154" t="s">
        <v>424</v>
      </c>
      <c r="W455" s="154" t="s">
        <v>424</v>
      </c>
      <c r="X455" s="154" t="s">
        <v>424</v>
      </c>
      <c r="Y455" s="154">
        <v>365010</v>
      </c>
      <c r="Z455" s="154">
        <v>365111</v>
      </c>
      <c r="AA455" s="154">
        <v>365212</v>
      </c>
      <c r="AB455" s="154">
        <v>365313</v>
      </c>
      <c r="AC455" s="154">
        <v>365414</v>
      </c>
      <c r="AD455" s="154">
        <v>365515</v>
      </c>
      <c r="AE455" s="154">
        <v>365616</v>
      </c>
      <c r="AF455" s="154">
        <v>365717</v>
      </c>
      <c r="AG455" s="154">
        <v>365717</v>
      </c>
      <c r="AH455" s="154">
        <v>365930</v>
      </c>
      <c r="AI455" s="154">
        <v>366140</v>
      </c>
      <c r="AJ455" s="154">
        <v>366321</v>
      </c>
      <c r="AK455" s="154">
        <v>366525</v>
      </c>
      <c r="AL455" s="154">
        <v>1</v>
      </c>
      <c r="AP455" cm="1">
        <f t="array" ref="AP455">IF(AQ455="","",SUM(IFERROR(H455:AL455-H454:AL454,0))*AQ455/100)</f>
        <v>309.4199999999999</v>
      </c>
      <c r="AQ455">
        <f>_xlfn.XLOOKUP(D455,log_prices!M:M,log_prices!L:L,,0)</f>
        <v>17.999999999999996</v>
      </c>
      <c r="AS455">
        <v>455</v>
      </c>
      <c r="AT455" cm="1">
        <f t="array" ref="AT455">IF(AQ455="","",SUM(IFERROR(H455:AL455-H454:AL454,0)))</f>
        <v>1719</v>
      </c>
    </row>
    <row r="456" spans="1:46" hidden="1" x14ac:dyDescent="0.25">
      <c r="A456">
        <v>455</v>
      </c>
      <c r="B456">
        <v>2025</v>
      </c>
      <c r="C456">
        <v>8</v>
      </c>
      <c r="D456" t="s">
        <v>262</v>
      </c>
      <c r="E456">
        <v>31</v>
      </c>
      <c r="F456">
        <v>7</v>
      </c>
      <c r="G456" t="s">
        <v>534</v>
      </c>
      <c r="H456" s="154">
        <v>0.29166666666666669</v>
      </c>
      <c r="I456" s="154">
        <v>0.29166666666666669</v>
      </c>
      <c r="J456" s="154">
        <v>0.29166666666666669</v>
      </c>
      <c r="K456" s="154">
        <v>0.29166666666666669</v>
      </c>
      <c r="L456" s="154">
        <v>0.29166666666666669</v>
      </c>
      <c r="M456" s="154">
        <v>0.29166666666666669</v>
      </c>
      <c r="N456" s="154">
        <v>0.29166666666666669</v>
      </c>
      <c r="O456" s="154">
        <v>0.29166666666666669</v>
      </c>
      <c r="P456" s="154">
        <v>0.29166666666666669</v>
      </c>
      <c r="Q456" s="154">
        <v>0.29166666666666669</v>
      </c>
      <c r="R456" s="154">
        <v>0.29166666666666669</v>
      </c>
      <c r="S456" s="154">
        <v>0.29166666666666669</v>
      </c>
      <c r="T456" s="154">
        <v>0.29166666666666669</v>
      </c>
      <c r="U456" s="154">
        <v>0.29166666666666669</v>
      </c>
      <c r="V456" s="154">
        <v>0.29166666666666669</v>
      </c>
      <c r="W456" s="154">
        <v>0.29166666666666669</v>
      </c>
      <c r="X456" s="154">
        <v>0.29166666666666669</v>
      </c>
      <c r="Y456" s="154">
        <v>0.29166666666666669</v>
      </c>
      <c r="Z456" s="154">
        <v>0.29166666666666669</v>
      </c>
      <c r="AA456" s="154">
        <v>0.29166666666666669</v>
      </c>
      <c r="AB456" s="154">
        <v>0.29166666666666669</v>
      </c>
      <c r="AC456" s="154">
        <v>0.29166666666666669</v>
      </c>
      <c r="AD456" s="154">
        <v>0.29166666666666669</v>
      </c>
      <c r="AE456" s="154">
        <v>0.29166666666666669</v>
      </c>
      <c r="AF456" s="154">
        <v>0.29166666666666669</v>
      </c>
      <c r="AG456" s="154">
        <v>0.29166666666666669</v>
      </c>
      <c r="AH456" s="154">
        <v>0.29166666666666669</v>
      </c>
      <c r="AI456" s="154">
        <v>0.29166666666666669</v>
      </c>
      <c r="AJ456" s="154">
        <v>0.29166666666666669</v>
      </c>
      <c r="AK456" s="154">
        <v>0.29166666666666669</v>
      </c>
      <c r="AL456" s="154" t="s">
        <v>424</v>
      </c>
      <c r="AS456">
        <v>456</v>
      </c>
    </row>
    <row r="457" spans="1:46" hidden="1" x14ac:dyDescent="0.25">
      <c r="A457">
        <v>456</v>
      </c>
      <c r="B457">
        <v>2025</v>
      </c>
      <c r="C457">
        <v>8</v>
      </c>
      <c r="D457" t="s">
        <v>262</v>
      </c>
      <c r="E457">
        <v>31</v>
      </c>
      <c r="F457">
        <v>7</v>
      </c>
      <c r="G457" t="s">
        <v>535</v>
      </c>
      <c r="H457" s="154">
        <v>0.75</v>
      </c>
      <c r="I457" s="154">
        <v>0.75</v>
      </c>
      <c r="J457" s="154">
        <v>0.75</v>
      </c>
      <c r="K457" s="154">
        <v>0.75</v>
      </c>
      <c r="L457" s="154">
        <v>0.75</v>
      </c>
      <c r="M457" s="154">
        <v>0.75</v>
      </c>
      <c r="N457" s="154">
        <v>0.75</v>
      </c>
      <c r="O457" s="154">
        <v>0.75</v>
      </c>
      <c r="P457" s="154">
        <v>0.75</v>
      </c>
      <c r="Q457" s="154">
        <v>0.75</v>
      </c>
      <c r="R457" s="154">
        <v>0.75</v>
      </c>
      <c r="S457" s="154">
        <v>0.75</v>
      </c>
      <c r="T457" s="154">
        <v>0.75</v>
      </c>
      <c r="U457" s="154">
        <v>0.75</v>
      </c>
      <c r="V457" s="154">
        <v>0.75</v>
      </c>
      <c r="W457" s="154">
        <v>0.75</v>
      </c>
      <c r="X457" s="154">
        <v>0.75</v>
      </c>
      <c r="Y457" s="154">
        <v>0.75</v>
      </c>
      <c r="Z457" s="154">
        <v>0.75</v>
      </c>
      <c r="AA457" s="154">
        <v>0.75</v>
      </c>
      <c r="AB457" s="154">
        <v>0.75</v>
      </c>
      <c r="AC457" s="154">
        <v>0.75</v>
      </c>
      <c r="AD457" s="154">
        <v>0.75</v>
      </c>
      <c r="AE457" s="154">
        <v>0.75</v>
      </c>
      <c r="AF457" s="154">
        <v>0.75</v>
      </c>
      <c r="AG457" s="154">
        <v>0.75</v>
      </c>
      <c r="AH457" s="154">
        <v>0.75</v>
      </c>
      <c r="AI457" s="154">
        <v>0.75</v>
      </c>
      <c r="AJ457" s="154">
        <v>0.75</v>
      </c>
      <c r="AK457" s="154">
        <v>0.75</v>
      </c>
      <c r="AL457" s="154" t="s">
        <v>424</v>
      </c>
      <c r="AM457" cm="1">
        <f t="array" ref="AM457">SUM(_xlfn.LET(_xlpm.r,((IFERROR(H457:AL457-H456:AL456,0))*24)/10,IF(_xlpm.r&gt;1,1,_xlpm.r)))</f>
        <v>30</v>
      </c>
      <c r="AS457">
        <v>457</v>
      </c>
    </row>
    <row r="458" spans="1:46" hidden="1" x14ac:dyDescent="0.25">
      <c r="A458">
        <v>457</v>
      </c>
      <c r="B458">
        <v>2025</v>
      </c>
      <c r="C458">
        <v>8</v>
      </c>
      <c r="D458" t="s">
        <v>262</v>
      </c>
      <c r="E458">
        <v>31</v>
      </c>
      <c r="F458">
        <v>7</v>
      </c>
      <c r="G458" t="s">
        <v>534</v>
      </c>
      <c r="H458" s="154">
        <v>1</v>
      </c>
      <c r="I458" s="154">
        <v>1</v>
      </c>
      <c r="J458" s="154">
        <v>1</v>
      </c>
      <c r="K458" s="154">
        <v>1</v>
      </c>
      <c r="L458" s="154">
        <v>1</v>
      </c>
      <c r="M458" s="154">
        <v>1</v>
      </c>
      <c r="N458" s="154">
        <v>1</v>
      </c>
      <c r="O458" s="154">
        <v>1</v>
      </c>
      <c r="P458" s="154">
        <v>1</v>
      </c>
      <c r="Q458" s="154">
        <v>1</v>
      </c>
      <c r="R458" s="154">
        <v>1</v>
      </c>
      <c r="S458" s="154">
        <v>1</v>
      </c>
      <c r="T458" s="154">
        <v>1</v>
      </c>
      <c r="U458" s="154">
        <v>1</v>
      </c>
      <c r="V458" s="154">
        <v>1</v>
      </c>
      <c r="W458" s="154">
        <v>1</v>
      </c>
      <c r="X458" s="154">
        <v>1</v>
      </c>
      <c r="Y458" s="154">
        <v>1</v>
      </c>
      <c r="Z458" s="154">
        <v>1</v>
      </c>
      <c r="AA458" s="154">
        <v>1</v>
      </c>
      <c r="AB458" s="154">
        <v>1</v>
      </c>
      <c r="AC458" s="154">
        <v>1</v>
      </c>
      <c r="AD458" s="154">
        <v>1</v>
      </c>
      <c r="AE458" s="154">
        <v>1</v>
      </c>
      <c r="AF458" s="154">
        <v>1</v>
      </c>
      <c r="AG458" s="154">
        <v>1</v>
      </c>
      <c r="AH458" s="154">
        <v>1</v>
      </c>
      <c r="AI458" s="154">
        <v>1</v>
      </c>
      <c r="AJ458" s="154">
        <v>1</v>
      </c>
      <c r="AK458" s="154">
        <v>1</v>
      </c>
      <c r="AL458" s="154" t="s">
        <v>424</v>
      </c>
      <c r="AS458">
        <v>458</v>
      </c>
    </row>
    <row r="459" spans="1:46" hidden="1" x14ac:dyDescent="0.25">
      <c r="A459">
        <v>458</v>
      </c>
      <c r="B459">
        <v>2025</v>
      </c>
      <c r="C459">
        <v>8</v>
      </c>
      <c r="D459" t="s">
        <v>262</v>
      </c>
      <c r="E459">
        <v>31</v>
      </c>
      <c r="F459">
        <v>7</v>
      </c>
      <c r="G459" t="s">
        <v>535</v>
      </c>
      <c r="H459" s="154">
        <v>1</v>
      </c>
      <c r="I459" s="154">
        <v>1</v>
      </c>
      <c r="J459" s="154">
        <v>1</v>
      </c>
      <c r="K459" s="154">
        <v>1</v>
      </c>
      <c r="L459" s="154">
        <v>1</v>
      </c>
      <c r="M459" s="154">
        <v>1</v>
      </c>
      <c r="N459" s="154">
        <v>1</v>
      </c>
      <c r="O459" s="154">
        <v>1</v>
      </c>
      <c r="P459" s="154">
        <v>1</v>
      </c>
      <c r="Q459" s="154">
        <v>1</v>
      </c>
      <c r="R459" s="154">
        <v>1</v>
      </c>
      <c r="S459" s="154">
        <v>1</v>
      </c>
      <c r="T459" s="154">
        <v>1</v>
      </c>
      <c r="U459" s="154">
        <v>1</v>
      </c>
      <c r="V459" s="154">
        <v>1</v>
      </c>
      <c r="W459" s="154">
        <v>1</v>
      </c>
      <c r="X459" s="154">
        <v>1</v>
      </c>
      <c r="Y459" s="154">
        <v>1</v>
      </c>
      <c r="Z459" s="154">
        <v>1</v>
      </c>
      <c r="AA459" s="154">
        <v>1</v>
      </c>
      <c r="AB459" s="154">
        <v>1</v>
      </c>
      <c r="AC459" s="154">
        <v>1</v>
      </c>
      <c r="AD459" s="154">
        <v>1</v>
      </c>
      <c r="AE459" s="154">
        <v>1</v>
      </c>
      <c r="AF459" s="154">
        <v>1</v>
      </c>
      <c r="AG459" s="154">
        <v>1</v>
      </c>
      <c r="AH459" s="154">
        <v>1</v>
      </c>
      <c r="AI459" s="154">
        <v>1</v>
      </c>
      <c r="AJ459" s="154">
        <v>1</v>
      </c>
      <c r="AK459" s="154">
        <v>1</v>
      </c>
      <c r="AL459" s="154" t="s">
        <v>424</v>
      </c>
      <c r="AP459" t="str" cm="1">
        <f t="array" ref="AP459">IF(AQ459="","",SUM(IFERROR(H459:AL459-H458:AL458,0))*AQ459/100)</f>
        <v/>
      </c>
      <c r="AQ459" t="str">
        <f>_xlfn.XLOOKUP(D459,log_prices!M:M,log_prices!L:L,,0)</f>
        <v/>
      </c>
      <c r="AS459">
        <v>459</v>
      </c>
    </row>
    <row r="460" spans="1:46" hidden="1" x14ac:dyDescent="0.25">
      <c r="A460">
        <v>459</v>
      </c>
      <c r="B460">
        <v>2025</v>
      </c>
      <c r="C460">
        <v>8</v>
      </c>
      <c r="D460" t="s">
        <v>244</v>
      </c>
      <c r="E460">
        <v>31</v>
      </c>
      <c r="F460">
        <v>7</v>
      </c>
      <c r="G460" t="s">
        <v>534</v>
      </c>
      <c r="H460" s="154" t="s">
        <v>479</v>
      </c>
      <c r="I460" s="154" t="s">
        <v>479</v>
      </c>
      <c r="J460" s="154" t="s">
        <v>479</v>
      </c>
      <c r="K460" s="154" t="s">
        <v>479</v>
      </c>
      <c r="L460" s="154" t="s">
        <v>479</v>
      </c>
      <c r="M460" s="154" t="s">
        <v>479</v>
      </c>
      <c r="N460" s="154" t="s">
        <v>479</v>
      </c>
      <c r="O460" s="154" t="s">
        <v>479</v>
      </c>
      <c r="P460" s="154" t="s">
        <v>479</v>
      </c>
      <c r="Q460" s="154" t="s">
        <v>479</v>
      </c>
      <c r="R460" s="154" t="s">
        <v>479</v>
      </c>
      <c r="S460" s="154" t="s">
        <v>479</v>
      </c>
      <c r="T460" s="154" t="s">
        <v>479</v>
      </c>
      <c r="U460" s="154" t="s">
        <v>479</v>
      </c>
      <c r="V460" s="154" t="s">
        <v>479</v>
      </c>
      <c r="W460" s="154" t="s">
        <v>479</v>
      </c>
      <c r="X460" s="154" t="s">
        <v>521</v>
      </c>
      <c r="Y460" s="154" t="s">
        <v>522</v>
      </c>
      <c r="Z460" s="154" t="s">
        <v>486</v>
      </c>
      <c r="AA460" s="154" t="s">
        <v>479</v>
      </c>
      <c r="AB460" s="154" t="s">
        <v>479</v>
      </c>
      <c r="AC460" s="154" t="s">
        <v>479</v>
      </c>
      <c r="AD460" s="154" t="s">
        <v>424</v>
      </c>
      <c r="AE460" s="154" t="s">
        <v>479</v>
      </c>
      <c r="AF460" s="154" t="s">
        <v>479</v>
      </c>
      <c r="AG460" s="154" t="s">
        <v>479</v>
      </c>
      <c r="AH460" s="154" t="s">
        <v>479</v>
      </c>
      <c r="AI460" s="154" t="s">
        <v>523</v>
      </c>
      <c r="AJ460" s="154" t="s">
        <v>479</v>
      </c>
      <c r="AK460" s="154" t="s">
        <v>479</v>
      </c>
      <c r="AL460" s="154" t="s">
        <v>479</v>
      </c>
      <c r="AS460">
        <v>460</v>
      </c>
    </row>
    <row r="461" spans="1:46" hidden="1" x14ac:dyDescent="0.25">
      <c r="A461">
        <v>460</v>
      </c>
      <c r="B461">
        <v>2025</v>
      </c>
      <c r="C461">
        <v>8</v>
      </c>
      <c r="D461" t="s">
        <v>244</v>
      </c>
      <c r="E461">
        <v>31</v>
      </c>
      <c r="F461">
        <v>7</v>
      </c>
      <c r="G461" t="s">
        <v>535</v>
      </c>
      <c r="H461" s="154">
        <v>0.75</v>
      </c>
      <c r="I461" s="154">
        <v>0.95833333333333326</v>
      </c>
      <c r="J461" s="154">
        <v>0.95833333333333326</v>
      </c>
      <c r="K461" s="154">
        <v>0.79166666666666674</v>
      </c>
      <c r="L461" s="154">
        <v>0.79166666666666674</v>
      </c>
      <c r="M461" s="154">
        <v>0.83333333333333326</v>
      </c>
      <c r="N461" s="154">
        <v>0.79166666666666674</v>
      </c>
      <c r="O461" s="154">
        <v>0.95833333333333326</v>
      </c>
      <c r="P461" s="154">
        <v>0.95833333333333326</v>
      </c>
      <c r="Q461" s="154">
        <v>0.95833333333333326</v>
      </c>
      <c r="R461" s="154">
        <v>0.79166666666666674</v>
      </c>
      <c r="S461" s="154">
        <v>0.79166666666666674</v>
      </c>
      <c r="T461" s="154">
        <v>0.95833333333333326</v>
      </c>
      <c r="U461" s="154">
        <v>0.95833333333333326</v>
      </c>
      <c r="V461" s="154">
        <v>0.95833333333333326</v>
      </c>
      <c r="W461" s="154">
        <v>0.95833333333333326</v>
      </c>
      <c r="X461" s="154">
        <v>0.63541666666666663</v>
      </c>
      <c r="Y461" s="154">
        <v>0.94097222222222232</v>
      </c>
      <c r="Z461" s="154">
        <v>1.1249958333333334</v>
      </c>
      <c r="AA461" s="154">
        <v>0.9375</v>
      </c>
      <c r="AB461" s="154">
        <v>0.95833333333333326</v>
      </c>
      <c r="AC461" s="154">
        <v>0.95833333333333326</v>
      </c>
      <c r="AD461" s="154" t="s">
        <v>424</v>
      </c>
      <c r="AE461" s="154">
        <v>0.95833333333333326</v>
      </c>
      <c r="AF461" s="154">
        <v>0.91666666666666674</v>
      </c>
      <c r="AG461" s="154">
        <v>0.95833333333333326</v>
      </c>
      <c r="AH461" s="154">
        <v>0.875</v>
      </c>
      <c r="AI461" s="154">
        <v>0.79861111111111116</v>
      </c>
      <c r="AJ461" s="154">
        <v>0.91666666666666674</v>
      </c>
      <c r="AK461" s="154">
        <v>0.83333333333333326</v>
      </c>
      <c r="AL461" s="154">
        <v>0.83333333333333326</v>
      </c>
      <c r="AM461" cm="1">
        <f t="array" ref="AM461">SUM(_xlfn.LET(_xlpm.r,((IFERROR(H461:AL461-H460:AL460,0))*24)/10,IF(_xlpm.r&gt;1,1,_xlpm.r)))</f>
        <v>30</v>
      </c>
      <c r="AO461" cm="1">
        <f t="array" ref="AO461">SUM(IFERROR(MOD((H461:AL461-H460:AL460)*24,11),""))</f>
        <v>116.49989999999997</v>
      </c>
      <c r="AS461">
        <v>461</v>
      </c>
    </row>
    <row r="462" spans="1:46" hidden="1" x14ac:dyDescent="0.25">
      <c r="A462">
        <v>461</v>
      </c>
      <c r="B462">
        <v>2025</v>
      </c>
      <c r="C462">
        <v>8</v>
      </c>
      <c r="D462" t="s">
        <v>244</v>
      </c>
      <c r="E462">
        <v>31</v>
      </c>
      <c r="F462">
        <v>7</v>
      </c>
      <c r="G462" t="s">
        <v>534</v>
      </c>
      <c r="H462" s="154">
        <v>391771</v>
      </c>
      <c r="I462" s="154">
        <v>391946</v>
      </c>
      <c r="J462" s="154">
        <v>392311</v>
      </c>
      <c r="K462" s="154">
        <v>392553</v>
      </c>
      <c r="L462" s="154">
        <v>392852</v>
      </c>
      <c r="M462" s="154">
        <v>392984</v>
      </c>
      <c r="N462" s="154">
        <v>393271</v>
      </c>
      <c r="O462" s="154">
        <v>393588</v>
      </c>
      <c r="P462" s="154">
        <v>393895</v>
      </c>
      <c r="Q462" s="154">
        <v>394236</v>
      </c>
      <c r="R462" s="154">
        <v>394426</v>
      </c>
      <c r="S462" s="154">
        <v>394796</v>
      </c>
      <c r="T462" s="154">
        <v>395073</v>
      </c>
      <c r="U462" s="154">
        <v>395387</v>
      </c>
      <c r="V462" s="154">
        <v>395830</v>
      </c>
      <c r="W462" s="154">
        <v>396041</v>
      </c>
      <c r="X462" s="154">
        <v>396507</v>
      </c>
      <c r="Y462" s="154">
        <v>397008</v>
      </c>
      <c r="Z462" s="154">
        <v>397260</v>
      </c>
      <c r="AA462" s="154">
        <v>397885</v>
      </c>
      <c r="AB462" s="154">
        <v>398382</v>
      </c>
      <c r="AC462" s="154">
        <v>398596</v>
      </c>
      <c r="AD462" s="154" t="s">
        <v>424</v>
      </c>
      <c r="AE462" s="154">
        <v>399036</v>
      </c>
      <c r="AF462" s="154">
        <v>399271</v>
      </c>
      <c r="AG462" s="154">
        <v>399610</v>
      </c>
      <c r="AH462" s="154">
        <v>399848</v>
      </c>
      <c r="AI462" s="154">
        <v>400144</v>
      </c>
      <c r="AJ462" s="154">
        <v>400722</v>
      </c>
      <c r="AK462" s="154">
        <v>401056</v>
      </c>
      <c r="AL462" s="154">
        <v>401344</v>
      </c>
      <c r="AS462">
        <v>462</v>
      </c>
    </row>
    <row r="463" spans="1:46" hidden="1" x14ac:dyDescent="0.25">
      <c r="A463">
        <v>462</v>
      </c>
      <c r="B463">
        <v>2025</v>
      </c>
      <c r="C463">
        <v>8</v>
      </c>
      <c r="D463" t="s">
        <v>244</v>
      </c>
      <c r="E463">
        <v>31</v>
      </c>
      <c r="F463">
        <v>7</v>
      </c>
      <c r="G463" t="s">
        <v>535</v>
      </c>
      <c r="H463" s="154">
        <v>391927</v>
      </c>
      <c r="I463" s="154">
        <v>392288</v>
      </c>
      <c r="J463" s="154">
        <v>392553</v>
      </c>
      <c r="K463" s="154">
        <v>392818</v>
      </c>
      <c r="L463" s="154">
        <v>392946</v>
      </c>
      <c r="M463" s="154">
        <v>393271</v>
      </c>
      <c r="N463" s="154">
        <v>393540</v>
      </c>
      <c r="O463" s="154">
        <v>393895</v>
      </c>
      <c r="P463" s="154">
        <v>394224</v>
      </c>
      <c r="Q463" s="154">
        <v>394426</v>
      </c>
      <c r="R463" s="154">
        <v>394776</v>
      </c>
      <c r="S463" s="154">
        <v>395050</v>
      </c>
      <c r="T463" s="154">
        <v>395370</v>
      </c>
      <c r="U463" s="154">
        <v>395791</v>
      </c>
      <c r="V463" s="154">
        <v>396041</v>
      </c>
      <c r="W463" s="154">
        <v>396507</v>
      </c>
      <c r="X463" s="154">
        <v>396997</v>
      </c>
      <c r="Y463" s="154">
        <v>397253</v>
      </c>
      <c r="Z463" s="154">
        <v>397745</v>
      </c>
      <c r="AA463" s="154">
        <v>398365</v>
      </c>
      <c r="AB463" s="154">
        <v>398596</v>
      </c>
      <c r="AC463" s="154">
        <v>398754</v>
      </c>
      <c r="AD463" s="154" t="s">
        <v>424</v>
      </c>
      <c r="AE463" s="154">
        <v>399271</v>
      </c>
      <c r="AF463" s="154">
        <v>399610</v>
      </c>
      <c r="AG463" s="154">
        <v>399848</v>
      </c>
      <c r="AH463" s="154">
        <v>400144</v>
      </c>
      <c r="AI463" s="154">
        <v>400722</v>
      </c>
      <c r="AJ463" s="154">
        <v>401056</v>
      </c>
      <c r="AK463" s="154">
        <v>401339</v>
      </c>
      <c r="AL463" s="154">
        <v>401608</v>
      </c>
      <c r="AP463" cm="1">
        <f t="array" ref="AP463">IF(AQ463="","",SUM(IFERROR(H463:AL463-H462:AL462,0))*AQ463/100)</f>
        <v>1092.24</v>
      </c>
      <c r="AQ463">
        <f>_xlfn.XLOOKUP(D463,log_prices!M:M,log_prices!L:L,,0)</f>
        <v>12</v>
      </c>
      <c r="AS463">
        <v>463</v>
      </c>
      <c r="AT463" cm="1">
        <f t="array" ref="AT463">IF(AQ463="","",SUM(IFERROR(H463:AL463-H462:AL462,0)))</f>
        <v>9102</v>
      </c>
    </row>
    <row r="464" spans="1:46" hidden="1" x14ac:dyDescent="0.25">
      <c r="A464">
        <v>463</v>
      </c>
      <c r="B464">
        <v>2025</v>
      </c>
      <c r="C464">
        <v>8</v>
      </c>
      <c r="D464" t="s">
        <v>270</v>
      </c>
      <c r="E464">
        <v>31</v>
      </c>
      <c r="F464">
        <v>7</v>
      </c>
      <c r="G464" t="s">
        <v>534</v>
      </c>
      <c r="H464" s="154" t="s">
        <v>479</v>
      </c>
      <c r="I464" s="154" t="s">
        <v>510</v>
      </c>
      <c r="J464" s="154" t="s">
        <v>479</v>
      </c>
      <c r="K464" s="154" t="s">
        <v>479</v>
      </c>
      <c r="L464" s="154" t="s">
        <v>479</v>
      </c>
      <c r="M464" s="154" t="s">
        <v>479</v>
      </c>
      <c r="N464" s="154" t="s">
        <v>479</v>
      </c>
      <c r="O464" s="154" t="s">
        <v>479</v>
      </c>
      <c r="P464" s="154" t="s">
        <v>479</v>
      </c>
      <c r="Q464" s="154" t="s">
        <v>424</v>
      </c>
      <c r="R464" s="154" t="s">
        <v>479</v>
      </c>
      <c r="S464" s="154" t="s">
        <v>479</v>
      </c>
      <c r="T464" s="154" t="s">
        <v>479</v>
      </c>
      <c r="U464" s="154" t="s">
        <v>479</v>
      </c>
      <c r="V464" s="154" t="s">
        <v>479</v>
      </c>
      <c r="W464" s="154" t="s">
        <v>479</v>
      </c>
      <c r="X464" s="154" t="s">
        <v>479</v>
      </c>
      <c r="Y464" s="154" t="s">
        <v>479</v>
      </c>
      <c r="Z464" s="154" t="s">
        <v>479</v>
      </c>
      <c r="AA464" s="154" t="s">
        <v>479</v>
      </c>
      <c r="AB464" s="154" t="s">
        <v>479</v>
      </c>
      <c r="AC464" s="154" t="s">
        <v>479</v>
      </c>
      <c r="AD464" s="154" t="s">
        <v>479</v>
      </c>
      <c r="AE464" s="154" t="s">
        <v>479</v>
      </c>
      <c r="AF464" s="154" t="s">
        <v>479</v>
      </c>
      <c r="AG464" s="154" t="s">
        <v>479</v>
      </c>
      <c r="AH464" s="154" t="s">
        <v>479</v>
      </c>
      <c r="AI464" s="154" t="s">
        <v>479</v>
      </c>
      <c r="AJ464" s="154" t="s">
        <v>479</v>
      </c>
      <c r="AK464" s="154" t="s">
        <v>479</v>
      </c>
      <c r="AL464" s="154" t="s">
        <v>479</v>
      </c>
      <c r="AS464">
        <v>464</v>
      </c>
    </row>
    <row r="465" spans="1:46" hidden="1" x14ac:dyDescent="0.25">
      <c r="A465">
        <v>464</v>
      </c>
      <c r="B465">
        <v>2025</v>
      </c>
      <c r="C465">
        <v>8</v>
      </c>
      <c r="D465" t="s">
        <v>270</v>
      </c>
      <c r="E465">
        <v>31</v>
      </c>
      <c r="F465">
        <v>7</v>
      </c>
      <c r="G465" t="s">
        <v>535</v>
      </c>
      <c r="H465" s="154">
        <v>1.1666666666666667</v>
      </c>
      <c r="I465" s="154">
        <v>0.79166666666666663</v>
      </c>
      <c r="J465" s="154">
        <v>0.91666666666666674</v>
      </c>
      <c r="K465" s="154">
        <v>1</v>
      </c>
      <c r="L465" s="154">
        <v>0.79166666666666674</v>
      </c>
      <c r="M465" s="154">
        <v>1</v>
      </c>
      <c r="N465" s="154">
        <v>0.79166666666666674</v>
      </c>
      <c r="O465" s="154">
        <v>1</v>
      </c>
      <c r="P465" s="154">
        <v>1</v>
      </c>
      <c r="Q465" s="154" t="s">
        <v>424</v>
      </c>
      <c r="R465" s="154">
        <v>1</v>
      </c>
      <c r="S465" s="154">
        <v>0.91666666666666674</v>
      </c>
      <c r="T465" s="154">
        <v>1</v>
      </c>
      <c r="U465" s="154">
        <v>0.79166666666666674</v>
      </c>
      <c r="V465" s="154">
        <v>1.0416666666666667</v>
      </c>
      <c r="W465" s="154">
        <v>1</v>
      </c>
      <c r="X465" s="154">
        <v>0.75</v>
      </c>
      <c r="Y465" s="154">
        <v>0.91666666666666674</v>
      </c>
      <c r="Z465" s="154">
        <v>0.83333333333333326</v>
      </c>
      <c r="AA465" s="154">
        <v>1</v>
      </c>
      <c r="AB465" s="154">
        <v>0.75</v>
      </c>
      <c r="AC465" s="154">
        <v>1</v>
      </c>
      <c r="AD465" s="154">
        <v>0.79166666666666674</v>
      </c>
      <c r="AE465" s="154">
        <v>0.79166666666666674</v>
      </c>
      <c r="AF465" s="154">
        <v>0.75</v>
      </c>
      <c r="AG465" s="154">
        <v>0.83333333333333326</v>
      </c>
      <c r="AH465" s="154">
        <v>0.75</v>
      </c>
      <c r="AI465" s="154">
        <v>0.875</v>
      </c>
      <c r="AJ465" s="154">
        <v>0.79166666666666674</v>
      </c>
      <c r="AK465" s="154">
        <v>0.79166666666666674</v>
      </c>
      <c r="AL465" s="154">
        <v>0.875</v>
      </c>
      <c r="AM465" cm="1">
        <f t="array" ref="AM465">SUM(_xlfn.LET(_xlpm.r,((IFERROR(H465:AL465-H464:AL464,0))*24)/10,IF(_xlpm.r&gt;1,1,_xlpm.r)))</f>
        <v>30</v>
      </c>
      <c r="AO465" cm="1">
        <f t="array" ref="AO465">SUM(IFERROR((H465:AL465-H464:AL464)*24-11,""))</f>
        <v>102</v>
      </c>
      <c r="AS465">
        <v>465</v>
      </c>
    </row>
    <row r="466" spans="1:46" hidden="1" x14ac:dyDescent="0.25">
      <c r="A466">
        <v>465</v>
      </c>
      <c r="B466">
        <v>2025</v>
      </c>
      <c r="C466">
        <v>8</v>
      </c>
      <c r="D466" t="s">
        <v>270</v>
      </c>
      <c r="E466">
        <v>31</v>
      </c>
      <c r="F466">
        <v>7</v>
      </c>
      <c r="G466" t="s">
        <v>534</v>
      </c>
      <c r="H466" s="154">
        <v>268552</v>
      </c>
      <c r="I466" s="154">
        <v>268645</v>
      </c>
      <c r="J466" s="154">
        <v>268726</v>
      </c>
      <c r="K466" s="154">
        <v>268779</v>
      </c>
      <c r="L466" s="154">
        <v>268845</v>
      </c>
      <c r="M466" s="154">
        <v>268918</v>
      </c>
      <c r="N466" s="154">
        <v>269014</v>
      </c>
      <c r="O466" s="154">
        <v>269098</v>
      </c>
      <c r="P466" s="154">
        <v>269293</v>
      </c>
      <c r="Q466" s="154" t="s">
        <v>424</v>
      </c>
      <c r="R466" s="154">
        <v>269383</v>
      </c>
      <c r="S466" s="154">
        <v>269486</v>
      </c>
      <c r="T466" s="154">
        <v>269561</v>
      </c>
      <c r="U466" s="154">
        <v>269649</v>
      </c>
      <c r="V466" s="154">
        <v>269744</v>
      </c>
      <c r="W466" s="154">
        <v>269835</v>
      </c>
      <c r="X466" s="154">
        <v>269926</v>
      </c>
      <c r="Y466" s="154">
        <v>269946</v>
      </c>
      <c r="Z466" s="154">
        <v>270032</v>
      </c>
      <c r="AA466" s="154">
        <v>270110</v>
      </c>
      <c r="AB466" s="154">
        <v>270201</v>
      </c>
      <c r="AC466" s="154">
        <v>270279</v>
      </c>
      <c r="AD466" s="154">
        <v>270365</v>
      </c>
      <c r="AE466" s="154">
        <v>270449</v>
      </c>
      <c r="AF466" s="154">
        <v>270528</v>
      </c>
      <c r="AG466" s="154">
        <v>270605</v>
      </c>
      <c r="AH466" s="154">
        <v>270717</v>
      </c>
      <c r="AI466" s="154">
        <v>270788</v>
      </c>
      <c r="AJ466" s="154">
        <v>270869</v>
      </c>
      <c r="AK466" s="154">
        <v>270960</v>
      </c>
      <c r="AL466" s="154">
        <v>271040</v>
      </c>
      <c r="AS466">
        <v>466</v>
      </c>
    </row>
    <row r="467" spans="1:46" hidden="1" x14ac:dyDescent="0.25">
      <c r="A467">
        <v>466</v>
      </c>
      <c r="B467">
        <v>2025</v>
      </c>
      <c r="C467">
        <v>8</v>
      </c>
      <c r="D467" t="s">
        <v>270</v>
      </c>
      <c r="E467">
        <v>31</v>
      </c>
      <c r="F467">
        <v>7</v>
      </c>
      <c r="G467" t="s">
        <v>535</v>
      </c>
      <c r="H467" s="154">
        <v>268645</v>
      </c>
      <c r="I467" s="154">
        <v>268726</v>
      </c>
      <c r="J467" s="154">
        <v>268779</v>
      </c>
      <c r="K467" s="154">
        <v>268845</v>
      </c>
      <c r="L467" s="154">
        <v>268918</v>
      </c>
      <c r="M467" s="154">
        <v>269014</v>
      </c>
      <c r="N467" s="154">
        <v>269098</v>
      </c>
      <c r="O467" s="154">
        <v>269293</v>
      </c>
      <c r="P467" s="154">
        <v>269383</v>
      </c>
      <c r="Q467" s="154" t="s">
        <v>424</v>
      </c>
      <c r="R467" s="154">
        <v>269486</v>
      </c>
      <c r="S467" s="154">
        <v>269561</v>
      </c>
      <c r="T467" s="154">
        <v>269649</v>
      </c>
      <c r="U467" s="154">
        <v>269744</v>
      </c>
      <c r="V467" s="154">
        <v>269835</v>
      </c>
      <c r="W467" s="154">
        <v>269926</v>
      </c>
      <c r="X467" s="154">
        <v>269946</v>
      </c>
      <c r="Y467" s="154">
        <v>270032</v>
      </c>
      <c r="Z467" s="154">
        <v>270110</v>
      </c>
      <c r="AA467" s="154">
        <v>270201</v>
      </c>
      <c r="AB467" s="154">
        <v>270279</v>
      </c>
      <c r="AC467" s="154">
        <v>270365</v>
      </c>
      <c r="AD467" s="154">
        <v>270449</v>
      </c>
      <c r="AE467" s="154">
        <v>270528</v>
      </c>
      <c r="AF467" s="154">
        <v>270605</v>
      </c>
      <c r="AG467" s="154">
        <v>270717</v>
      </c>
      <c r="AH467" s="154">
        <v>270788</v>
      </c>
      <c r="AI467" s="154">
        <v>270869</v>
      </c>
      <c r="AJ467" s="154">
        <v>270960</v>
      </c>
      <c r="AK467" s="154">
        <v>271040</v>
      </c>
      <c r="AL467" s="154">
        <v>271123</v>
      </c>
      <c r="AP467" cm="1">
        <f t="array" ref="AP467">IF(AQ467="","",SUM(IFERROR(H467:AL467-H466:AL466,0))*AQ467/100)</f>
        <v>385.65</v>
      </c>
      <c r="AQ467">
        <f>_xlfn.XLOOKUP(D467,log_prices!M:M,log_prices!L:L,,0)</f>
        <v>15</v>
      </c>
      <c r="AS467">
        <v>467</v>
      </c>
      <c r="AT467" cm="1">
        <f t="array" ref="AT467">IF(AQ467="","",SUM(IFERROR(H467:AL467-H466:AL466,0)))</f>
        <v>2571</v>
      </c>
    </row>
    <row r="468" spans="1:46" hidden="1" x14ac:dyDescent="0.25">
      <c r="A468">
        <v>467</v>
      </c>
      <c r="B468">
        <v>2025</v>
      </c>
      <c r="C468">
        <v>8</v>
      </c>
      <c r="D468" t="s">
        <v>248</v>
      </c>
      <c r="E468">
        <v>31</v>
      </c>
      <c r="F468">
        <v>7</v>
      </c>
      <c r="G468" t="s">
        <v>534</v>
      </c>
      <c r="H468" s="154" t="s">
        <v>479</v>
      </c>
      <c r="I468" s="154" t="s">
        <v>479</v>
      </c>
      <c r="J468" s="154" t="s">
        <v>479</v>
      </c>
      <c r="K468" s="154" t="s">
        <v>479</v>
      </c>
      <c r="L468" s="154" t="s">
        <v>479</v>
      </c>
      <c r="M468" s="154" t="s">
        <v>479</v>
      </c>
      <c r="N468" s="154" t="s">
        <v>479</v>
      </c>
      <c r="O468" s="154" t="s">
        <v>479</v>
      </c>
      <c r="P468" s="154" t="s">
        <v>479</v>
      </c>
      <c r="Q468" s="154" t="s">
        <v>424</v>
      </c>
      <c r="R468" s="154" t="s">
        <v>479</v>
      </c>
      <c r="S468" s="154" t="s">
        <v>479</v>
      </c>
      <c r="T468" s="154" t="s">
        <v>479</v>
      </c>
      <c r="U468" s="154" t="s">
        <v>479</v>
      </c>
      <c r="V468" s="154" t="s">
        <v>479</v>
      </c>
      <c r="W468" s="154" t="s">
        <v>479</v>
      </c>
      <c r="X468" s="154" t="s">
        <v>479</v>
      </c>
      <c r="Y468" s="154" t="s">
        <v>479</v>
      </c>
      <c r="Z468" s="154" t="s">
        <v>479</v>
      </c>
      <c r="AA468" s="154" t="s">
        <v>479</v>
      </c>
      <c r="AB468" s="154" t="s">
        <v>479</v>
      </c>
      <c r="AC468" s="154" t="s">
        <v>479</v>
      </c>
      <c r="AD468" s="154" t="s">
        <v>479</v>
      </c>
      <c r="AE468" s="154" t="s">
        <v>479</v>
      </c>
      <c r="AF468" s="154" t="s">
        <v>479</v>
      </c>
      <c r="AG468" s="154" t="s">
        <v>479</v>
      </c>
      <c r="AH468" s="154" t="s">
        <v>479</v>
      </c>
      <c r="AI468" s="154" t="s">
        <v>479</v>
      </c>
      <c r="AJ468" s="154" t="s">
        <v>479</v>
      </c>
      <c r="AK468" s="154" t="s">
        <v>479</v>
      </c>
      <c r="AL468" s="154" t="s">
        <v>479</v>
      </c>
      <c r="AS468">
        <v>468</v>
      </c>
    </row>
    <row r="469" spans="1:46" hidden="1" x14ac:dyDescent="0.25">
      <c r="A469">
        <v>468</v>
      </c>
      <c r="B469">
        <v>2025</v>
      </c>
      <c r="C469">
        <v>8</v>
      </c>
      <c r="D469" t="s">
        <v>248</v>
      </c>
      <c r="E469">
        <v>31</v>
      </c>
      <c r="F469">
        <v>7</v>
      </c>
      <c r="G469" t="s">
        <v>535</v>
      </c>
      <c r="H469" s="154">
        <v>0.79166666666666674</v>
      </c>
      <c r="I469" s="154">
        <v>0.79166666666666674</v>
      </c>
      <c r="J469" s="154">
        <v>0.875</v>
      </c>
      <c r="K469" s="154">
        <v>0.83333333333333326</v>
      </c>
      <c r="L469" s="154">
        <v>0.95833333333333326</v>
      </c>
      <c r="M469" s="154">
        <v>0.91666666666666674</v>
      </c>
      <c r="N469" s="154">
        <v>0.75</v>
      </c>
      <c r="O469" s="154">
        <v>0.875</v>
      </c>
      <c r="P469" s="154">
        <v>0.83333333333333326</v>
      </c>
      <c r="Q469" s="154" t="s">
        <v>424</v>
      </c>
      <c r="R469" s="154">
        <v>0.83333333333333326</v>
      </c>
      <c r="S469" s="154">
        <v>0.91666666666666674</v>
      </c>
      <c r="T469" s="154">
        <v>0.91666666666666674</v>
      </c>
      <c r="U469" s="154">
        <v>0.91666666666666674</v>
      </c>
      <c r="V469" s="154">
        <v>0.83333333333333326</v>
      </c>
      <c r="W469" s="154">
        <v>0.91666666666666674</v>
      </c>
      <c r="X469" s="154">
        <v>0.79166666666666674</v>
      </c>
      <c r="Y469" s="154">
        <v>0.91666666666666674</v>
      </c>
      <c r="Z469" s="154">
        <v>0.95833333333333326</v>
      </c>
      <c r="AA469" s="154">
        <v>0.83333333333333326</v>
      </c>
      <c r="AB469" s="154">
        <v>0.75</v>
      </c>
      <c r="AC469" s="154">
        <v>0.91666666666666674</v>
      </c>
      <c r="AD469" s="154">
        <v>1</v>
      </c>
      <c r="AE469" s="154">
        <v>0.75</v>
      </c>
      <c r="AF469" s="154">
        <v>1</v>
      </c>
      <c r="AG469" s="154">
        <v>0.91666666666666674</v>
      </c>
      <c r="AH469" s="154">
        <v>0.91666666666666674</v>
      </c>
      <c r="AI469" s="154">
        <v>0.83333333333333326</v>
      </c>
      <c r="AJ469" s="154">
        <v>0.91666666666666674</v>
      </c>
      <c r="AK469" s="154">
        <v>0.875</v>
      </c>
      <c r="AL469" s="154">
        <v>0.91666666666666674</v>
      </c>
      <c r="AM469" cm="1">
        <f t="array" ref="AM469">SUM(_xlfn.LET(_xlpm.r,((IFERROR(H469:AL469-H468:AL468,0))*24)/10,IF(_xlpm.r&gt;1,1,_xlpm.r)))</f>
        <v>30</v>
      </c>
      <c r="AO469" cm="1">
        <f t="array" ref="AO469">SUM(IFERROR(MOD((H469:AL469-H468:AL468)*24,11),""))</f>
        <v>89.999999999999986</v>
      </c>
      <c r="AS469">
        <v>469</v>
      </c>
    </row>
    <row r="470" spans="1:46" hidden="1" x14ac:dyDescent="0.25">
      <c r="A470">
        <v>469</v>
      </c>
      <c r="B470">
        <v>2025</v>
      </c>
      <c r="C470">
        <v>8</v>
      </c>
      <c r="D470" t="s">
        <v>248</v>
      </c>
      <c r="E470">
        <v>31</v>
      </c>
      <c r="F470">
        <v>7</v>
      </c>
      <c r="G470" t="s">
        <v>534</v>
      </c>
      <c r="H470" s="154">
        <v>363140</v>
      </c>
      <c r="I470" s="154">
        <v>363265</v>
      </c>
      <c r="J470" s="154">
        <v>363383</v>
      </c>
      <c r="K470" s="154">
        <v>363589</v>
      </c>
      <c r="L470" s="154">
        <v>363659</v>
      </c>
      <c r="M470" s="154">
        <v>363937</v>
      </c>
      <c r="N470" s="154">
        <v>364164</v>
      </c>
      <c r="O470" s="154">
        <v>364432</v>
      </c>
      <c r="P470" s="154">
        <v>364613</v>
      </c>
      <c r="Q470" s="154" t="s">
        <v>424</v>
      </c>
      <c r="R470" s="154">
        <v>364894</v>
      </c>
      <c r="S470" s="154">
        <v>365056</v>
      </c>
      <c r="T470" s="154">
        <v>365339</v>
      </c>
      <c r="U470" s="154">
        <v>365469</v>
      </c>
      <c r="V470" s="154">
        <v>365546</v>
      </c>
      <c r="W470" s="154">
        <v>365760</v>
      </c>
      <c r="X470" s="154">
        <v>366049</v>
      </c>
      <c r="Y470" s="154">
        <v>366143</v>
      </c>
      <c r="Z470" s="154">
        <v>366281</v>
      </c>
      <c r="AA470" s="154">
        <v>366419</v>
      </c>
      <c r="AB470" s="154">
        <v>366558</v>
      </c>
      <c r="AC470" s="154">
        <v>366787</v>
      </c>
      <c r="AD470" s="154">
        <v>366931</v>
      </c>
      <c r="AE470" s="154">
        <v>367132</v>
      </c>
      <c r="AF470" s="154">
        <v>367319</v>
      </c>
      <c r="AG470" s="154">
        <v>367465</v>
      </c>
      <c r="AH470" s="154">
        <v>367708</v>
      </c>
      <c r="AI470" s="154">
        <v>367735</v>
      </c>
      <c r="AJ470" s="154">
        <v>367903</v>
      </c>
      <c r="AK470" s="154">
        <v>368082</v>
      </c>
      <c r="AL470" s="154">
        <v>368235</v>
      </c>
      <c r="AS470">
        <v>470</v>
      </c>
    </row>
    <row r="471" spans="1:46" hidden="1" x14ac:dyDescent="0.25">
      <c r="A471">
        <v>470</v>
      </c>
      <c r="B471">
        <v>2025</v>
      </c>
      <c r="C471">
        <v>8</v>
      </c>
      <c r="D471" t="s">
        <v>248</v>
      </c>
      <c r="E471">
        <v>31</v>
      </c>
      <c r="F471">
        <v>7</v>
      </c>
      <c r="G471" t="s">
        <v>537</v>
      </c>
      <c r="H471" s="154">
        <v>363256</v>
      </c>
      <c r="I471" s="154">
        <v>363362</v>
      </c>
      <c r="J471" s="154">
        <v>363497</v>
      </c>
      <c r="K471" s="154">
        <v>363655</v>
      </c>
      <c r="L471" s="154">
        <v>363783</v>
      </c>
      <c r="M471" s="154">
        <v>364164</v>
      </c>
      <c r="N471" s="154">
        <v>364279</v>
      </c>
      <c r="O471" s="154">
        <v>364597</v>
      </c>
      <c r="P471" s="154">
        <v>364727</v>
      </c>
      <c r="Q471" s="154" t="s">
        <v>424</v>
      </c>
      <c r="R471" s="154">
        <v>365023</v>
      </c>
      <c r="S471" s="154">
        <v>365252</v>
      </c>
      <c r="T471" s="154">
        <v>365469</v>
      </c>
      <c r="U471" s="154">
        <v>365539</v>
      </c>
      <c r="V471" s="154">
        <v>365743</v>
      </c>
      <c r="W471" s="154">
        <v>366049</v>
      </c>
      <c r="X471" s="154">
        <v>366143</v>
      </c>
      <c r="Y471" s="154">
        <v>366281</v>
      </c>
      <c r="Z471" s="154">
        <v>366419</v>
      </c>
      <c r="AA471" s="154">
        <v>366558</v>
      </c>
      <c r="AB471" s="154">
        <v>366745</v>
      </c>
      <c r="AC471" s="154">
        <v>366931</v>
      </c>
      <c r="AD471" s="154">
        <v>367132</v>
      </c>
      <c r="AE471" s="154">
        <v>367302</v>
      </c>
      <c r="AF471" s="154">
        <v>367450</v>
      </c>
      <c r="AG471" s="154">
        <v>367575</v>
      </c>
      <c r="AH471" s="154">
        <v>367735</v>
      </c>
      <c r="AI471" s="154">
        <v>367903</v>
      </c>
      <c r="AJ471" s="154">
        <v>368082</v>
      </c>
      <c r="AK471" s="154">
        <v>368235</v>
      </c>
      <c r="AL471" s="154">
        <v>368536</v>
      </c>
      <c r="AP471" cm="1">
        <f t="array" ref="AP471">IF(AQ471="","",SUM(IFERROR(H471:AL471-H470:AL470,0))*AQ471/100)</f>
        <v>664.35</v>
      </c>
      <c r="AQ471">
        <f>_xlfn.XLOOKUP(D471,log_prices!M:M,log_prices!L:L,,0)</f>
        <v>15</v>
      </c>
      <c r="AS471">
        <v>471</v>
      </c>
      <c r="AT471" cm="1">
        <f t="array" ref="AT471">IF(AQ471="","",SUM(IFERROR(H471:AL471-H470:AL470,0)))</f>
        <v>4429</v>
      </c>
    </row>
    <row r="472" spans="1:46" hidden="1" x14ac:dyDescent="0.25">
      <c r="A472">
        <v>471</v>
      </c>
      <c r="B472">
        <v>2025</v>
      </c>
      <c r="C472">
        <v>8</v>
      </c>
      <c r="D472" t="s">
        <v>263</v>
      </c>
      <c r="E472">
        <v>31</v>
      </c>
      <c r="F472">
        <v>7</v>
      </c>
      <c r="G472" t="s">
        <v>534</v>
      </c>
      <c r="H472" s="154" t="s">
        <v>479</v>
      </c>
      <c r="I472" s="154" t="s">
        <v>479</v>
      </c>
      <c r="J472" s="154" t="s">
        <v>479</v>
      </c>
      <c r="K472" s="154" t="s">
        <v>479</v>
      </c>
      <c r="L472" s="154" t="s">
        <v>479</v>
      </c>
      <c r="M472" s="154" t="s">
        <v>479</v>
      </c>
      <c r="N472" s="154" t="s">
        <v>479</v>
      </c>
      <c r="O472" s="154" t="s">
        <v>479</v>
      </c>
      <c r="P472" s="154" t="s">
        <v>479</v>
      </c>
      <c r="Q472" s="154" t="s">
        <v>479</v>
      </c>
      <c r="R472" s="154" t="s">
        <v>479</v>
      </c>
      <c r="S472" s="154" t="s">
        <v>479</v>
      </c>
      <c r="T472" s="154" t="s">
        <v>479</v>
      </c>
      <c r="U472" s="154" t="s">
        <v>479</v>
      </c>
      <c r="V472" s="154" t="s">
        <v>479</v>
      </c>
      <c r="W472" s="154" t="s">
        <v>479</v>
      </c>
      <c r="X472" s="154" t="s">
        <v>479</v>
      </c>
      <c r="Y472" s="154" t="s">
        <v>479</v>
      </c>
      <c r="Z472" s="154" t="s">
        <v>424</v>
      </c>
      <c r="AA472" s="154" t="s">
        <v>424</v>
      </c>
      <c r="AB472" s="154" t="s">
        <v>479</v>
      </c>
      <c r="AC472" s="154" t="s">
        <v>479</v>
      </c>
      <c r="AD472" s="154" t="s">
        <v>479</v>
      </c>
      <c r="AE472" s="154" t="s">
        <v>479</v>
      </c>
      <c r="AF472" s="154" t="s">
        <v>479</v>
      </c>
      <c r="AG472" s="154" t="s">
        <v>479</v>
      </c>
      <c r="AH472" s="154" t="s">
        <v>479</v>
      </c>
      <c r="AI472" s="154" t="s">
        <v>479</v>
      </c>
      <c r="AJ472" s="154" t="s">
        <v>479</v>
      </c>
      <c r="AK472" s="154" t="s">
        <v>479</v>
      </c>
      <c r="AL472" s="154" t="s">
        <v>479</v>
      </c>
      <c r="AS472">
        <v>472</v>
      </c>
    </row>
    <row r="473" spans="1:46" hidden="1" x14ac:dyDescent="0.25">
      <c r="A473">
        <v>472</v>
      </c>
      <c r="B473">
        <v>2025</v>
      </c>
      <c r="C473">
        <v>8</v>
      </c>
      <c r="D473" t="s">
        <v>263</v>
      </c>
      <c r="E473">
        <v>31</v>
      </c>
      <c r="F473">
        <v>7</v>
      </c>
      <c r="G473" t="s">
        <v>535</v>
      </c>
      <c r="H473" s="154">
        <v>0.75</v>
      </c>
      <c r="I473" s="154">
        <v>0.75</v>
      </c>
      <c r="J473" s="154">
        <v>0.75</v>
      </c>
      <c r="K473" s="154">
        <v>0.75</v>
      </c>
      <c r="L473" s="154">
        <v>0.75</v>
      </c>
      <c r="M473" s="154">
        <v>0.75</v>
      </c>
      <c r="N473" s="154">
        <v>1.1666666666666667</v>
      </c>
      <c r="O473" s="154">
        <v>1.1666666666666667</v>
      </c>
      <c r="P473" s="154">
        <v>1.1666666666666667</v>
      </c>
      <c r="Q473" s="154">
        <v>1.1666666666666667</v>
      </c>
      <c r="R473" s="154">
        <v>1.1666666666666667</v>
      </c>
      <c r="S473" s="154">
        <v>1.1666666666666667</v>
      </c>
      <c r="T473" s="154">
        <v>1.1666666666666667</v>
      </c>
      <c r="U473" s="154">
        <v>1.1666666666666667</v>
      </c>
      <c r="V473" s="154">
        <v>1.1666666666666667</v>
      </c>
      <c r="W473" s="154">
        <v>1.1666666666666667</v>
      </c>
      <c r="X473" s="154">
        <v>0.75</v>
      </c>
      <c r="Y473" s="154">
        <v>0.75</v>
      </c>
      <c r="Z473" s="154" t="s">
        <v>424</v>
      </c>
      <c r="AA473" s="154" t="s">
        <v>424</v>
      </c>
      <c r="AB473" s="154">
        <v>1.1666666666666667</v>
      </c>
      <c r="AC473" s="154">
        <v>1.1666666666666667</v>
      </c>
      <c r="AD473" s="154">
        <v>1.1666666666666667</v>
      </c>
      <c r="AE473" s="154">
        <v>0.75</v>
      </c>
      <c r="AF473" s="154">
        <v>1.1666666666666667</v>
      </c>
      <c r="AG473" s="154">
        <v>1.1666666666666667</v>
      </c>
      <c r="AH473" s="154">
        <v>1.1666666666666667</v>
      </c>
      <c r="AI473" s="154">
        <v>1.1666666666666667</v>
      </c>
      <c r="AJ473" s="154">
        <v>1.1666666666666667</v>
      </c>
      <c r="AK473" s="154">
        <v>1.1666666666666667</v>
      </c>
      <c r="AL473" s="154">
        <v>1.1666666666666667</v>
      </c>
      <c r="AM473" cm="1">
        <f t="array" ref="AM473">SUM(_xlfn.LET(_xlpm.r,((IFERROR(H473:AL473-H472:AL472,0))*24)/10,IF(_xlpm.r&gt;1,1,_xlpm.r)))</f>
        <v>29</v>
      </c>
      <c r="AO473" cm="1">
        <f t="array" ref="AO473">SUM(IFERROR(MOD((H473:AL473-H472:AL472)*24,11),""))</f>
        <v>200</v>
      </c>
      <c r="AS473">
        <v>473</v>
      </c>
    </row>
    <row r="474" spans="1:46" hidden="1" x14ac:dyDescent="0.25">
      <c r="A474">
        <v>473</v>
      </c>
      <c r="B474">
        <v>2025</v>
      </c>
      <c r="C474">
        <v>8</v>
      </c>
      <c r="D474" t="s">
        <v>263</v>
      </c>
      <c r="E474">
        <v>31</v>
      </c>
      <c r="F474">
        <v>7</v>
      </c>
      <c r="G474" t="s">
        <v>534</v>
      </c>
      <c r="H474" s="154">
        <v>326047</v>
      </c>
      <c r="I474" s="154">
        <v>326102</v>
      </c>
      <c r="J474" s="154">
        <v>326263</v>
      </c>
      <c r="K474" s="154">
        <v>326302</v>
      </c>
      <c r="L474" s="154">
        <v>326332</v>
      </c>
      <c r="M474" s="154">
        <v>326368</v>
      </c>
      <c r="N474" s="154">
        <v>326475</v>
      </c>
      <c r="O474" s="154">
        <v>326600</v>
      </c>
      <c r="P474" s="154">
        <v>326645</v>
      </c>
      <c r="Q474" s="154">
        <v>326712</v>
      </c>
      <c r="R474" s="154">
        <v>326726</v>
      </c>
      <c r="S474" s="154">
        <v>326925</v>
      </c>
      <c r="T474" s="154">
        <v>327074</v>
      </c>
      <c r="U474" s="154">
        <v>327173</v>
      </c>
      <c r="V474" s="154">
        <v>327255</v>
      </c>
      <c r="W474" s="154">
        <v>327340</v>
      </c>
      <c r="X474" s="154">
        <v>327414</v>
      </c>
      <c r="Y474" s="154">
        <v>327563</v>
      </c>
      <c r="Z474" s="154" t="s">
        <v>424</v>
      </c>
      <c r="AA474" s="154" t="s">
        <v>424</v>
      </c>
      <c r="AB474" s="154">
        <v>327600</v>
      </c>
      <c r="AC474" s="154">
        <v>327631</v>
      </c>
      <c r="AD474" s="154">
        <v>327708</v>
      </c>
      <c r="AE474" s="154">
        <v>327788</v>
      </c>
      <c r="AF474" s="154">
        <v>327924</v>
      </c>
      <c r="AG474" s="154">
        <v>327997</v>
      </c>
      <c r="AH474" s="154">
        <v>328101</v>
      </c>
      <c r="AI474" s="154">
        <v>328220</v>
      </c>
      <c r="AJ474" s="154">
        <v>328296</v>
      </c>
      <c r="AK474" s="154">
        <v>328355</v>
      </c>
      <c r="AL474" s="154">
        <v>328532</v>
      </c>
      <c r="AS474">
        <v>474</v>
      </c>
    </row>
    <row r="475" spans="1:46" hidden="1" x14ac:dyDescent="0.25">
      <c r="A475">
        <v>474</v>
      </c>
      <c r="B475">
        <v>2025</v>
      </c>
      <c r="C475">
        <v>8</v>
      </c>
      <c r="D475" t="s">
        <v>263</v>
      </c>
      <c r="E475">
        <v>31</v>
      </c>
      <c r="F475">
        <v>7</v>
      </c>
      <c r="G475" t="s">
        <v>535</v>
      </c>
      <c r="H475" s="154">
        <v>326102</v>
      </c>
      <c r="I475" s="154">
        <v>326263</v>
      </c>
      <c r="J475" s="154">
        <v>326302</v>
      </c>
      <c r="K475" s="154">
        <v>326332</v>
      </c>
      <c r="L475" s="154">
        <v>326368</v>
      </c>
      <c r="M475" s="154">
        <v>326475</v>
      </c>
      <c r="N475" s="154">
        <v>326567</v>
      </c>
      <c r="O475" s="154">
        <v>326645</v>
      </c>
      <c r="P475" s="154">
        <v>326712</v>
      </c>
      <c r="Q475" s="154">
        <v>326726</v>
      </c>
      <c r="R475" s="154">
        <v>326925</v>
      </c>
      <c r="S475" s="154">
        <v>327074</v>
      </c>
      <c r="T475" s="154">
        <v>327141</v>
      </c>
      <c r="U475" s="154">
        <v>327222</v>
      </c>
      <c r="V475" s="154">
        <v>327302</v>
      </c>
      <c r="W475" s="154">
        <v>327381</v>
      </c>
      <c r="X475" s="154">
        <v>327472</v>
      </c>
      <c r="Y475" s="154">
        <v>327600</v>
      </c>
      <c r="Z475" s="154" t="s">
        <v>424</v>
      </c>
      <c r="AA475" s="154" t="s">
        <v>424</v>
      </c>
      <c r="AB475" s="154">
        <v>327611</v>
      </c>
      <c r="AC475" s="154">
        <v>327677</v>
      </c>
      <c r="AD475" s="154">
        <v>327755</v>
      </c>
      <c r="AE475" s="154">
        <v>327924</v>
      </c>
      <c r="AF475" s="154">
        <v>327968</v>
      </c>
      <c r="AG475" s="154">
        <v>328042</v>
      </c>
      <c r="AH475" s="154">
        <v>328161</v>
      </c>
      <c r="AI475" s="154">
        <v>328253</v>
      </c>
      <c r="AJ475" s="154">
        <v>328325</v>
      </c>
      <c r="AK475" s="154">
        <v>328507</v>
      </c>
      <c r="AL475" s="154">
        <v>328562</v>
      </c>
      <c r="AP475" cm="1">
        <f t="array" ref="AP475">IF(AQ475="","",SUM(IFERROR(H475:AL475-H474:AL474,0))*AQ475/100)</f>
        <v>288.89999999999998</v>
      </c>
      <c r="AQ475">
        <f>_xlfn.XLOOKUP(D475,log_prices!M:M,log_prices!L:L,,0)</f>
        <v>15</v>
      </c>
      <c r="AS475">
        <v>475</v>
      </c>
      <c r="AT475" cm="1">
        <f t="array" ref="AT475">IF(AQ475="","",SUM(IFERROR(H475:AL475-H474:AL474,0)))</f>
        <v>1926</v>
      </c>
    </row>
    <row r="476" spans="1:46" hidden="1" x14ac:dyDescent="0.25">
      <c r="A476">
        <v>475</v>
      </c>
      <c r="B476">
        <v>2025</v>
      </c>
      <c r="C476">
        <v>8</v>
      </c>
      <c r="D476" t="s">
        <v>260</v>
      </c>
      <c r="E476">
        <v>31</v>
      </c>
      <c r="F476">
        <v>7</v>
      </c>
      <c r="G476" t="s">
        <v>534</v>
      </c>
      <c r="H476" s="154" t="s">
        <v>479</v>
      </c>
      <c r="I476" s="154" t="s">
        <v>479</v>
      </c>
      <c r="J476" s="154" t="s">
        <v>479</v>
      </c>
      <c r="K476" s="154" t="s">
        <v>479</v>
      </c>
      <c r="L476" s="154" t="s">
        <v>479</v>
      </c>
      <c r="M476" s="154" t="s">
        <v>479</v>
      </c>
      <c r="N476" s="154" t="s">
        <v>479</v>
      </c>
      <c r="O476" s="154" t="s">
        <v>479</v>
      </c>
      <c r="P476" s="154" t="s">
        <v>479</v>
      </c>
      <c r="Q476" s="154" t="s">
        <v>424</v>
      </c>
      <c r="R476" s="154" t="s">
        <v>479</v>
      </c>
      <c r="S476" s="154" t="s">
        <v>479</v>
      </c>
      <c r="T476" s="154" t="s">
        <v>479</v>
      </c>
      <c r="U476" s="154" t="s">
        <v>479</v>
      </c>
      <c r="V476" s="154" t="s">
        <v>479</v>
      </c>
      <c r="W476" s="154" t="s">
        <v>479</v>
      </c>
      <c r="X476" s="154" t="s">
        <v>479</v>
      </c>
      <c r="Y476" s="154" t="s">
        <v>479</v>
      </c>
      <c r="Z476" s="154" t="s">
        <v>479</v>
      </c>
      <c r="AA476" s="154" t="s">
        <v>479</v>
      </c>
      <c r="AB476" s="154" t="s">
        <v>479</v>
      </c>
      <c r="AC476" s="154" t="s">
        <v>479</v>
      </c>
      <c r="AD476" s="154" t="s">
        <v>479</v>
      </c>
      <c r="AE476" s="154" t="s">
        <v>424</v>
      </c>
      <c r="AF476" s="154" t="s">
        <v>479</v>
      </c>
      <c r="AG476" s="154" t="s">
        <v>479</v>
      </c>
      <c r="AH476" s="154" t="s">
        <v>479</v>
      </c>
      <c r="AI476" s="154" t="s">
        <v>479</v>
      </c>
      <c r="AJ476" s="154" t="s">
        <v>479</v>
      </c>
      <c r="AK476" s="154" t="s">
        <v>479</v>
      </c>
      <c r="AL476" s="154" t="s">
        <v>479</v>
      </c>
      <c r="AS476">
        <v>476</v>
      </c>
    </row>
    <row r="477" spans="1:46" hidden="1" x14ac:dyDescent="0.25">
      <c r="A477">
        <v>476</v>
      </c>
      <c r="B477">
        <v>2025</v>
      </c>
      <c r="C477">
        <v>8</v>
      </c>
      <c r="D477" t="s">
        <v>260</v>
      </c>
      <c r="E477">
        <v>31</v>
      </c>
      <c r="F477">
        <v>7</v>
      </c>
      <c r="G477" t="s">
        <v>535</v>
      </c>
      <c r="H477" s="154" t="s">
        <v>480</v>
      </c>
      <c r="I477" s="154" t="s">
        <v>480</v>
      </c>
      <c r="J477" s="154" t="s">
        <v>480</v>
      </c>
      <c r="K477" s="154" t="s">
        <v>480</v>
      </c>
      <c r="L477" s="154" t="s">
        <v>480</v>
      </c>
      <c r="M477" s="154" t="s">
        <v>480</v>
      </c>
      <c r="N477" s="154" t="s">
        <v>480</v>
      </c>
      <c r="O477" s="154" t="s">
        <v>480</v>
      </c>
      <c r="P477" s="154" t="s">
        <v>480</v>
      </c>
      <c r="Q477" s="154" t="s">
        <v>424</v>
      </c>
      <c r="R477" s="154" t="s">
        <v>480</v>
      </c>
      <c r="S477" s="154" t="s">
        <v>480</v>
      </c>
      <c r="T477" s="154" t="s">
        <v>480</v>
      </c>
      <c r="U477" s="154" t="s">
        <v>480</v>
      </c>
      <c r="V477" s="154" t="s">
        <v>480</v>
      </c>
      <c r="W477" s="154" t="s">
        <v>480</v>
      </c>
      <c r="X477" s="154" t="s">
        <v>480</v>
      </c>
      <c r="Y477" s="154" t="s">
        <v>480</v>
      </c>
      <c r="Z477" s="154" t="s">
        <v>480</v>
      </c>
      <c r="AA477" s="154" t="s">
        <v>480</v>
      </c>
      <c r="AB477" s="154" t="s">
        <v>480</v>
      </c>
      <c r="AC477" s="154" t="s">
        <v>480</v>
      </c>
      <c r="AD477" s="154" t="s">
        <v>480</v>
      </c>
      <c r="AE477" s="154" t="s">
        <v>424</v>
      </c>
      <c r="AF477" s="154" t="s">
        <v>480</v>
      </c>
      <c r="AG477" s="154" t="s">
        <v>480</v>
      </c>
      <c r="AH477" s="154" t="s">
        <v>480</v>
      </c>
      <c r="AI477" s="154" t="s">
        <v>480</v>
      </c>
      <c r="AJ477" s="154" t="s">
        <v>480</v>
      </c>
      <c r="AK477" s="154" t="s">
        <v>480</v>
      </c>
      <c r="AL477" s="154" t="s">
        <v>480</v>
      </c>
      <c r="AM477" cm="1">
        <f t="array" ref="AM477">SUM(_xlfn.LET(_xlpm.r,((IFERROR(H477:AL477-H476:AL476,0))*24)/10,IF(_xlpm.r&gt;1,1,_xlpm.r)))</f>
        <v>29</v>
      </c>
      <c r="AS477">
        <v>477</v>
      </c>
    </row>
    <row r="478" spans="1:46" hidden="1" x14ac:dyDescent="0.25">
      <c r="A478">
        <v>477</v>
      </c>
      <c r="B478">
        <v>2025</v>
      </c>
      <c r="C478">
        <v>8</v>
      </c>
      <c r="D478" t="s">
        <v>260</v>
      </c>
      <c r="E478">
        <v>31</v>
      </c>
      <c r="F478">
        <v>7</v>
      </c>
      <c r="G478" t="s">
        <v>534</v>
      </c>
      <c r="H478" s="154">
        <v>799558</v>
      </c>
      <c r="I478" s="154">
        <v>799770</v>
      </c>
      <c r="J478" s="154">
        <v>799932</v>
      </c>
      <c r="K478" s="154">
        <v>800082</v>
      </c>
      <c r="L478" s="154">
        <v>800257</v>
      </c>
      <c r="M478" s="154">
        <v>800409</v>
      </c>
      <c r="N478" s="154">
        <v>800513</v>
      </c>
      <c r="O478" s="154">
        <v>800603</v>
      </c>
      <c r="P478" s="154">
        <v>800711</v>
      </c>
      <c r="Q478" s="154" t="s">
        <v>424</v>
      </c>
      <c r="R478" s="154">
        <v>800863</v>
      </c>
      <c r="S478" s="154">
        <v>801019</v>
      </c>
      <c r="T478" s="154">
        <v>801170</v>
      </c>
      <c r="U478" s="154">
        <v>801320</v>
      </c>
      <c r="V478" s="154">
        <v>801483</v>
      </c>
      <c r="W478" s="154">
        <v>801633</v>
      </c>
      <c r="X478" s="154">
        <v>801909</v>
      </c>
      <c r="Y478" s="154">
        <v>802784</v>
      </c>
      <c r="Z478" s="154">
        <v>802934</v>
      </c>
      <c r="AA478" s="154">
        <v>803089</v>
      </c>
      <c r="AB478" s="154">
        <v>803239</v>
      </c>
      <c r="AC478" s="154">
        <v>803389</v>
      </c>
      <c r="AD478" s="154">
        <v>803541</v>
      </c>
      <c r="AE478" s="154" t="s">
        <v>424</v>
      </c>
      <c r="AF478" s="154">
        <v>803693</v>
      </c>
      <c r="AG478" s="154">
        <v>803924</v>
      </c>
      <c r="AH478" s="154">
        <v>804076</v>
      </c>
      <c r="AI478" s="154">
        <v>804230</v>
      </c>
      <c r="AJ478" s="154">
        <v>804465</v>
      </c>
      <c r="AK478" s="154">
        <v>804616</v>
      </c>
      <c r="AL478" s="154">
        <v>804769</v>
      </c>
      <c r="AS478">
        <v>478</v>
      </c>
    </row>
    <row r="479" spans="1:46" hidden="1" x14ac:dyDescent="0.25">
      <c r="A479">
        <v>478</v>
      </c>
      <c r="B479">
        <v>2025</v>
      </c>
      <c r="C479">
        <v>8</v>
      </c>
      <c r="D479" t="s">
        <v>260</v>
      </c>
      <c r="E479">
        <v>31</v>
      </c>
      <c r="F479">
        <v>7</v>
      </c>
      <c r="G479" t="s">
        <v>535</v>
      </c>
      <c r="H479" s="154">
        <v>799770</v>
      </c>
      <c r="I479" s="154">
        <v>799921</v>
      </c>
      <c r="J479" s="154">
        <v>800082</v>
      </c>
      <c r="K479" s="154">
        <v>800257</v>
      </c>
      <c r="L479" s="154">
        <v>800409</v>
      </c>
      <c r="M479" s="154">
        <v>800513</v>
      </c>
      <c r="N479" s="154">
        <v>800603</v>
      </c>
      <c r="O479" s="154">
        <v>800711</v>
      </c>
      <c r="P479" s="154">
        <v>800863</v>
      </c>
      <c r="Q479" s="154" t="s">
        <v>424</v>
      </c>
      <c r="R479" s="154">
        <v>801019</v>
      </c>
      <c r="S479" s="154">
        <v>801170</v>
      </c>
      <c r="T479" s="154">
        <v>801320</v>
      </c>
      <c r="U479" s="154">
        <v>801483</v>
      </c>
      <c r="V479" s="154">
        <v>801633</v>
      </c>
      <c r="W479" s="154">
        <v>801908</v>
      </c>
      <c r="X479" s="154">
        <v>802484</v>
      </c>
      <c r="Y479" s="154">
        <v>802934</v>
      </c>
      <c r="Z479" s="154">
        <v>803089</v>
      </c>
      <c r="AA479" s="154">
        <v>803239</v>
      </c>
      <c r="AB479" s="154">
        <v>803389</v>
      </c>
      <c r="AC479" s="154">
        <v>803541</v>
      </c>
      <c r="AD479" s="154">
        <v>803693</v>
      </c>
      <c r="AE479" s="154" t="s">
        <v>424</v>
      </c>
      <c r="AF479" s="154">
        <v>803924</v>
      </c>
      <c r="AG479" s="154">
        <v>804076</v>
      </c>
      <c r="AH479" s="154">
        <v>804230</v>
      </c>
      <c r="AI479" s="154">
        <v>804465</v>
      </c>
      <c r="AJ479" s="154">
        <v>804616</v>
      </c>
      <c r="AK479" s="154">
        <v>804769</v>
      </c>
      <c r="AL479" s="154">
        <v>805139</v>
      </c>
      <c r="AP479" cm="1">
        <f t="array" ref="AP479">IF(AQ479="","",SUM(IFERROR(H479:AL479-H478:AL478,0))*AQ479/100)</f>
        <v>948.42</v>
      </c>
      <c r="AQ479">
        <f>_xlfn.XLOOKUP(D479,log_prices!M:M,log_prices!L:L,,0)</f>
        <v>18</v>
      </c>
      <c r="AS479">
        <v>479</v>
      </c>
      <c r="AT479" cm="1">
        <f t="array" ref="AT479">IF(AQ479="","",SUM(IFERROR(H479:AL479-H478:AL478,0)))</f>
        <v>5269</v>
      </c>
    </row>
    <row r="480" spans="1:46" hidden="1" x14ac:dyDescent="0.25">
      <c r="A480">
        <v>479</v>
      </c>
      <c r="B480">
        <v>2025</v>
      </c>
      <c r="C480">
        <v>8</v>
      </c>
      <c r="D480" t="s">
        <v>272</v>
      </c>
      <c r="E480">
        <v>31</v>
      </c>
      <c r="F480">
        <v>7</v>
      </c>
      <c r="G480" t="s">
        <v>534</v>
      </c>
      <c r="H480" s="154" t="s">
        <v>479</v>
      </c>
      <c r="I480" s="154" t="s">
        <v>479</v>
      </c>
      <c r="J480" s="154" t="s">
        <v>479</v>
      </c>
      <c r="K480" s="154" t="s">
        <v>479</v>
      </c>
      <c r="L480" s="154" t="s">
        <v>479</v>
      </c>
      <c r="M480" s="154" t="s">
        <v>479</v>
      </c>
      <c r="N480" s="154" t="s">
        <v>479</v>
      </c>
      <c r="O480" s="154" t="s">
        <v>479</v>
      </c>
      <c r="P480" s="154" t="s">
        <v>479</v>
      </c>
      <c r="Q480" s="154" t="s">
        <v>424</v>
      </c>
      <c r="R480" s="154" t="s">
        <v>479</v>
      </c>
      <c r="S480" s="154" t="s">
        <v>479</v>
      </c>
      <c r="T480" s="154" t="s">
        <v>479</v>
      </c>
      <c r="U480" s="154" t="s">
        <v>479</v>
      </c>
      <c r="V480" s="154" t="s">
        <v>479</v>
      </c>
      <c r="W480" s="154" t="s">
        <v>479</v>
      </c>
      <c r="X480" s="154" t="s">
        <v>479</v>
      </c>
      <c r="Y480" s="154" t="s">
        <v>479</v>
      </c>
      <c r="Z480" s="154" t="s">
        <v>479</v>
      </c>
      <c r="AA480" s="154" t="s">
        <v>479</v>
      </c>
      <c r="AB480" s="154" t="s">
        <v>479</v>
      </c>
      <c r="AC480" s="154" t="s">
        <v>479</v>
      </c>
      <c r="AD480" s="154" t="s">
        <v>479</v>
      </c>
      <c r="AE480" s="154" t="s">
        <v>479</v>
      </c>
      <c r="AF480" s="154" t="s">
        <v>479</v>
      </c>
      <c r="AG480" s="154" t="s">
        <v>479</v>
      </c>
      <c r="AH480" s="154" t="s">
        <v>479</v>
      </c>
      <c r="AI480" s="154" t="s">
        <v>479</v>
      </c>
      <c r="AJ480" s="154" t="s">
        <v>479</v>
      </c>
      <c r="AK480" s="154" t="s">
        <v>479</v>
      </c>
      <c r="AL480" s="154" t="s">
        <v>424</v>
      </c>
      <c r="AS480">
        <v>480</v>
      </c>
    </row>
    <row r="481" spans="1:46" hidden="1" x14ac:dyDescent="0.25">
      <c r="A481">
        <v>480</v>
      </c>
      <c r="B481">
        <v>2025</v>
      </c>
      <c r="C481">
        <v>8</v>
      </c>
      <c r="D481" t="s">
        <v>272</v>
      </c>
      <c r="E481">
        <v>31</v>
      </c>
      <c r="F481">
        <v>7</v>
      </c>
      <c r="G481" t="s">
        <v>535</v>
      </c>
      <c r="H481" s="154">
        <v>0.83333333333333326</v>
      </c>
      <c r="I481" s="154">
        <v>0.91666666666666674</v>
      </c>
      <c r="J481" s="154">
        <v>0.75</v>
      </c>
      <c r="K481" s="154">
        <v>0.75</v>
      </c>
      <c r="L481" s="154">
        <v>0.91666666666666674</v>
      </c>
      <c r="M481" s="154">
        <v>0.75</v>
      </c>
      <c r="N481" s="154">
        <v>0.75</v>
      </c>
      <c r="O481" s="154">
        <v>1.0416666666666667</v>
      </c>
      <c r="P481" s="154">
        <v>0.75</v>
      </c>
      <c r="Q481" s="154" t="s">
        <v>424</v>
      </c>
      <c r="R481" s="154">
        <v>0.95833333333333326</v>
      </c>
      <c r="S481" s="154">
        <v>0.75</v>
      </c>
      <c r="T481" s="154">
        <v>0.75</v>
      </c>
      <c r="U481" s="154">
        <v>0.875</v>
      </c>
      <c r="V481" s="154">
        <v>0.75</v>
      </c>
      <c r="W481" s="154">
        <v>0.75</v>
      </c>
      <c r="X481" s="154">
        <v>0.75</v>
      </c>
      <c r="Y481" s="154">
        <v>0.875</v>
      </c>
      <c r="Z481" s="154">
        <v>0.75</v>
      </c>
      <c r="AA481" s="154">
        <v>0.75</v>
      </c>
      <c r="AB481" s="154">
        <v>0.75</v>
      </c>
      <c r="AC481" s="154">
        <v>0.75</v>
      </c>
      <c r="AD481" s="154">
        <v>0.75</v>
      </c>
      <c r="AE481" s="154">
        <v>0.75</v>
      </c>
      <c r="AF481" s="154">
        <v>0.875</v>
      </c>
      <c r="AG481" s="154">
        <v>1.0416666666666667</v>
      </c>
      <c r="AH481" s="154">
        <v>1.1666666666666667</v>
      </c>
      <c r="AI481" s="154">
        <v>1.1666666666666667</v>
      </c>
      <c r="AJ481" s="154">
        <v>0.75</v>
      </c>
      <c r="AK481" s="154">
        <v>0.75</v>
      </c>
      <c r="AL481" s="154" t="s">
        <v>424</v>
      </c>
      <c r="AM481" cm="1">
        <f t="array" ref="AM481">SUM(_xlfn.LET(_xlpm.r,((IFERROR(H481:AL481-H480:AL480,0))*24)/10,IF(_xlpm.r&gt;1,1,_xlpm.r)))</f>
        <v>29</v>
      </c>
      <c r="AO481" cm="1">
        <f t="array" ref="AO481">SUM(IFERROR((H481:AL481-H480:AL480)*24-11,""))</f>
        <v>57.999999999999993</v>
      </c>
      <c r="AS481">
        <v>481</v>
      </c>
    </row>
    <row r="482" spans="1:46" hidden="1" x14ac:dyDescent="0.25">
      <c r="A482">
        <v>481</v>
      </c>
      <c r="B482">
        <v>2025</v>
      </c>
      <c r="C482">
        <v>8</v>
      </c>
      <c r="D482" t="s">
        <v>272</v>
      </c>
      <c r="E482">
        <v>31</v>
      </c>
      <c r="F482">
        <v>7</v>
      </c>
      <c r="G482" t="s">
        <v>536</v>
      </c>
      <c r="H482" s="154">
        <v>277142</v>
      </c>
      <c r="I482" s="154">
        <v>277170</v>
      </c>
      <c r="J482" s="154">
        <v>277287</v>
      </c>
      <c r="K482" s="154">
        <v>277376</v>
      </c>
      <c r="L482" s="154">
        <v>277401</v>
      </c>
      <c r="M482" s="154">
        <v>277508</v>
      </c>
      <c r="N482" s="154">
        <v>277638</v>
      </c>
      <c r="O482" s="154">
        <v>277746</v>
      </c>
      <c r="P482" s="154">
        <v>277791</v>
      </c>
      <c r="Q482" s="154" t="s">
        <v>424</v>
      </c>
      <c r="R482" s="154">
        <v>278015</v>
      </c>
      <c r="S482" s="154">
        <v>278078</v>
      </c>
      <c r="T482" s="154">
        <v>278239</v>
      </c>
      <c r="U482" s="154">
        <v>278393</v>
      </c>
      <c r="V482" s="154">
        <v>278505</v>
      </c>
      <c r="W482" s="154">
        <v>278523</v>
      </c>
      <c r="X482" s="154">
        <v>278650</v>
      </c>
      <c r="Y482" s="154">
        <v>278735</v>
      </c>
      <c r="Z482" s="154">
        <v>278801</v>
      </c>
      <c r="AA482" s="154">
        <v>278968</v>
      </c>
      <c r="AB482" s="154">
        <v>279082</v>
      </c>
      <c r="AC482" s="154">
        <v>279203</v>
      </c>
      <c r="AD482" s="154">
        <v>279318</v>
      </c>
      <c r="AE482" s="154">
        <v>279356</v>
      </c>
      <c r="AF482" s="154">
        <v>279538</v>
      </c>
      <c r="AG482" s="154">
        <v>279598</v>
      </c>
      <c r="AH482" s="154">
        <v>279722</v>
      </c>
      <c r="AI482" s="154">
        <v>279790</v>
      </c>
      <c r="AJ482" s="154">
        <v>279820</v>
      </c>
      <c r="AK482" s="154">
        <v>279859</v>
      </c>
      <c r="AL482" s="154" t="s">
        <v>424</v>
      </c>
      <c r="AS482">
        <v>482</v>
      </c>
    </row>
    <row r="483" spans="1:46" hidden="1" x14ac:dyDescent="0.25">
      <c r="A483">
        <v>482</v>
      </c>
      <c r="B483">
        <v>2025</v>
      </c>
      <c r="C483">
        <v>8</v>
      </c>
      <c r="D483" t="s">
        <v>272</v>
      </c>
      <c r="E483">
        <v>31</v>
      </c>
      <c r="F483">
        <v>7</v>
      </c>
      <c r="G483" t="s">
        <v>537</v>
      </c>
      <c r="H483" s="154">
        <v>277170</v>
      </c>
      <c r="I483" s="154">
        <v>277276</v>
      </c>
      <c r="J483" s="154">
        <v>277376</v>
      </c>
      <c r="K483" s="154">
        <v>277401</v>
      </c>
      <c r="L483" s="154">
        <v>277508</v>
      </c>
      <c r="M483" s="154">
        <v>277636</v>
      </c>
      <c r="N483" s="154">
        <v>277746</v>
      </c>
      <c r="O483" s="154">
        <v>277791</v>
      </c>
      <c r="P483" s="154">
        <v>277857</v>
      </c>
      <c r="Q483" s="154" t="s">
        <v>424</v>
      </c>
      <c r="R483" s="154">
        <v>278078</v>
      </c>
      <c r="S483" s="154">
        <v>278132</v>
      </c>
      <c r="T483" s="154">
        <v>278393</v>
      </c>
      <c r="U483" s="154">
        <v>278505</v>
      </c>
      <c r="V483" s="154">
        <v>278523</v>
      </c>
      <c r="W483" s="154">
        <v>278623</v>
      </c>
      <c r="X483" s="154">
        <v>278735</v>
      </c>
      <c r="Y483" s="154">
        <v>278801</v>
      </c>
      <c r="Z483" s="154">
        <v>278891</v>
      </c>
      <c r="AA483" s="154">
        <v>279082</v>
      </c>
      <c r="AB483" s="154">
        <v>279198</v>
      </c>
      <c r="AC483" s="154">
        <v>279318</v>
      </c>
      <c r="AD483" s="154">
        <v>279356</v>
      </c>
      <c r="AE483" s="154">
        <v>279484</v>
      </c>
      <c r="AF483" s="154">
        <v>279598</v>
      </c>
      <c r="AG483" s="154">
        <v>279722</v>
      </c>
      <c r="AH483" s="154">
        <v>279790</v>
      </c>
      <c r="AI483" s="154">
        <v>279820</v>
      </c>
      <c r="AJ483" s="154">
        <v>279859</v>
      </c>
      <c r="AK483" s="154">
        <v>279958</v>
      </c>
      <c r="AL483" s="154" t="s">
        <v>424</v>
      </c>
      <c r="AP483" cm="1">
        <f t="array" ref="AP483">IF(AQ483="","",SUM(IFERROR(H483:AL483-H482:AL482,0))*AQ483/100)</f>
        <v>356.25</v>
      </c>
      <c r="AQ483">
        <f>_xlfn.XLOOKUP(D483,log_prices!M:M,log_prices!L:L,,0)</f>
        <v>15</v>
      </c>
      <c r="AS483">
        <v>483</v>
      </c>
      <c r="AT483" cm="1">
        <f t="array" ref="AT483">IF(AQ483="","",SUM(IFERROR(H483:AL483-H482:AL482,0)))</f>
        <v>2375</v>
      </c>
    </row>
    <row r="484" spans="1:46" hidden="1" x14ac:dyDescent="0.25">
      <c r="A484">
        <v>483</v>
      </c>
      <c r="B484">
        <v>2025</v>
      </c>
      <c r="C484">
        <v>8</v>
      </c>
      <c r="D484" t="s">
        <v>268</v>
      </c>
      <c r="E484">
        <v>31</v>
      </c>
      <c r="F484">
        <v>7</v>
      </c>
      <c r="G484" t="s">
        <v>534</v>
      </c>
      <c r="H484" s="154" t="s">
        <v>479</v>
      </c>
      <c r="I484" s="154" t="s">
        <v>479</v>
      </c>
      <c r="J484" s="154" t="s">
        <v>479</v>
      </c>
      <c r="K484" s="154" t="s">
        <v>479</v>
      </c>
      <c r="L484" s="154" t="s">
        <v>479</v>
      </c>
      <c r="M484" s="154" t="s">
        <v>479</v>
      </c>
      <c r="N484" s="154" t="s">
        <v>479</v>
      </c>
      <c r="O484" s="154" t="s">
        <v>479</v>
      </c>
      <c r="P484" s="154" t="s">
        <v>479</v>
      </c>
      <c r="Q484" s="154" t="s">
        <v>479</v>
      </c>
      <c r="R484" s="154" t="s">
        <v>479</v>
      </c>
      <c r="S484" s="154" t="s">
        <v>479</v>
      </c>
      <c r="T484" s="154" t="s">
        <v>479</v>
      </c>
      <c r="U484" s="154" t="s">
        <v>479</v>
      </c>
      <c r="V484" s="154" t="s">
        <v>479</v>
      </c>
      <c r="W484" s="154" t="s">
        <v>479</v>
      </c>
      <c r="X484" s="154" t="s">
        <v>479</v>
      </c>
      <c r="Y484" s="154" t="s">
        <v>479</v>
      </c>
      <c r="Z484" s="154" t="s">
        <v>479</v>
      </c>
      <c r="AA484" s="154" t="s">
        <v>479</v>
      </c>
      <c r="AB484" s="154" t="s">
        <v>479</v>
      </c>
      <c r="AC484" s="154" t="s">
        <v>479</v>
      </c>
      <c r="AD484" s="154" t="s">
        <v>479</v>
      </c>
      <c r="AE484" s="154" t="s">
        <v>479</v>
      </c>
      <c r="AF484" s="154" t="s">
        <v>479</v>
      </c>
      <c r="AG484" s="154" t="s">
        <v>479</v>
      </c>
      <c r="AH484" s="154" t="s">
        <v>479</v>
      </c>
      <c r="AI484" s="154" t="s">
        <v>479</v>
      </c>
      <c r="AJ484" s="154" t="s">
        <v>479</v>
      </c>
      <c r="AK484" s="154" t="s">
        <v>479</v>
      </c>
      <c r="AL484" s="154" t="s">
        <v>479</v>
      </c>
      <c r="AS484">
        <v>484</v>
      </c>
    </row>
    <row r="485" spans="1:46" hidden="1" x14ac:dyDescent="0.25">
      <c r="A485">
        <v>484</v>
      </c>
      <c r="B485">
        <v>2025</v>
      </c>
      <c r="C485">
        <v>8</v>
      </c>
      <c r="D485" t="s">
        <v>268</v>
      </c>
      <c r="E485">
        <v>31</v>
      </c>
      <c r="F485">
        <v>7</v>
      </c>
      <c r="G485" t="s">
        <v>535</v>
      </c>
      <c r="H485" s="154" t="s">
        <v>493</v>
      </c>
      <c r="I485" s="154" t="s">
        <v>493</v>
      </c>
      <c r="J485" s="154" t="s">
        <v>493</v>
      </c>
      <c r="K485" s="154" t="s">
        <v>493</v>
      </c>
      <c r="L485" s="154" t="s">
        <v>493</v>
      </c>
      <c r="M485" s="154" t="s">
        <v>493</v>
      </c>
      <c r="N485" s="154" t="s">
        <v>493</v>
      </c>
      <c r="O485" s="154" t="s">
        <v>493</v>
      </c>
      <c r="P485" s="154" t="s">
        <v>493</v>
      </c>
      <c r="Q485" s="154" t="s">
        <v>493</v>
      </c>
      <c r="R485" s="154" t="s">
        <v>493</v>
      </c>
      <c r="S485" s="154" t="s">
        <v>493</v>
      </c>
      <c r="T485" s="154" t="s">
        <v>493</v>
      </c>
      <c r="U485" s="154" t="s">
        <v>493</v>
      </c>
      <c r="V485" s="154" t="s">
        <v>493</v>
      </c>
      <c r="W485" s="154" t="s">
        <v>493</v>
      </c>
      <c r="X485" s="154" t="s">
        <v>493</v>
      </c>
      <c r="Y485" s="154" t="s">
        <v>493</v>
      </c>
      <c r="Z485" s="154" t="s">
        <v>493</v>
      </c>
      <c r="AA485" s="154" t="s">
        <v>493</v>
      </c>
      <c r="AB485" s="154" t="s">
        <v>493</v>
      </c>
      <c r="AC485" s="154" t="s">
        <v>493</v>
      </c>
      <c r="AD485" s="154" t="s">
        <v>493</v>
      </c>
      <c r="AE485" s="154" t="s">
        <v>493</v>
      </c>
      <c r="AF485" s="154" t="s">
        <v>493</v>
      </c>
      <c r="AG485" s="154">
        <v>0.75</v>
      </c>
      <c r="AH485" s="154">
        <v>0.75</v>
      </c>
      <c r="AI485" s="154">
        <v>0.75</v>
      </c>
      <c r="AJ485" s="154">
        <v>0.75</v>
      </c>
      <c r="AK485" s="154">
        <v>0.91666666666666663</v>
      </c>
      <c r="AL485" s="154" t="s">
        <v>480</v>
      </c>
      <c r="AM485" cm="1">
        <f t="array" ref="AM485">SUM(_xlfn.LET(_xlpm.r,((IFERROR(H485:AL485-H484:AL484,0))*24)/10,IF(_xlpm.r&gt;1,1,_xlpm.r)))</f>
        <v>31</v>
      </c>
      <c r="AO485" cm="1">
        <f t="array" ref="AO485">SUM(IFERROR(MOD((H485:AL485-H484:AL484)*24,11),""))</f>
        <v>54.000000000000014</v>
      </c>
      <c r="AS485">
        <v>485</v>
      </c>
    </row>
    <row r="486" spans="1:46" hidden="1" x14ac:dyDescent="0.25">
      <c r="A486">
        <v>485</v>
      </c>
      <c r="B486">
        <v>2025</v>
      </c>
      <c r="C486">
        <v>8</v>
      </c>
      <c r="D486" t="s">
        <v>268</v>
      </c>
      <c r="E486">
        <v>31</v>
      </c>
      <c r="F486">
        <v>7</v>
      </c>
      <c r="G486" t="s">
        <v>536</v>
      </c>
      <c r="H486" s="154">
        <v>27388</v>
      </c>
      <c r="I486" s="154">
        <v>27411</v>
      </c>
      <c r="J486" s="154">
        <v>27427</v>
      </c>
      <c r="K486" s="154">
        <v>27432</v>
      </c>
      <c r="L486" s="154">
        <v>27446</v>
      </c>
      <c r="M486" s="154">
        <v>27456</v>
      </c>
      <c r="N486" s="154">
        <v>27464</v>
      </c>
      <c r="O486" s="154">
        <v>27468</v>
      </c>
      <c r="P486" s="154">
        <v>27496</v>
      </c>
      <c r="Q486" s="154">
        <v>27514</v>
      </c>
      <c r="R486" s="154">
        <v>27534</v>
      </c>
      <c r="S486" s="154">
        <v>27571</v>
      </c>
      <c r="T486" s="154">
        <v>27581</v>
      </c>
      <c r="U486" s="154">
        <v>27589</v>
      </c>
      <c r="V486" s="154">
        <v>27594</v>
      </c>
      <c r="W486" s="154">
        <v>27607</v>
      </c>
      <c r="X486" s="154">
        <v>27612</v>
      </c>
      <c r="Y486" s="154">
        <v>27620</v>
      </c>
      <c r="Z486" s="154">
        <v>27630</v>
      </c>
      <c r="AA486" s="154">
        <v>27638</v>
      </c>
      <c r="AB486" s="154">
        <v>27652</v>
      </c>
      <c r="AC486" s="154">
        <v>27665</v>
      </c>
      <c r="AD486" s="154">
        <v>27696</v>
      </c>
      <c r="AE486" s="154">
        <v>27742</v>
      </c>
      <c r="AF486" s="154">
        <v>27747</v>
      </c>
      <c r="AG486" s="154">
        <v>27753</v>
      </c>
      <c r="AH486" s="154">
        <v>27765</v>
      </c>
      <c r="AI486" s="154">
        <v>27786</v>
      </c>
      <c r="AJ486" s="154">
        <v>27790</v>
      </c>
      <c r="AK486" s="154">
        <v>27798</v>
      </c>
      <c r="AL486" s="154">
        <v>27908</v>
      </c>
      <c r="AS486">
        <v>486</v>
      </c>
    </row>
    <row r="487" spans="1:46" hidden="1" x14ac:dyDescent="0.25">
      <c r="A487">
        <v>486</v>
      </c>
      <c r="B487">
        <v>2025</v>
      </c>
      <c r="C487">
        <v>8</v>
      </c>
      <c r="D487" t="s">
        <v>268</v>
      </c>
      <c r="E487">
        <v>31</v>
      </c>
      <c r="F487">
        <v>7</v>
      </c>
      <c r="G487" t="s">
        <v>537</v>
      </c>
      <c r="H487" s="154">
        <v>27411</v>
      </c>
      <c r="I487" s="154">
        <v>27427</v>
      </c>
      <c r="J487" s="154">
        <v>27432</v>
      </c>
      <c r="K487" s="154">
        <v>27446</v>
      </c>
      <c r="L487" s="154">
        <v>27456</v>
      </c>
      <c r="M487" s="154">
        <v>27464</v>
      </c>
      <c r="N487" s="154">
        <v>27468</v>
      </c>
      <c r="O487" s="154">
        <v>27496</v>
      </c>
      <c r="P487" s="154">
        <v>27514</v>
      </c>
      <c r="Q487" s="154">
        <v>27534</v>
      </c>
      <c r="R487" s="154">
        <v>27571</v>
      </c>
      <c r="S487" s="154">
        <v>27581</v>
      </c>
      <c r="T487" s="154">
        <v>27589</v>
      </c>
      <c r="U487" s="154">
        <v>27594</v>
      </c>
      <c r="V487" s="154">
        <v>27607</v>
      </c>
      <c r="W487" s="154">
        <v>27612</v>
      </c>
      <c r="X487" s="154">
        <v>27620</v>
      </c>
      <c r="Y487" s="154">
        <v>27630</v>
      </c>
      <c r="Z487" s="154">
        <v>27638</v>
      </c>
      <c r="AA487" s="154">
        <v>27652</v>
      </c>
      <c r="AB487" s="154">
        <v>27665</v>
      </c>
      <c r="AC487" s="154">
        <v>27696</v>
      </c>
      <c r="AD487" s="154">
        <v>27742</v>
      </c>
      <c r="AE487" s="154">
        <v>27747</v>
      </c>
      <c r="AF487" s="154">
        <v>27753</v>
      </c>
      <c r="AG487" s="154">
        <v>27765</v>
      </c>
      <c r="AH487" s="154">
        <v>27786</v>
      </c>
      <c r="AI487" s="154">
        <v>27790</v>
      </c>
      <c r="AJ487" s="154">
        <v>27798</v>
      </c>
      <c r="AK487" s="154">
        <v>27908</v>
      </c>
      <c r="AL487" s="154">
        <v>27910</v>
      </c>
      <c r="AP487" cm="1">
        <f t="array" ref="AP487">IF(AQ487="","",SUM(IFERROR(H487:AL487-H486:AL486,0))*AQ487/100)</f>
        <v>78.3</v>
      </c>
      <c r="AQ487">
        <f>_xlfn.XLOOKUP(D487,log_prices!M:M,log_prices!L:L,,0)</f>
        <v>15</v>
      </c>
      <c r="AS487">
        <v>487</v>
      </c>
      <c r="AT487" cm="1">
        <f t="array" ref="AT487">IF(AQ487="","",SUM(IFERROR(H487:AL487-H486:AL486,0)))</f>
        <v>522</v>
      </c>
    </row>
    <row r="488" spans="1:46" hidden="1" x14ac:dyDescent="0.25">
      <c r="A488">
        <v>487</v>
      </c>
      <c r="B488">
        <v>2025</v>
      </c>
      <c r="C488">
        <v>8</v>
      </c>
      <c r="D488" t="s">
        <v>267</v>
      </c>
      <c r="E488">
        <v>31</v>
      </c>
      <c r="F488">
        <v>7</v>
      </c>
      <c r="G488" t="s">
        <v>534</v>
      </c>
      <c r="H488" s="154" t="s">
        <v>486</v>
      </c>
      <c r="I488" s="154" t="s">
        <v>486</v>
      </c>
      <c r="J488" s="154" t="s">
        <v>486</v>
      </c>
      <c r="K488" s="154" t="s">
        <v>486</v>
      </c>
      <c r="L488" s="154" t="s">
        <v>486</v>
      </c>
      <c r="M488" s="154" t="s">
        <v>486</v>
      </c>
      <c r="N488" s="154" t="s">
        <v>486</v>
      </c>
      <c r="O488" s="154" t="s">
        <v>486</v>
      </c>
      <c r="P488" s="154" t="s">
        <v>486</v>
      </c>
      <c r="Q488" s="154" t="s">
        <v>424</v>
      </c>
      <c r="R488" s="154" t="s">
        <v>486</v>
      </c>
      <c r="S488" s="154" t="s">
        <v>486</v>
      </c>
      <c r="T488" s="154" t="s">
        <v>486</v>
      </c>
      <c r="U488" s="154" t="s">
        <v>486</v>
      </c>
      <c r="V488" s="154" t="s">
        <v>486</v>
      </c>
      <c r="W488" s="154" t="s">
        <v>486</v>
      </c>
      <c r="X488" s="154" t="s">
        <v>486</v>
      </c>
      <c r="Y488" s="154" t="s">
        <v>486</v>
      </c>
      <c r="Z488" s="154" t="s">
        <v>486</v>
      </c>
      <c r="AA488" s="154" t="s">
        <v>486</v>
      </c>
      <c r="AB488" s="154" t="s">
        <v>486</v>
      </c>
      <c r="AC488" s="154" t="s">
        <v>486</v>
      </c>
      <c r="AD488" s="154" t="s">
        <v>486</v>
      </c>
      <c r="AE488" s="154" t="s">
        <v>486</v>
      </c>
      <c r="AF488" s="154" t="s">
        <v>486</v>
      </c>
      <c r="AG488" s="154" t="s">
        <v>486</v>
      </c>
      <c r="AH488" s="154" t="s">
        <v>486</v>
      </c>
      <c r="AI488" s="154" t="s">
        <v>486</v>
      </c>
      <c r="AJ488" s="154" t="s">
        <v>486</v>
      </c>
      <c r="AK488" s="154" t="s">
        <v>486</v>
      </c>
      <c r="AL488" s="154" t="s">
        <v>486</v>
      </c>
      <c r="AS488">
        <v>488</v>
      </c>
    </row>
    <row r="489" spans="1:46" hidden="1" x14ac:dyDescent="0.25">
      <c r="A489">
        <v>488</v>
      </c>
      <c r="B489">
        <v>2025</v>
      </c>
      <c r="C489">
        <v>8</v>
      </c>
      <c r="D489" t="s">
        <v>267</v>
      </c>
      <c r="E489">
        <v>31</v>
      </c>
      <c r="F489">
        <v>7</v>
      </c>
      <c r="G489" t="s">
        <v>535</v>
      </c>
      <c r="H489" s="154">
        <v>0.79166666666666674</v>
      </c>
      <c r="I489" s="154">
        <v>0.79166666666666674</v>
      </c>
      <c r="J489" s="154">
        <v>0.79166666666666674</v>
      </c>
      <c r="K489" s="154">
        <v>0.79166666666666674</v>
      </c>
      <c r="L489" s="154">
        <v>0.79166666666666674</v>
      </c>
      <c r="M489" s="154">
        <v>0.79166666666666674</v>
      </c>
      <c r="N489" s="154">
        <v>0.79166666666666674</v>
      </c>
      <c r="O489" s="154">
        <v>0.79166666666666674</v>
      </c>
      <c r="P489" s="154">
        <v>0.79166666666666674</v>
      </c>
      <c r="Q489" s="154" t="s">
        <v>424</v>
      </c>
      <c r="R489" s="154">
        <v>0.79166666666666674</v>
      </c>
      <c r="S489" s="154">
        <v>0.79166666666666674</v>
      </c>
      <c r="T489" s="154">
        <v>0.79166666666666674</v>
      </c>
      <c r="U489" s="154">
        <v>0.79166666666666674</v>
      </c>
      <c r="V489" s="154">
        <v>0.79166666666666674</v>
      </c>
      <c r="W489" s="154">
        <v>0.91666666666666674</v>
      </c>
      <c r="X489" s="154">
        <v>0.79166666666666674</v>
      </c>
      <c r="Y489" s="154">
        <v>0.79166666666666674</v>
      </c>
      <c r="Z489" s="154">
        <v>0.79166666666666674</v>
      </c>
      <c r="AA489" s="154">
        <v>0.79166666666666674</v>
      </c>
      <c r="AB489" s="154">
        <v>0.79166666666666674</v>
      </c>
      <c r="AC489" s="154">
        <v>0.79166666666666674</v>
      </c>
      <c r="AD489" s="154">
        <v>0.79166666666666674</v>
      </c>
      <c r="AE489" s="154">
        <v>0.79166666666666674</v>
      </c>
      <c r="AF489" s="154">
        <v>0.79166666666666674</v>
      </c>
      <c r="AG489" s="154">
        <v>0.79166666666666674</v>
      </c>
      <c r="AH489" s="154">
        <v>0.79166666666666674</v>
      </c>
      <c r="AI489" s="154">
        <v>0.79166666666666674</v>
      </c>
      <c r="AJ489" s="154">
        <v>0.79166666666666674</v>
      </c>
      <c r="AK489" s="154">
        <v>0.79166666666666674</v>
      </c>
      <c r="AL489" s="154">
        <v>0.79166666666666674</v>
      </c>
      <c r="AM489" cm="1">
        <f t="array" ref="AM489">SUM(_xlfn.LET(_xlpm.r,((IFERROR(H489:AL489-H488:AL488,0))*24)/10,IF(_xlpm.r&gt;1,1,_xlpm.r)))</f>
        <v>30</v>
      </c>
      <c r="AO489" cm="1">
        <f t="array" ref="AO489">SUM(IFERROR(MOD((H489:AL489-H488:AL488)*24,11),""))</f>
        <v>93</v>
      </c>
      <c r="AS489">
        <v>489</v>
      </c>
    </row>
    <row r="490" spans="1:46" hidden="1" x14ac:dyDescent="0.25">
      <c r="A490">
        <v>489</v>
      </c>
      <c r="B490">
        <v>2025</v>
      </c>
      <c r="C490">
        <v>8</v>
      </c>
      <c r="D490" t="s">
        <v>267</v>
      </c>
      <c r="E490">
        <v>31</v>
      </c>
      <c r="F490">
        <v>7</v>
      </c>
      <c r="G490" t="s">
        <v>536</v>
      </c>
      <c r="H490" s="154">
        <v>327747</v>
      </c>
      <c r="I490" s="154">
        <v>327918</v>
      </c>
      <c r="J490" s="154">
        <v>328085</v>
      </c>
      <c r="K490" s="154">
        <v>328280</v>
      </c>
      <c r="L490" s="154">
        <v>328464</v>
      </c>
      <c r="M490" s="154">
        <v>328688</v>
      </c>
      <c r="N490" s="154">
        <v>328857</v>
      </c>
      <c r="O490" s="154">
        <v>329037</v>
      </c>
      <c r="P490" s="154">
        <v>329279</v>
      </c>
      <c r="Q490" s="154" t="s">
        <v>424</v>
      </c>
      <c r="R490" s="154">
        <v>329563</v>
      </c>
      <c r="S490" s="154">
        <v>329744</v>
      </c>
      <c r="T490" s="154">
        <v>329907</v>
      </c>
      <c r="U490" s="154">
        <v>330074</v>
      </c>
      <c r="V490" s="154">
        <v>330300</v>
      </c>
      <c r="W490" s="154">
        <v>330478</v>
      </c>
      <c r="X490" s="154">
        <v>330650</v>
      </c>
      <c r="Y490" s="154">
        <v>330816</v>
      </c>
      <c r="Z490" s="154">
        <v>331040</v>
      </c>
      <c r="AA490" s="154">
        <v>331221</v>
      </c>
      <c r="AB490" s="154">
        <v>331385</v>
      </c>
      <c r="AC490" s="154">
        <v>331624</v>
      </c>
      <c r="AD490" s="154">
        <v>331800</v>
      </c>
      <c r="AE490" s="154">
        <v>331964</v>
      </c>
      <c r="AF490" s="154">
        <v>332198</v>
      </c>
      <c r="AG490" s="154">
        <v>332349</v>
      </c>
      <c r="AH490" s="154">
        <v>332576</v>
      </c>
      <c r="AI490" s="154">
        <v>332757</v>
      </c>
      <c r="AJ490" s="154">
        <v>332922</v>
      </c>
      <c r="AK490" s="154">
        <v>333168</v>
      </c>
      <c r="AL490" s="154">
        <v>333424</v>
      </c>
      <c r="AS490">
        <v>490</v>
      </c>
    </row>
    <row r="491" spans="1:46" hidden="1" x14ac:dyDescent="0.25">
      <c r="A491">
        <v>490</v>
      </c>
      <c r="B491">
        <v>2025</v>
      </c>
      <c r="C491">
        <v>8</v>
      </c>
      <c r="D491" t="s">
        <v>267</v>
      </c>
      <c r="E491">
        <v>31</v>
      </c>
      <c r="F491">
        <v>7</v>
      </c>
      <c r="G491" t="s">
        <v>537</v>
      </c>
      <c r="H491" s="154">
        <v>327918</v>
      </c>
      <c r="I491" s="154">
        <v>328085</v>
      </c>
      <c r="J491" s="154">
        <v>328280</v>
      </c>
      <c r="K491" s="154">
        <v>328464</v>
      </c>
      <c r="L491" s="154">
        <v>328688</v>
      </c>
      <c r="M491" s="154">
        <v>328857</v>
      </c>
      <c r="N491" s="154">
        <v>329037</v>
      </c>
      <c r="O491" s="154">
        <v>329279</v>
      </c>
      <c r="P491" s="154">
        <v>329503</v>
      </c>
      <c r="Q491" s="154" t="s">
        <v>424</v>
      </c>
      <c r="R491" s="154">
        <v>329744</v>
      </c>
      <c r="S491" s="154">
        <v>329907</v>
      </c>
      <c r="T491" s="154">
        <v>330074</v>
      </c>
      <c r="U491" s="154">
        <v>330300</v>
      </c>
      <c r="V491" s="154">
        <v>330478</v>
      </c>
      <c r="W491" s="154">
        <v>330650</v>
      </c>
      <c r="X491" s="154">
        <v>330816</v>
      </c>
      <c r="Y491" s="154">
        <v>331040</v>
      </c>
      <c r="Z491" s="154">
        <v>331221</v>
      </c>
      <c r="AA491" s="154">
        <v>331385</v>
      </c>
      <c r="AB491" s="154">
        <v>331624</v>
      </c>
      <c r="AC491" s="154">
        <v>331800</v>
      </c>
      <c r="AD491" s="154">
        <v>331964</v>
      </c>
      <c r="AE491" s="154">
        <v>332198</v>
      </c>
      <c r="AF491" s="154">
        <v>332349</v>
      </c>
      <c r="AG491" s="154">
        <v>332576</v>
      </c>
      <c r="AH491" s="154">
        <v>332757</v>
      </c>
      <c r="AI491" s="154">
        <v>332922</v>
      </c>
      <c r="AJ491" s="154">
        <v>333168</v>
      </c>
      <c r="AK491" s="154">
        <v>333424</v>
      </c>
      <c r="AL491" s="154">
        <v>333649</v>
      </c>
      <c r="AP491" cm="1">
        <f t="array" ref="AP491">IF(AQ491="","",SUM(IFERROR(H491:AL491-H490:AL490,0))*AQ491/100)-AM489*4</f>
        <v>756.3</v>
      </c>
      <c r="AQ491">
        <f>_xlfn.XLOOKUP(D491,log_prices!M:M,log_prices!L:L,,0)</f>
        <v>15</v>
      </c>
      <c r="AR491" t="s">
        <v>539</v>
      </c>
      <c r="AS491">
        <v>491</v>
      </c>
      <c r="AT491" cm="1">
        <f t="array" ref="AT491">IF(AQ491="","",SUM(IFERROR(H491:AL491-H490:AL490,0)))</f>
        <v>5842</v>
      </c>
    </row>
    <row r="492" spans="1:46" hidden="1" x14ac:dyDescent="0.25">
      <c r="A492">
        <v>491</v>
      </c>
      <c r="B492">
        <v>2025</v>
      </c>
      <c r="C492">
        <v>9</v>
      </c>
      <c r="D492" t="s">
        <v>259</v>
      </c>
      <c r="E492">
        <v>31</v>
      </c>
      <c r="F492">
        <v>8</v>
      </c>
      <c r="G492" t="s">
        <v>534</v>
      </c>
      <c r="H492" s="154" t="s">
        <v>481</v>
      </c>
      <c r="I492" s="154" t="s">
        <v>481</v>
      </c>
      <c r="J492" s="154" t="s">
        <v>481</v>
      </c>
      <c r="K492" s="154" t="s">
        <v>481</v>
      </c>
      <c r="L492" s="154" t="s">
        <v>481</v>
      </c>
      <c r="M492" s="154" t="s">
        <v>481</v>
      </c>
      <c r="N492" s="154" t="s">
        <v>481</v>
      </c>
      <c r="O492" s="154" t="s">
        <v>481</v>
      </c>
      <c r="P492" s="154" t="s">
        <v>481</v>
      </c>
      <c r="Q492" s="154" t="s">
        <v>481</v>
      </c>
      <c r="R492" s="154" t="s">
        <v>481</v>
      </c>
      <c r="S492" s="154" t="s">
        <v>481</v>
      </c>
      <c r="T492" s="154" t="s">
        <v>481</v>
      </c>
      <c r="U492" s="154" t="s">
        <v>481</v>
      </c>
      <c r="V492" s="154" t="s">
        <v>481</v>
      </c>
      <c r="W492" s="154" t="s">
        <v>481</v>
      </c>
      <c r="X492" s="154" t="s">
        <v>481</v>
      </c>
      <c r="Y492" s="154" t="s">
        <v>481</v>
      </c>
      <c r="Z492" s="154" t="s">
        <v>481</v>
      </c>
      <c r="AA492" s="154" t="s">
        <v>481</v>
      </c>
      <c r="AB492" s="154" t="s">
        <v>481</v>
      </c>
      <c r="AC492" s="154" t="s">
        <v>481</v>
      </c>
      <c r="AD492" s="154" t="s">
        <v>481</v>
      </c>
      <c r="AE492" s="154" t="s">
        <v>481</v>
      </c>
      <c r="AF492" s="154" t="s">
        <v>481</v>
      </c>
      <c r="AG492" s="154" t="s">
        <v>481</v>
      </c>
      <c r="AH492" s="154" t="s">
        <v>481</v>
      </c>
      <c r="AI492" s="154" t="s">
        <v>481</v>
      </c>
      <c r="AJ492" s="154" t="s">
        <v>481</v>
      </c>
      <c r="AK492" s="154" t="s">
        <v>481</v>
      </c>
      <c r="AL492" s="154" t="s">
        <v>424</v>
      </c>
      <c r="AS492">
        <v>492</v>
      </c>
    </row>
    <row r="493" spans="1:46" hidden="1" x14ac:dyDescent="0.25">
      <c r="A493">
        <v>492</v>
      </c>
      <c r="B493">
        <v>2025</v>
      </c>
      <c r="C493">
        <v>9</v>
      </c>
      <c r="D493" t="s">
        <v>259</v>
      </c>
      <c r="E493">
        <v>31</v>
      </c>
      <c r="F493">
        <v>8</v>
      </c>
      <c r="G493" t="s">
        <v>535</v>
      </c>
      <c r="H493" s="154">
        <v>0.77083333333333326</v>
      </c>
      <c r="I493" s="154">
        <v>0.77083333333333326</v>
      </c>
      <c r="J493" s="154">
        <v>0.77083333333333326</v>
      </c>
      <c r="K493" s="154">
        <v>0.77083333333333326</v>
      </c>
      <c r="L493" s="154">
        <v>0.77083333333333326</v>
      </c>
      <c r="M493" s="154">
        <v>0.77083333333333326</v>
      </c>
      <c r="N493" s="154">
        <v>0.77083333333333326</v>
      </c>
      <c r="O493" s="154">
        <v>0.77083333333333326</v>
      </c>
      <c r="P493" s="154">
        <v>0.77083333333333326</v>
      </c>
      <c r="Q493" s="154">
        <v>0.77083333333333326</v>
      </c>
      <c r="R493" s="154">
        <v>0.85416666666666663</v>
      </c>
      <c r="S493" s="154">
        <v>0.77083333333333326</v>
      </c>
      <c r="T493" s="154">
        <v>0.77083333333333326</v>
      </c>
      <c r="U493" s="154">
        <v>0.77083333333333326</v>
      </c>
      <c r="V493" s="154">
        <v>0.77083333333333326</v>
      </c>
      <c r="W493" s="154">
        <v>0.77083333333333326</v>
      </c>
      <c r="X493" s="154">
        <v>0.77083333333333326</v>
      </c>
      <c r="Y493" s="154">
        <v>0.77083333333333326</v>
      </c>
      <c r="Z493" s="154">
        <v>0.77083333333333326</v>
      </c>
      <c r="AA493" s="154">
        <v>0.77083333333333326</v>
      </c>
      <c r="AB493" s="154">
        <v>0.77083333333333326</v>
      </c>
      <c r="AC493" s="154">
        <v>0.77083333333333326</v>
      </c>
      <c r="AD493" s="154">
        <v>0.89583333333333326</v>
      </c>
      <c r="AE493" s="154">
        <v>0.77083333333333326</v>
      </c>
      <c r="AF493" s="154">
        <v>0.85416666666666663</v>
      </c>
      <c r="AG493" s="154">
        <v>0.77083333333333326</v>
      </c>
      <c r="AH493" s="154">
        <v>0.77083333333333326</v>
      </c>
      <c r="AI493" s="154">
        <v>0.77083333333333326</v>
      </c>
      <c r="AJ493" s="154">
        <v>0.77083333333333326</v>
      </c>
      <c r="AK493" s="154">
        <v>0.77083333333333326</v>
      </c>
      <c r="AL493" s="154" t="s">
        <v>424</v>
      </c>
      <c r="AM493" cm="1">
        <f t="array" ref="AM493">SUM(_xlfn.LET(_xlpm.r,((IFERROR(H493:AL493-H492:AL492,0))*24)/10,IF(_xlpm.r&gt;1,1,_xlpm.r)))</f>
        <v>30</v>
      </c>
      <c r="AO493" cm="1">
        <f t="array" ref="AO493">SUM(IFERROR(MOD((H493:AL493-H492:AL492)*24,11),""))</f>
        <v>67</v>
      </c>
      <c r="AS493">
        <v>493</v>
      </c>
    </row>
    <row r="494" spans="1:46" hidden="1" x14ac:dyDescent="0.25">
      <c r="A494">
        <v>493</v>
      </c>
      <c r="B494">
        <v>2025</v>
      </c>
      <c r="C494">
        <v>9</v>
      </c>
      <c r="D494" t="s">
        <v>269</v>
      </c>
      <c r="E494">
        <v>31</v>
      </c>
      <c r="F494">
        <v>8</v>
      </c>
      <c r="G494" t="s">
        <v>534</v>
      </c>
      <c r="H494" s="154" t="s">
        <v>479</v>
      </c>
      <c r="I494" s="154" t="s">
        <v>479</v>
      </c>
      <c r="J494" s="154" t="s">
        <v>479</v>
      </c>
      <c r="K494" s="154" t="s">
        <v>479</v>
      </c>
      <c r="L494" s="154" t="s">
        <v>479</v>
      </c>
      <c r="M494" s="154" t="s">
        <v>479</v>
      </c>
      <c r="N494" s="154" t="s">
        <v>479</v>
      </c>
      <c r="O494" s="154" t="s">
        <v>479</v>
      </c>
      <c r="P494" s="154" t="s">
        <v>479</v>
      </c>
      <c r="Q494" s="154" t="s">
        <v>479</v>
      </c>
      <c r="R494" s="154" t="s">
        <v>479</v>
      </c>
      <c r="S494" s="154" t="s">
        <v>479</v>
      </c>
      <c r="T494" s="154" t="s">
        <v>479</v>
      </c>
      <c r="U494" s="154" t="s">
        <v>424</v>
      </c>
      <c r="V494" s="154" t="s">
        <v>479</v>
      </c>
      <c r="W494" s="154" t="s">
        <v>479</v>
      </c>
      <c r="X494" s="154" t="s">
        <v>479</v>
      </c>
      <c r="Y494" s="154" t="s">
        <v>479</v>
      </c>
      <c r="Z494" s="154" t="s">
        <v>479</v>
      </c>
      <c r="AA494" s="154" t="s">
        <v>479</v>
      </c>
      <c r="AB494" s="154" t="s">
        <v>479</v>
      </c>
      <c r="AC494" s="154" t="s">
        <v>479</v>
      </c>
      <c r="AD494" s="154" t="s">
        <v>479</v>
      </c>
      <c r="AE494" s="154" t="s">
        <v>479</v>
      </c>
      <c r="AF494" s="154" t="s">
        <v>479</v>
      </c>
      <c r="AG494" s="154" t="s">
        <v>479</v>
      </c>
      <c r="AH494" s="154" t="s">
        <v>479</v>
      </c>
      <c r="AI494" s="154" t="s">
        <v>479</v>
      </c>
      <c r="AJ494" s="154" t="s">
        <v>479</v>
      </c>
      <c r="AK494" s="154" t="s">
        <v>479</v>
      </c>
      <c r="AL494" s="154" t="s">
        <v>424</v>
      </c>
      <c r="AS494">
        <v>494</v>
      </c>
    </row>
    <row r="495" spans="1:46" hidden="1" x14ac:dyDescent="0.25">
      <c r="A495">
        <v>494</v>
      </c>
      <c r="B495">
        <v>2025</v>
      </c>
      <c r="C495">
        <v>9</v>
      </c>
      <c r="D495" t="s">
        <v>269</v>
      </c>
      <c r="E495">
        <v>31</v>
      </c>
      <c r="F495">
        <v>8</v>
      </c>
      <c r="G495" t="s">
        <v>535</v>
      </c>
      <c r="H495" s="154" t="s">
        <v>493</v>
      </c>
      <c r="I495" s="154" t="s">
        <v>493</v>
      </c>
      <c r="J495" s="154" t="s">
        <v>480</v>
      </c>
      <c r="K495" s="154" t="s">
        <v>480</v>
      </c>
      <c r="L495" s="154" t="s">
        <v>520</v>
      </c>
      <c r="M495" s="154" t="s">
        <v>480</v>
      </c>
      <c r="N495" s="154" t="s">
        <v>480</v>
      </c>
      <c r="O495" s="154" t="s">
        <v>493</v>
      </c>
      <c r="P495" s="154" t="s">
        <v>524</v>
      </c>
      <c r="Q495" s="154" t="s">
        <v>494</v>
      </c>
      <c r="R495" s="154" t="s">
        <v>493</v>
      </c>
      <c r="S495" s="154" t="s">
        <v>480</v>
      </c>
      <c r="T495" s="154" t="s">
        <v>480</v>
      </c>
      <c r="U495" s="154" t="s">
        <v>424</v>
      </c>
      <c r="V495" s="154" t="s">
        <v>480</v>
      </c>
      <c r="W495" s="154" t="s">
        <v>494</v>
      </c>
      <c r="X495" s="154" t="s">
        <v>524</v>
      </c>
      <c r="Y495" s="154" t="s">
        <v>494</v>
      </c>
      <c r="Z495" s="154" t="s">
        <v>493</v>
      </c>
      <c r="AA495" s="154" t="s">
        <v>524</v>
      </c>
      <c r="AB495" s="154" t="s">
        <v>494</v>
      </c>
      <c r="AC495" s="154" t="s">
        <v>494</v>
      </c>
      <c r="AD495" s="154" t="s">
        <v>493</v>
      </c>
      <c r="AE495" s="154" t="s">
        <v>494</v>
      </c>
      <c r="AF495" s="154" t="s">
        <v>524</v>
      </c>
      <c r="AG495" s="154" t="s">
        <v>493</v>
      </c>
      <c r="AH495" s="154" t="s">
        <v>480</v>
      </c>
      <c r="AI495" s="154" t="s">
        <v>480</v>
      </c>
      <c r="AJ495" s="154" t="s">
        <v>494</v>
      </c>
      <c r="AK495" s="154" t="s">
        <v>480</v>
      </c>
      <c r="AL495" s="154" t="s">
        <v>424</v>
      </c>
      <c r="AM495" cm="1">
        <f t="array" ref="AM495">SUM(_xlfn.LET(_xlpm.r,((IFERROR(H495:AL495-H494:AL494,0))*24)/10,IF(_xlpm.r&gt;1,1,_xlpm.r)))</f>
        <v>29</v>
      </c>
      <c r="AO495" cm="1">
        <f t="array" ref="AO495">SUM(IFERROR(MOD((H495:AL495-H494:AL494)*24,11),""))</f>
        <v>57.500000000000007</v>
      </c>
      <c r="AS495">
        <v>495</v>
      </c>
    </row>
    <row r="496" spans="1:46" hidden="1" x14ac:dyDescent="0.25">
      <c r="A496">
        <v>495</v>
      </c>
      <c r="B496">
        <v>2025</v>
      </c>
      <c r="C496">
        <v>9</v>
      </c>
      <c r="D496" t="s">
        <v>258</v>
      </c>
      <c r="E496">
        <v>31</v>
      </c>
      <c r="F496">
        <v>8</v>
      </c>
      <c r="G496" t="s">
        <v>534</v>
      </c>
      <c r="H496" s="154" t="s">
        <v>479</v>
      </c>
      <c r="I496" s="154" t="s">
        <v>479</v>
      </c>
      <c r="J496" s="154" t="s">
        <v>479</v>
      </c>
      <c r="K496" s="154" t="s">
        <v>479</v>
      </c>
      <c r="L496" s="154" t="s">
        <v>479</v>
      </c>
      <c r="M496" s="154" t="s">
        <v>479</v>
      </c>
      <c r="N496" s="154" t="s">
        <v>479</v>
      </c>
      <c r="O496" s="154" t="s">
        <v>479</v>
      </c>
      <c r="P496" s="154" t="s">
        <v>479</v>
      </c>
      <c r="Q496" s="154" t="s">
        <v>479</v>
      </c>
      <c r="R496" s="154" t="s">
        <v>479</v>
      </c>
      <c r="S496" s="154" t="s">
        <v>479</v>
      </c>
      <c r="T496" s="154" t="s">
        <v>479</v>
      </c>
      <c r="U496" s="154" t="s">
        <v>479</v>
      </c>
      <c r="V496" s="154" t="s">
        <v>479</v>
      </c>
      <c r="W496" s="154" t="s">
        <v>479</v>
      </c>
      <c r="X496" s="154" t="s">
        <v>479</v>
      </c>
      <c r="Y496" s="154" t="s">
        <v>479</v>
      </c>
      <c r="Z496" s="154" t="s">
        <v>479</v>
      </c>
      <c r="AA496" s="154" t="s">
        <v>479</v>
      </c>
      <c r="AB496" s="154" t="s">
        <v>479</v>
      </c>
      <c r="AC496" s="154" t="s">
        <v>479</v>
      </c>
      <c r="AD496" s="154" t="s">
        <v>479</v>
      </c>
      <c r="AE496" s="154" t="s">
        <v>479</v>
      </c>
      <c r="AF496" s="154" t="s">
        <v>479</v>
      </c>
      <c r="AG496" s="154" t="s">
        <v>479</v>
      </c>
      <c r="AH496" s="154" t="s">
        <v>479</v>
      </c>
      <c r="AI496" s="154" t="s">
        <v>479</v>
      </c>
      <c r="AJ496" s="154" t="s">
        <v>479</v>
      </c>
      <c r="AK496" s="154" t="s">
        <v>479</v>
      </c>
      <c r="AL496" s="154" t="s">
        <v>424</v>
      </c>
      <c r="AS496">
        <v>496</v>
      </c>
    </row>
    <row r="497" spans="1:45" hidden="1" x14ac:dyDescent="0.25">
      <c r="A497">
        <v>496</v>
      </c>
      <c r="B497">
        <v>2025</v>
      </c>
      <c r="C497">
        <v>9</v>
      </c>
      <c r="D497" t="s">
        <v>258</v>
      </c>
      <c r="E497">
        <v>31</v>
      </c>
      <c r="F497">
        <v>8</v>
      </c>
      <c r="G497" t="s">
        <v>535</v>
      </c>
      <c r="H497" s="154">
        <v>0.875</v>
      </c>
      <c r="I497" s="154">
        <v>0.875</v>
      </c>
      <c r="J497" s="154">
        <v>0.875</v>
      </c>
      <c r="K497" s="154">
        <v>0.75</v>
      </c>
      <c r="L497" s="154">
        <v>0.875</v>
      </c>
      <c r="M497" s="154">
        <v>0.91666666666666674</v>
      </c>
      <c r="N497" s="154">
        <v>0.91666666666666674</v>
      </c>
      <c r="O497" s="154">
        <v>0.75</v>
      </c>
      <c r="P497" s="154">
        <v>0.95833333333333326</v>
      </c>
      <c r="Q497" s="154">
        <v>0.75</v>
      </c>
      <c r="R497" s="154">
        <v>0.95833333333333326</v>
      </c>
      <c r="S497" s="154">
        <v>0.91666666666666674</v>
      </c>
      <c r="T497" s="154">
        <v>0.75</v>
      </c>
      <c r="U497" s="154">
        <v>0.75</v>
      </c>
      <c r="V497" s="154">
        <v>0.875</v>
      </c>
      <c r="W497" s="154">
        <v>0.91666666666666674</v>
      </c>
      <c r="X497" s="154">
        <v>0.75</v>
      </c>
      <c r="Y497" s="154">
        <v>0.95833333333333326</v>
      </c>
      <c r="Z497" s="154">
        <v>0.75</v>
      </c>
      <c r="AA497" s="154">
        <v>0.875</v>
      </c>
      <c r="AB497" s="154">
        <v>0.75</v>
      </c>
      <c r="AC497" s="154">
        <v>0.95833333333333326</v>
      </c>
      <c r="AD497" s="154">
        <v>0.75</v>
      </c>
      <c r="AE497" s="154">
        <v>0.875</v>
      </c>
      <c r="AF497" s="154">
        <v>0.875</v>
      </c>
      <c r="AG497" s="154">
        <v>0.75</v>
      </c>
      <c r="AH497" s="154">
        <v>0.95833333333333326</v>
      </c>
      <c r="AI497" s="154">
        <v>0.75</v>
      </c>
      <c r="AJ497" s="154">
        <v>0.95833333333333326</v>
      </c>
      <c r="AK497" s="154">
        <v>0.75</v>
      </c>
      <c r="AL497" s="154" t="s">
        <v>424</v>
      </c>
      <c r="AM497" cm="1">
        <f t="array" ref="AM497">SUM(_xlfn.LET(_xlpm.r,((IFERROR(H497:AL497-H496:AL496,0))*24)/10,IF(_xlpm.r&gt;1,1,_xlpm.r)))</f>
        <v>30</v>
      </c>
      <c r="AO497" cm="1">
        <f t="array" ref="AO497">SUM(IFERROR(MOD((H497:AL497-H496:AL496)*24,11),""))</f>
        <v>69.999999999999986</v>
      </c>
      <c r="AS497">
        <v>497</v>
      </c>
    </row>
    <row r="498" spans="1:45" hidden="1" x14ac:dyDescent="0.25">
      <c r="A498">
        <v>497</v>
      </c>
      <c r="B498">
        <v>2025</v>
      </c>
      <c r="C498">
        <v>9</v>
      </c>
      <c r="D498" t="s">
        <v>257</v>
      </c>
      <c r="E498">
        <v>31</v>
      </c>
      <c r="F498">
        <v>8</v>
      </c>
      <c r="G498" t="s">
        <v>534</v>
      </c>
      <c r="H498" s="154" t="s">
        <v>479</v>
      </c>
      <c r="I498" s="154" t="s">
        <v>479</v>
      </c>
      <c r="J498" s="154" t="s">
        <v>479</v>
      </c>
      <c r="K498" s="154" t="s">
        <v>479</v>
      </c>
      <c r="L498" s="154" t="s">
        <v>479</v>
      </c>
      <c r="M498" s="154" t="s">
        <v>479</v>
      </c>
      <c r="N498" s="154" t="s">
        <v>479</v>
      </c>
      <c r="O498" s="154" t="s">
        <v>479</v>
      </c>
      <c r="P498" s="154" t="s">
        <v>479</v>
      </c>
      <c r="Q498" s="154" t="s">
        <v>479</v>
      </c>
      <c r="R498" s="154" t="s">
        <v>479</v>
      </c>
      <c r="S498" s="154" t="s">
        <v>479</v>
      </c>
      <c r="T498" s="154" t="s">
        <v>479</v>
      </c>
      <c r="U498" s="154" t="s">
        <v>424</v>
      </c>
      <c r="V498" s="154" t="s">
        <v>479</v>
      </c>
      <c r="W498" s="154" t="s">
        <v>479</v>
      </c>
      <c r="X498" s="154" t="s">
        <v>479</v>
      </c>
      <c r="Y498" s="154" t="s">
        <v>479</v>
      </c>
      <c r="Z498" s="154" t="s">
        <v>479</v>
      </c>
      <c r="AA498" s="154" t="s">
        <v>479</v>
      </c>
      <c r="AB498" s="154" t="s">
        <v>479</v>
      </c>
      <c r="AC498" s="154" t="s">
        <v>479</v>
      </c>
      <c r="AD498" s="154" t="s">
        <v>479</v>
      </c>
      <c r="AE498" s="154" t="s">
        <v>479</v>
      </c>
      <c r="AF498" s="154" t="s">
        <v>479</v>
      </c>
      <c r="AG498" s="154" t="s">
        <v>479</v>
      </c>
      <c r="AH498" s="154" t="s">
        <v>479</v>
      </c>
      <c r="AI498" s="154" t="s">
        <v>479</v>
      </c>
      <c r="AJ498" s="154" t="s">
        <v>479</v>
      </c>
      <c r="AK498" s="154" t="s">
        <v>479</v>
      </c>
      <c r="AL498" s="154" t="s">
        <v>424</v>
      </c>
      <c r="AS498">
        <v>498</v>
      </c>
    </row>
    <row r="499" spans="1:45" hidden="1" x14ac:dyDescent="0.25">
      <c r="A499">
        <v>498</v>
      </c>
      <c r="B499">
        <v>2025</v>
      </c>
      <c r="C499">
        <v>9</v>
      </c>
      <c r="D499" t="s">
        <v>257</v>
      </c>
      <c r="E499">
        <v>31</v>
      </c>
      <c r="F499">
        <v>8</v>
      </c>
      <c r="G499" t="s">
        <v>535</v>
      </c>
      <c r="H499" s="154" t="s">
        <v>480</v>
      </c>
      <c r="I499" s="154" t="s">
        <v>480</v>
      </c>
      <c r="J499" s="154" t="s">
        <v>480</v>
      </c>
      <c r="K499" s="154" t="s">
        <v>480</v>
      </c>
      <c r="L499" s="154" t="s">
        <v>480</v>
      </c>
      <c r="M499" s="154" t="s">
        <v>480</v>
      </c>
      <c r="N499" s="154" t="s">
        <v>480</v>
      </c>
      <c r="O499" s="154" t="s">
        <v>480</v>
      </c>
      <c r="P499" s="154" t="s">
        <v>480</v>
      </c>
      <c r="Q499" s="154" t="s">
        <v>480</v>
      </c>
      <c r="R499" s="154" t="s">
        <v>480</v>
      </c>
      <c r="S499" s="154" t="s">
        <v>480</v>
      </c>
      <c r="T499" s="154" t="s">
        <v>480</v>
      </c>
      <c r="U499" s="154" t="s">
        <v>424</v>
      </c>
      <c r="V499" s="154" t="s">
        <v>480</v>
      </c>
      <c r="W499" s="154" t="s">
        <v>480</v>
      </c>
      <c r="X499" s="154" t="s">
        <v>480</v>
      </c>
      <c r="Y499" s="154" t="s">
        <v>480</v>
      </c>
      <c r="Z499" s="154" t="s">
        <v>480</v>
      </c>
      <c r="AA499" s="154" t="s">
        <v>480</v>
      </c>
      <c r="AB499" s="154" t="s">
        <v>480</v>
      </c>
      <c r="AC499" s="154" t="s">
        <v>480</v>
      </c>
      <c r="AD499" s="154" t="s">
        <v>480</v>
      </c>
      <c r="AE499" s="154" t="s">
        <v>480</v>
      </c>
      <c r="AF499" s="154" t="s">
        <v>480</v>
      </c>
      <c r="AG499" s="154" t="s">
        <v>480</v>
      </c>
      <c r="AH499" s="154" t="s">
        <v>480</v>
      </c>
      <c r="AI499" s="154" t="s">
        <v>480</v>
      </c>
      <c r="AJ499" s="154" t="s">
        <v>480</v>
      </c>
      <c r="AK499" s="154" t="s">
        <v>480</v>
      </c>
      <c r="AL499" s="154" t="s">
        <v>424</v>
      </c>
      <c r="AM499" cm="1">
        <f t="array" ref="AM499">SUM(_xlfn.LET(_xlpm.r,((IFERROR(H499:AL499-H498:AL498,0))*24)/10,IF(_xlpm.r&gt;1,1,_xlpm.r)))</f>
        <v>29</v>
      </c>
      <c r="AO499" cm="1">
        <f t="array" ref="AO499">SUM(IFERROR(MOD((H499:AL499-H498:AL498)*24,11),""))</f>
        <v>0</v>
      </c>
      <c r="AS499">
        <v>499</v>
      </c>
    </row>
    <row r="500" spans="1:45" hidden="1" x14ac:dyDescent="0.25">
      <c r="A500">
        <v>499</v>
      </c>
      <c r="B500">
        <v>2025</v>
      </c>
      <c r="C500">
        <v>9</v>
      </c>
      <c r="D500" t="s">
        <v>266</v>
      </c>
      <c r="E500">
        <v>31</v>
      </c>
      <c r="F500">
        <v>8</v>
      </c>
      <c r="G500" t="s">
        <v>534</v>
      </c>
      <c r="H500" s="154" t="s">
        <v>486</v>
      </c>
      <c r="I500" s="154" t="s">
        <v>486</v>
      </c>
      <c r="J500" s="154" t="s">
        <v>486</v>
      </c>
      <c r="K500" s="154" t="s">
        <v>486</v>
      </c>
      <c r="L500" s="154" t="s">
        <v>486</v>
      </c>
      <c r="M500" s="154" t="s">
        <v>486</v>
      </c>
      <c r="N500" s="154" t="s">
        <v>486</v>
      </c>
      <c r="O500" s="154" t="s">
        <v>486</v>
      </c>
      <c r="P500" s="154" t="s">
        <v>486</v>
      </c>
      <c r="Q500" s="154" t="s">
        <v>486</v>
      </c>
      <c r="R500" s="154" t="s">
        <v>486</v>
      </c>
      <c r="S500" s="154" t="s">
        <v>486</v>
      </c>
      <c r="T500" s="154" t="s">
        <v>486</v>
      </c>
      <c r="U500" s="154" t="s">
        <v>424</v>
      </c>
      <c r="V500" s="154" t="s">
        <v>486</v>
      </c>
      <c r="W500" s="154" t="s">
        <v>486</v>
      </c>
      <c r="X500" s="154" t="s">
        <v>486</v>
      </c>
      <c r="Y500" s="154" t="s">
        <v>486</v>
      </c>
      <c r="Z500" s="154" t="s">
        <v>486</v>
      </c>
      <c r="AA500" s="154" t="s">
        <v>486</v>
      </c>
      <c r="AB500" s="154" t="s">
        <v>486</v>
      </c>
      <c r="AC500" s="154" t="s">
        <v>486</v>
      </c>
      <c r="AD500" s="154" t="s">
        <v>486</v>
      </c>
      <c r="AE500" s="154" t="s">
        <v>486</v>
      </c>
      <c r="AF500" s="154" t="s">
        <v>486</v>
      </c>
      <c r="AG500" s="154" t="s">
        <v>486</v>
      </c>
      <c r="AH500" s="154" t="s">
        <v>486</v>
      </c>
      <c r="AI500" s="154" t="s">
        <v>486</v>
      </c>
      <c r="AJ500" s="154" t="s">
        <v>486</v>
      </c>
      <c r="AK500" s="154" t="s">
        <v>486</v>
      </c>
      <c r="AL500" s="154" t="s">
        <v>424</v>
      </c>
      <c r="AS500">
        <v>500</v>
      </c>
    </row>
    <row r="501" spans="1:45" hidden="1" x14ac:dyDescent="0.25">
      <c r="A501">
        <v>500</v>
      </c>
      <c r="B501">
        <v>2025</v>
      </c>
      <c r="C501">
        <v>9</v>
      </c>
      <c r="D501" t="s">
        <v>266</v>
      </c>
      <c r="E501">
        <v>31</v>
      </c>
      <c r="F501">
        <v>8</v>
      </c>
      <c r="G501" t="s">
        <v>535</v>
      </c>
      <c r="H501" s="154">
        <v>0.79166666666666674</v>
      </c>
      <c r="I501" s="154">
        <v>0.79166666666666674</v>
      </c>
      <c r="J501" s="154">
        <v>0.79166666666666674</v>
      </c>
      <c r="K501" s="154">
        <v>0.79166666666666674</v>
      </c>
      <c r="L501" s="154">
        <v>0.79166666666666674</v>
      </c>
      <c r="M501" s="154">
        <v>0.79166666666666674</v>
      </c>
      <c r="N501" s="154">
        <v>0.79166666666666674</v>
      </c>
      <c r="O501" s="154">
        <v>0.79166666666666674</v>
      </c>
      <c r="P501" s="154">
        <v>0.79166666666666674</v>
      </c>
      <c r="Q501" s="154">
        <v>0.79166666666666674</v>
      </c>
      <c r="R501" s="154">
        <v>0.79166666666666674</v>
      </c>
      <c r="S501" s="154">
        <v>0.79166666666666674</v>
      </c>
      <c r="T501" s="154">
        <v>0.79166666666666674</v>
      </c>
      <c r="U501" s="154" t="s">
        <v>424</v>
      </c>
      <c r="V501" s="154">
        <v>0.79166666666666674</v>
      </c>
      <c r="W501" s="154">
        <v>0.79166666666666674</v>
      </c>
      <c r="X501" s="154">
        <v>0.79166666666666674</v>
      </c>
      <c r="Y501" s="154">
        <v>0.79166666666666674</v>
      </c>
      <c r="Z501" s="154">
        <v>0.79166666666666674</v>
      </c>
      <c r="AA501" s="154">
        <v>0.79166666666666674</v>
      </c>
      <c r="AB501" s="154">
        <v>0.79166666666666674</v>
      </c>
      <c r="AC501" s="154">
        <v>0.79166666666666674</v>
      </c>
      <c r="AD501" s="154">
        <v>0.79166666666666674</v>
      </c>
      <c r="AE501" s="154">
        <v>0.79166666666666674</v>
      </c>
      <c r="AF501" s="154">
        <v>0.79166666666666674</v>
      </c>
      <c r="AG501" s="154">
        <v>0.79166666666666674</v>
      </c>
      <c r="AH501" s="154">
        <v>0.79166666666666674</v>
      </c>
      <c r="AI501" s="154">
        <v>0.79166666666666674</v>
      </c>
      <c r="AJ501" s="154">
        <v>0.79166666666666674</v>
      </c>
      <c r="AK501" s="154">
        <v>0.79166666666666674</v>
      </c>
      <c r="AL501" s="154" t="s">
        <v>424</v>
      </c>
      <c r="AM501" cm="1">
        <f t="array" ref="AM501">SUM(_xlfn.LET(_xlpm.r,((IFERROR(H501:AL501-H500:AL500,0))*24)/10,IF(_xlpm.r&gt;1,1,_xlpm.r)))</f>
        <v>29</v>
      </c>
      <c r="AO501" cm="1">
        <f t="array" ref="AO501">SUM(IFERROR(MOD((H501:AL501-H500:AL500)*24,11),""))</f>
        <v>87</v>
      </c>
      <c r="AS501">
        <v>501</v>
      </c>
    </row>
    <row r="502" spans="1:45" hidden="1" x14ac:dyDescent="0.25">
      <c r="A502">
        <v>501</v>
      </c>
      <c r="B502">
        <v>2025</v>
      </c>
      <c r="C502">
        <v>9</v>
      </c>
      <c r="D502" t="s">
        <v>275</v>
      </c>
      <c r="E502">
        <v>31</v>
      </c>
      <c r="F502">
        <v>8</v>
      </c>
      <c r="G502" t="s">
        <v>534</v>
      </c>
      <c r="H502" s="154" t="s">
        <v>479</v>
      </c>
      <c r="I502" s="154" t="s">
        <v>479</v>
      </c>
      <c r="J502" s="154" t="s">
        <v>479</v>
      </c>
      <c r="K502" s="154" t="s">
        <v>479</v>
      </c>
      <c r="L502" s="154" t="s">
        <v>479</v>
      </c>
      <c r="M502" s="154" t="s">
        <v>479</v>
      </c>
      <c r="N502" s="154" t="s">
        <v>479</v>
      </c>
      <c r="O502" s="154" t="s">
        <v>479</v>
      </c>
      <c r="P502" s="154" t="s">
        <v>479</v>
      </c>
      <c r="Q502" s="154" t="s">
        <v>479</v>
      </c>
      <c r="R502" s="154" t="s">
        <v>479</v>
      </c>
      <c r="S502" s="154" t="s">
        <v>479</v>
      </c>
      <c r="T502" s="154" t="s">
        <v>479</v>
      </c>
      <c r="U502" s="154" t="s">
        <v>479</v>
      </c>
      <c r="V502" s="154" t="s">
        <v>479</v>
      </c>
      <c r="W502" s="154" t="s">
        <v>479</v>
      </c>
      <c r="X502" s="154" t="s">
        <v>479</v>
      </c>
      <c r="Y502" s="154" t="s">
        <v>479</v>
      </c>
      <c r="Z502" s="154" t="s">
        <v>479</v>
      </c>
      <c r="AA502" s="154" t="s">
        <v>479</v>
      </c>
      <c r="AB502" s="154" t="s">
        <v>479</v>
      </c>
      <c r="AC502" s="154" t="s">
        <v>479</v>
      </c>
      <c r="AD502" s="154" t="s">
        <v>479</v>
      </c>
      <c r="AE502" s="154" t="s">
        <v>479</v>
      </c>
      <c r="AF502" s="154" t="s">
        <v>479</v>
      </c>
      <c r="AG502" s="154" t="s">
        <v>479</v>
      </c>
      <c r="AH502" s="154" t="s">
        <v>479</v>
      </c>
      <c r="AI502" s="154" t="s">
        <v>479</v>
      </c>
      <c r="AJ502" s="154" t="s">
        <v>479</v>
      </c>
      <c r="AK502" s="154" t="s">
        <v>479</v>
      </c>
      <c r="AL502" s="154" t="s">
        <v>424</v>
      </c>
      <c r="AS502">
        <v>502</v>
      </c>
    </row>
    <row r="503" spans="1:45" hidden="1" x14ac:dyDescent="0.25">
      <c r="A503">
        <v>502</v>
      </c>
      <c r="B503">
        <v>2025</v>
      </c>
      <c r="C503">
        <v>9</v>
      </c>
      <c r="D503" t="s">
        <v>275</v>
      </c>
      <c r="E503">
        <v>31</v>
      </c>
      <c r="F503">
        <v>8</v>
      </c>
      <c r="G503" t="s">
        <v>535</v>
      </c>
      <c r="H503" s="154" t="s">
        <v>480</v>
      </c>
      <c r="I503" s="154" t="s">
        <v>492</v>
      </c>
      <c r="J503" s="154" t="s">
        <v>492</v>
      </c>
      <c r="K503" s="154" t="s">
        <v>492</v>
      </c>
      <c r="L503" s="154" t="s">
        <v>492</v>
      </c>
      <c r="M503" s="154" t="s">
        <v>492</v>
      </c>
      <c r="N503" s="154" t="s">
        <v>492</v>
      </c>
      <c r="O503" s="154" t="s">
        <v>492</v>
      </c>
      <c r="P503" s="154" t="s">
        <v>492</v>
      </c>
      <c r="Q503" s="154" t="s">
        <v>492</v>
      </c>
      <c r="R503" s="154" t="s">
        <v>492</v>
      </c>
      <c r="S503" s="154" t="s">
        <v>492</v>
      </c>
      <c r="T503" s="154" t="s">
        <v>492</v>
      </c>
      <c r="U503" s="154" t="s">
        <v>492</v>
      </c>
      <c r="V503" s="154" t="s">
        <v>480</v>
      </c>
      <c r="W503" s="154" t="s">
        <v>480</v>
      </c>
      <c r="X503" s="154" t="s">
        <v>480</v>
      </c>
      <c r="Y503" s="154" t="s">
        <v>480</v>
      </c>
      <c r="Z503" s="154" t="s">
        <v>480</v>
      </c>
      <c r="AA503" s="154" t="s">
        <v>480</v>
      </c>
      <c r="AB503" s="154" t="s">
        <v>480</v>
      </c>
      <c r="AC503" s="154" t="s">
        <v>492</v>
      </c>
      <c r="AD503" s="154" t="s">
        <v>492</v>
      </c>
      <c r="AE503" s="154" t="s">
        <v>492</v>
      </c>
      <c r="AF503" s="154" t="s">
        <v>492</v>
      </c>
      <c r="AG503" s="154" t="s">
        <v>492</v>
      </c>
      <c r="AH503" s="154" t="s">
        <v>492</v>
      </c>
      <c r="AI503" s="154" t="s">
        <v>492</v>
      </c>
      <c r="AJ503" s="154" t="s">
        <v>492</v>
      </c>
      <c r="AK503" s="154" t="s">
        <v>492</v>
      </c>
      <c r="AL503" s="154" t="s">
        <v>424</v>
      </c>
      <c r="AM503" cm="1">
        <f t="array" ref="AM503">SUM(_xlfn.LET(_xlpm.r,((IFERROR(H503:AL503-H502:AL502,0))*24)/10,IF(_xlpm.r&gt;1,1,_xlpm.r)))</f>
        <v>30</v>
      </c>
      <c r="AO503" cm="1">
        <f t="array" ref="AO503">SUM(IFERROR(MOD((H503:AL503-H502:AL502)*24,11),""))</f>
        <v>21.999999999999972</v>
      </c>
      <c r="AS503">
        <v>503</v>
      </c>
    </row>
    <row r="504" spans="1:45" hidden="1" x14ac:dyDescent="0.25">
      <c r="A504">
        <v>503</v>
      </c>
      <c r="B504">
        <v>2025</v>
      </c>
      <c r="C504">
        <v>9</v>
      </c>
      <c r="D504" t="s">
        <v>265</v>
      </c>
      <c r="E504">
        <v>31</v>
      </c>
      <c r="F504">
        <v>8</v>
      </c>
      <c r="G504" t="s">
        <v>534</v>
      </c>
      <c r="H504" s="154" t="s">
        <v>479</v>
      </c>
      <c r="I504" s="154" t="s">
        <v>479</v>
      </c>
      <c r="J504" s="154" t="s">
        <v>479</v>
      </c>
      <c r="K504" s="154" t="s">
        <v>479</v>
      </c>
      <c r="L504" s="154" t="s">
        <v>479</v>
      </c>
      <c r="M504" s="154" t="s">
        <v>479</v>
      </c>
      <c r="N504" s="154" t="s">
        <v>424</v>
      </c>
      <c r="O504" s="154" t="s">
        <v>479</v>
      </c>
      <c r="P504" s="154" t="s">
        <v>479</v>
      </c>
      <c r="Q504" s="154" t="s">
        <v>479</v>
      </c>
      <c r="R504" s="154" t="s">
        <v>479</v>
      </c>
      <c r="S504" s="154" t="s">
        <v>479</v>
      </c>
      <c r="T504" s="154" t="s">
        <v>479</v>
      </c>
      <c r="U504" s="154" t="s">
        <v>424</v>
      </c>
      <c r="V504" s="154" t="s">
        <v>479</v>
      </c>
      <c r="W504" s="154" t="s">
        <v>479</v>
      </c>
      <c r="X504" s="154" t="s">
        <v>479</v>
      </c>
      <c r="Y504" s="154" t="s">
        <v>479</v>
      </c>
      <c r="Z504" s="154" t="s">
        <v>479</v>
      </c>
      <c r="AA504" s="154" t="s">
        <v>479</v>
      </c>
      <c r="AB504" s="154" t="s">
        <v>479</v>
      </c>
      <c r="AC504" s="154" t="s">
        <v>479</v>
      </c>
      <c r="AD504" s="154" t="s">
        <v>479</v>
      </c>
      <c r="AE504" s="154" t="s">
        <v>479</v>
      </c>
      <c r="AF504" s="154" t="s">
        <v>479</v>
      </c>
      <c r="AG504" s="154" t="s">
        <v>479</v>
      </c>
      <c r="AH504" s="154" t="s">
        <v>479</v>
      </c>
      <c r="AI504" s="154" t="s">
        <v>424</v>
      </c>
      <c r="AJ504" s="154" t="s">
        <v>479</v>
      </c>
      <c r="AK504" s="154" t="s">
        <v>479</v>
      </c>
      <c r="AL504" s="154" t="s">
        <v>424</v>
      </c>
      <c r="AS504">
        <v>504</v>
      </c>
    </row>
    <row r="505" spans="1:45" hidden="1" x14ac:dyDescent="0.25">
      <c r="A505">
        <v>504</v>
      </c>
      <c r="B505">
        <v>2025</v>
      </c>
      <c r="C505">
        <v>9</v>
      </c>
      <c r="D505" t="s">
        <v>265</v>
      </c>
      <c r="E505">
        <v>31</v>
      </c>
      <c r="F505">
        <v>8</v>
      </c>
      <c r="G505" t="s">
        <v>535</v>
      </c>
      <c r="H505" s="154">
        <v>1.0833333333333333</v>
      </c>
      <c r="I505" s="154">
        <v>0.91666666666666674</v>
      </c>
      <c r="J505" s="154">
        <v>1.125</v>
      </c>
      <c r="K505" s="154">
        <v>0.75</v>
      </c>
      <c r="L505" s="154">
        <v>1.0833333333333333</v>
      </c>
      <c r="M505" s="154">
        <v>0.75</v>
      </c>
      <c r="N505" s="154" t="s">
        <v>424</v>
      </c>
      <c r="O505" s="154">
        <v>1.0833333333333333</v>
      </c>
      <c r="P505" s="154">
        <v>1.1666666666666667</v>
      </c>
      <c r="Q505" s="154">
        <v>0.75</v>
      </c>
      <c r="R505" s="154">
        <v>1.0416666666666667</v>
      </c>
      <c r="S505" s="154">
        <v>1</v>
      </c>
      <c r="T505" s="154">
        <v>0.75</v>
      </c>
      <c r="U505" s="154" t="s">
        <v>424</v>
      </c>
      <c r="V505" s="154">
        <v>0.75</v>
      </c>
      <c r="W505" s="154">
        <v>1</v>
      </c>
      <c r="X505" s="154">
        <v>0.83333333333333326</v>
      </c>
      <c r="Y505" s="154">
        <v>0.95833333333333326</v>
      </c>
      <c r="Z505" s="154">
        <v>0.83333333333333326</v>
      </c>
      <c r="AA505" s="154">
        <v>0.75</v>
      </c>
      <c r="AB505" s="154">
        <v>0.75</v>
      </c>
      <c r="AC505" s="154">
        <v>1</v>
      </c>
      <c r="AD505" s="154">
        <v>0.875</v>
      </c>
      <c r="AE505" s="154">
        <v>0.95833333333333326</v>
      </c>
      <c r="AF505" s="154">
        <v>0.875</v>
      </c>
      <c r="AG505" s="154">
        <v>1.0416666666666667</v>
      </c>
      <c r="AH505" s="154">
        <v>0.95833333333333326</v>
      </c>
      <c r="AI505" s="154" t="s">
        <v>424</v>
      </c>
      <c r="AJ505" s="154">
        <v>1.0416666666666667</v>
      </c>
      <c r="AK505" s="154">
        <v>0.91666666666666674</v>
      </c>
      <c r="AL505" s="154" t="s">
        <v>424</v>
      </c>
      <c r="AM505" cm="1">
        <f t="array" ref="AM505">SUM(_xlfn.LET(_xlpm.r,((IFERROR(H505:AL505-H504:AL504,0))*24)/10,IF(_xlpm.r&gt;1,1,_xlpm.r)))</f>
        <v>27</v>
      </c>
      <c r="AO505" cm="1">
        <f t="array" ref="AO505">SUM(IFERROR(MOD((H505:AL505-H504:AL504)*24,11),""))</f>
        <v>114.99999999999999</v>
      </c>
      <c r="AS505">
        <v>505</v>
      </c>
    </row>
    <row r="506" spans="1:45" hidden="1" x14ac:dyDescent="0.25">
      <c r="A506">
        <v>505</v>
      </c>
      <c r="B506">
        <v>2025</v>
      </c>
      <c r="C506">
        <v>9</v>
      </c>
      <c r="D506" t="s">
        <v>261</v>
      </c>
      <c r="E506">
        <v>31</v>
      </c>
      <c r="F506">
        <v>8</v>
      </c>
      <c r="G506" t="s">
        <v>534</v>
      </c>
      <c r="H506" s="154">
        <v>0.29166666666666669</v>
      </c>
      <c r="I506" s="154">
        <v>0.29166666666666669</v>
      </c>
      <c r="J506" s="154">
        <v>0.29166666666666669</v>
      </c>
      <c r="K506" s="154">
        <v>0.29166666666666669</v>
      </c>
      <c r="L506" s="154">
        <v>0.29166666666666669</v>
      </c>
      <c r="M506" s="154">
        <v>0.29166666666666669</v>
      </c>
      <c r="N506" s="154">
        <v>0.29166666666666669</v>
      </c>
      <c r="O506" s="154">
        <v>0.29166666666666669</v>
      </c>
      <c r="P506" s="154">
        <v>0.29166666666666669</v>
      </c>
      <c r="Q506" s="154">
        <v>0.29166666666666669</v>
      </c>
      <c r="R506" s="154">
        <v>0.29166666666666669</v>
      </c>
      <c r="S506" s="154">
        <v>0.29166666666666669</v>
      </c>
      <c r="T506" s="154">
        <v>0.29166666666666669</v>
      </c>
      <c r="U506" s="154">
        <v>0.29166666666666669</v>
      </c>
      <c r="V506" s="154">
        <v>0.29166666666666669</v>
      </c>
      <c r="W506" s="154">
        <v>0.29166666666666669</v>
      </c>
      <c r="X506" s="154">
        <v>0.29166666666666669</v>
      </c>
      <c r="Y506" s="154">
        <v>0.29166666666666669</v>
      </c>
      <c r="Z506" s="154">
        <v>0.29166666666666669</v>
      </c>
      <c r="AA506" s="154">
        <v>0.29166666666666669</v>
      </c>
      <c r="AB506" s="154">
        <v>0.29166666666666669</v>
      </c>
      <c r="AC506" s="154">
        <v>0.29166666666666669</v>
      </c>
      <c r="AD506" s="154">
        <v>0.29166666666666669</v>
      </c>
      <c r="AE506" s="154">
        <v>0.29166666666666669</v>
      </c>
      <c r="AF506" s="154">
        <v>0.29166666666666669</v>
      </c>
      <c r="AG506" s="154">
        <v>0.29166666666666669</v>
      </c>
      <c r="AH506" s="154">
        <v>0.29166666666666669</v>
      </c>
      <c r="AI506" s="154">
        <v>0.29166666666666669</v>
      </c>
      <c r="AJ506" s="154">
        <v>0.29166666666666669</v>
      </c>
      <c r="AK506" s="154">
        <v>0.29166666666666669</v>
      </c>
      <c r="AL506" s="154" t="s">
        <v>424</v>
      </c>
      <c r="AS506">
        <v>506</v>
      </c>
    </row>
    <row r="507" spans="1:45" hidden="1" x14ac:dyDescent="0.25">
      <c r="A507">
        <v>506</v>
      </c>
      <c r="B507">
        <v>2025</v>
      </c>
      <c r="C507">
        <v>9</v>
      </c>
      <c r="D507" t="s">
        <v>261</v>
      </c>
      <c r="E507">
        <v>31</v>
      </c>
      <c r="F507">
        <v>8</v>
      </c>
      <c r="G507" t="s">
        <v>535</v>
      </c>
      <c r="H507" s="154">
        <v>0.75</v>
      </c>
      <c r="I507" s="154">
        <v>0.75</v>
      </c>
      <c r="J507" s="154">
        <v>0.75</v>
      </c>
      <c r="K507" s="154">
        <v>0.75</v>
      </c>
      <c r="L507" s="154">
        <v>0.75</v>
      </c>
      <c r="M507" s="154">
        <v>0.75</v>
      </c>
      <c r="N507" s="154">
        <v>0.75</v>
      </c>
      <c r="O507" s="154">
        <v>0.75</v>
      </c>
      <c r="P507" s="154">
        <v>0.75</v>
      </c>
      <c r="Q507" s="154">
        <v>0.75</v>
      </c>
      <c r="R507" s="154">
        <v>0.75</v>
      </c>
      <c r="S507" s="154">
        <v>0.75</v>
      </c>
      <c r="T507" s="154">
        <v>0.75</v>
      </c>
      <c r="U507" s="154">
        <v>0.75</v>
      </c>
      <c r="V507" s="154">
        <v>0.75</v>
      </c>
      <c r="W507" s="154">
        <v>0.75</v>
      </c>
      <c r="X507" s="154">
        <v>0.75</v>
      </c>
      <c r="Y507" s="154">
        <v>0.75</v>
      </c>
      <c r="Z507" s="154">
        <v>0.75</v>
      </c>
      <c r="AA507" s="154">
        <v>0.75</v>
      </c>
      <c r="AB507" s="154">
        <v>0.75</v>
      </c>
      <c r="AC507" s="154">
        <v>0.75</v>
      </c>
      <c r="AD507" s="154">
        <v>0.75</v>
      </c>
      <c r="AE507" s="154">
        <v>0.75</v>
      </c>
      <c r="AF507" s="154">
        <v>0.75</v>
      </c>
      <c r="AG507" s="154">
        <v>0.75</v>
      </c>
      <c r="AH507" s="154">
        <v>0.75</v>
      </c>
      <c r="AI507" s="154">
        <v>0.75</v>
      </c>
      <c r="AJ507" s="154">
        <v>0.75</v>
      </c>
      <c r="AK507" s="154">
        <v>0.75</v>
      </c>
      <c r="AL507" s="154" t="s">
        <v>424</v>
      </c>
      <c r="AM507" cm="1">
        <f t="array" ref="AM507">SUM(_xlfn.LET(_xlpm.r,((IFERROR(H507:AL507-H506:AL506,0))*24)/10,IF(_xlpm.r&gt;1,1,_xlpm.r)))</f>
        <v>30</v>
      </c>
      <c r="AO507" cm="1">
        <f t="array" ref="AO507">SUM(IFERROR(MOD((H507:AL507-H506:AL506)*24,11),""))</f>
        <v>0</v>
      </c>
      <c r="AS507">
        <v>507</v>
      </c>
    </row>
    <row r="508" spans="1:45" hidden="1" x14ac:dyDescent="0.25">
      <c r="A508">
        <v>507</v>
      </c>
      <c r="B508">
        <v>2025</v>
      </c>
      <c r="C508">
        <v>9</v>
      </c>
      <c r="D508" t="s">
        <v>255</v>
      </c>
      <c r="E508">
        <v>31</v>
      </c>
      <c r="F508">
        <v>8</v>
      </c>
      <c r="G508" t="s">
        <v>534</v>
      </c>
      <c r="H508" s="154" t="s">
        <v>479</v>
      </c>
      <c r="I508" s="154" t="s">
        <v>479</v>
      </c>
      <c r="J508" s="154" t="s">
        <v>479</v>
      </c>
      <c r="K508" s="154" t="s">
        <v>479</v>
      </c>
      <c r="L508" s="154" t="s">
        <v>479</v>
      </c>
      <c r="M508" s="154" t="s">
        <v>479</v>
      </c>
      <c r="N508" s="154" t="s">
        <v>479</v>
      </c>
      <c r="O508" s="154" t="s">
        <v>479</v>
      </c>
      <c r="P508" s="154" t="s">
        <v>479</v>
      </c>
      <c r="Q508" s="154" t="s">
        <v>479</v>
      </c>
      <c r="R508" s="154" t="s">
        <v>479</v>
      </c>
      <c r="S508" s="154" t="s">
        <v>479</v>
      </c>
      <c r="T508" s="154" t="s">
        <v>479</v>
      </c>
      <c r="U508" s="154" t="s">
        <v>479</v>
      </c>
      <c r="V508" s="154" t="s">
        <v>479</v>
      </c>
      <c r="W508" s="154" t="s">
        <v>479</v>
      </c>
      <c r="X508" s="154" t="s">
        <v>479</v>
      </c>
      <c r="Y508" s="154" t="s">
        <v>479</v>
      </c>
      <c r="Z508" s="154" t="s">
        <v>479</v>
      </c>
      <c r="AA508" s="154" t="s">
        <v>479</v>
      </c>
      <c r="AB508" s="154" t="s">
        <v>479</v>
      </c>
      <c r="AC508" s="154" t="s">
        <v>479</v>
      </c>
      <c r="AD508" s="154" t="s">
        <v>479</v>
      </c>
      <c r="AE508" s="154" t="s">
        <v>479</v>
      </c>
      <c r="AF508" s="154" t="s">
        <v>479</v>
      </c>
      <c r="AG508" s="154" t="s">
        <v>479</v>
      </c>
      <c r="AH508" s="154" t="s">
        <v>479</v>
      </c>
      <c r="AI508" s="154" t="s">
        <v>479</v>
      </c>
      <c r="AJ508" s="154" t="s">
        <v>479</v>
      </c>
      <c r="AK508" s="154" t="s">
        <v>479</v>
      </c>
      <c r="AL508" s="154" t="s">
        <v>424</v>
      </c>
      <c r="AS508">
        <v>508</v>
      </c>
    </row>
    <row r="509" spans="1:45" hidden="1" x14ac:dyDescent="0.25">
      <c r="A509">
        <v>508</v>
      </c>
      <c r="B509">
        <v>2025</v>
      </c>
      <c r="C509">
        <v>9</v>
      </c>
      <c r="D509" t="s">
        <v>255</v>
      </c>
      <c r="E509">
        <v>31</v>
      </c>
      <c r="F509">
        <v>8</v>
      </c>
      <c r="G509" t="s">
        <v>535</v>
      </c>
      <c r="H509" s="154">
        <v>0.25</v>
      </c>
      <c r="I509" s="154">
        <v>0.25</v>
      </c>
      <c r="J509" s="154">
        <v>0.25</v>
      </c>
      <c r="K509" s="154">
        <v>0.25</v>
      </c>
      <c r="L509" s="154">
        <v>0.25</v>
      </c>
      <c r="M509" s="154">
        <v>0.25</v>
      </c>
      <c r="N509" s="154">
        <v>0.25</v>
      </c>
      <c r="O509" s="154">
        <v>0.25</v>
      </c>
      <c r="P509" s="154">
        <v>0.25</v>
      </c>
      <c r="Q509" s="154">
        <v>0.25</v>
      </c>
      <c r="R509" s="154">
        <v>0.25</v>
      </c>
      <c r="S509" s="154">
        <v>0.25</v>
      </c>
      <c r="T509" s="154">
        <v>0.25</v>
      </c>
      <c r="U509" s="154">
        <v>0.25</v>
      </c>
      <c r="V509" s="154">
        <v>0.25</v>
      </c>
      <c r="W509" s="154">
        <v>0.25</v>
      </c>
      <c r="X509" s="154">
        <v>0.25</v>
      </c>
      <c r="Y509" s="154">
        <v>0.25</v>
      </c>
      <c r="Z509" s="154">
        <v>0.25</v>
      </c>
      <c r="AA509" s="154">
        <v>0.25</v>
      </c>
      <c r="AB509" s="154">
        <v>0.25</v>
      </c>
      <c r="AC509" s="154">
        <v>0.25</v>
      </c>
      <c r="AD509" s="154">
        <v>0.25</v>
      </c>
      <c r="AE509" s="154">
        <v>0.25</v>
      </c>
      <c r="AF509" s="154">
        <v>0.25</v>
      </c>
      <c r="AG509" s="154">
        <v>0.25</v>
      </c>
      <c r="AH509" s="154">
        <v>0.25</v>
      </c>
      <c r="AI509" s="154">
        <v>0.25</v>
      </c>
      <c r="AJ509" s="154">
        <v>0.25</v>
      </c>
      <c r="AK509" s="154">
        <v>0.25</v>
      </c>
      <c r="AL509" s="154" t="s">
        <v>424</v>
      </c>
      <c r="AM509" cm="1">
        <f t="array" ref="AM509">_xlfn.LET(_xlpm.r,IFERROR((H509:AL509-H508:AL508)*24,""),SUM(IF(_xlpm.r="",0,IF(_xlpm.r=-1,0,1))))</f>
        <v>0</v>
      </c>
      <c r="AN509" cm="1">
        <f t="array" ref="AN509">_xlfn.LET(_xlpm.r,IFERROR((H509:AL509-H508:AL508)*24,""),SUM(IF(_xlpm.r="",0,IF(_xlpm.r=-1,1,0))))</f>
        <v>30</v>
      </c>
      <c r="AO509" cm="1">
        <f t="array" ref="AO509">_xlfn.LET(_xlpm.r,SUM(IFERROR(MOD((H509:AL509-H508:AL508)*24,11),"")),_xlpm.r-AN509*10)</f>
        <v>0</v>
      </c>
      <c r="AS509">
        <v>509</v>
      </c>
    </row>
    <row r="510" spans="1:45" hidden="1" x14ac:dyDescent="0.25">
      <c r="A510">
        <v>509</v>
      </c>
      <c r="B510">
        <v>2025</v>
      </c>
      <c r="C510">
        <v>9</v>
      </c>
      <c r="D510" t="s">
        <v>253</v>
      </c>
      <c r="E510">
        <v>31</v>
      </c>
      <c r="F510">
        <v>8</v>
      </c>
      <c r="G510" t="s">
        <v>534</v>
      </c>
      <c r="H510" s="154" t="s">
        <v>525</v>
      </c>
      <c r="I510" s="154" t="s">
        <v>526</v>
      </c>
      <c r="J510" s="154" t="s">
        <v>526</v>
      </c>
      <c r="K510" s="154" t="s">
        <v>526</v>
      </c>
      <c r="L510" s="154" t="s">
        <v>526</v>
      </c>
      <c r="M510" s="154" t="s">
        <v>526</v>
      </c>
      <c r="N510" s="154" t="s">
        <v>526</v>
      </c>
      <c r="O510" s="154" t="s">
        <v>526</v>
      </c>
      <c r="P510" s="154" t="s">
        <v>424</v>
      </c>
      <c r="Q510" s="154" t="s">
        <v>424</v>
      </c>
      <c r="R510" s="154" t="s">
        <v>424</v>
      </c>
      <c r="S510" s="154" t="s">
        <v>424</v>
      </c>
      <c r="T510" s="154" t="s">
        <v>424</v>
      </c>
      <c r="U510" s="154" t="s">
        <v>424</v>
      </c>
      <c r="V510" s="154" t="s">
        <v>424</v>
      </c>
      <c r="W510" s="154" t="s">
        <v>424</v>
      </c>
      <c r="X510" s="154" t="s">
        <v>424</v>
      </c>
      <c r="Y510" s="154" t="s">
        <v>424</v>
      </c>
      <c r="Z510" s="154" t="s">
        <v>424</v>
      </c>
      <c r="AA510" s="154" t="s">
        <v>424</v>
      </c>
      <c r="AB510" s="154" t="s">
        <v>424</v>
      </c>
      <c r="AC510" s="154" t="s">
        <v>424</v>
      </c>
      <c r="AD510" s="154" t="s">
        <v>424</v>
      </c>
      <c r="AE510" s="154" t="s">
        <v>424</v>
      </c>
      <c r="AF510" s="154" t="s">
        <v>424</v>
      </c>
      <c r="AG510" s="154" t="s">
        <v>424</v>
      </c>
      <c r="AH510" s="154" t="s">
        <v>424</v>
      </c>
      <c r="AI510" s="154" t="s">
        <v>424</v>
      </c>
      <c r="AJ510" s="154" t="s">
        <v>424</v>
      </c>
      <c r="AK510" s="154" t="s">
        <v>424</v>
      </c>
      <c r="AL510" s="154" t="s">
        <v>424</v>
      </c>
      <c r="AS510">
        <v>510</v>
      </c>
    </row>
    <row r="511" spans="1:45" hidden="1" x14ac:dyDescent="0.25">
      <c r="A511">
        <v>510</v>
      </c>
      <c r="B511">
        <v>2025</v>
      </c>
      <c r="C511">
        <v>9</v>
      </c>
      <c r="D511" t="s">
        <v>253</v>
      </c>
      <c r="E511">
        <v>31</v>
      </c>
      <c r="F511">
        <v>8</v>
      </c>
      <c r="G511" t="s">
        <v>535</v>
      </c>
      <c r="H511" s="154">
        <v>0.72638888888888886</v>
      </c>
      <c r="I511" s="154">
        <v>0.72361111111111109</v>
      </c>
      <c r="J511" s="154">
        <v>0.72361111111111109</v>
      </c>
      <c r="K511" s="154">
        <v>0.72361111111111109</v>
      </c>
      <c r="L511" s="154">
        <v>0.72361111111111109</v>
      </c>
      <c r="M511" s="154">
        <v>0.72361111111111109</v>
      </c>
      <c r="N511" s="154">
        <v>0.72361111111111109</v>
      </c>
      <c r="O511" s="154">
        <v>0.72361111111111109</v>
      </c>
      <c r="P511" s="154" t="s">
        <v>424</v>
      </c>
      <c r="Q511" s="154" t="s">
        <v>424</v>
      </c>
      <c r="R511" s="154" t="s">
        <v>424</v>
      </c>
      <c r="S511" s="154" t="s">
        <v>424</v>
      </c>
      <c r="T511" s="154" t="s">
        <v>424</v>
      </c>
      <c r="U511" s="154" t="s">
        <v>424</v>
      </c>
      <c r="V511" s="154" t="s">
        <v>424</v>
      </c>
      <c r="W511" s="154" t="s">
        <v>424</v>
      </c>
      <c r="X511" s="154" t="s">
        <v>424</v>
      </c>
      <c r="Y511" s="154" t="s">
        <v>424</v>
      </c>
      <c r="Z511" s="154" t="s">
        <v>424</v>
      </c>
      <c r="AA511" s="154" t="s">
        <v>424</v>
      </c>
      <c r="AB511" s="154" t="s">
        <v>424</v>
      </c>
      <c r="AC511" s="154" t="s">
        <v>424</v>
      </c>
      <c r="AD511" s="154" t="s">
        <v>424</v>
      </c>
      <c r="AE511" s="154" t="s">
        <v>424</v>
      </c>
      <c r="AF511" s="154" t="s">
        <v>424</v>
      </c>
      <c r="AG511" s="154" t="s">
        <v>424</v>
      </c>
      <c r="AH511" s="154" t="s">
        <v>424</v>
      </c>
      <c r="AI511" s="154" t="s">
        <v>424</v>
      </c>
      <c r="AJ511" s="154" t="s">
        <v>424</v>
      </c>
      <c r="AK511" s="154" t="s">
        <v>424</v>
      </c>
      <c r="AL511" s="154" t="s">
        <v>424</v>
      </c>
      <c r="AM511" cm="1">
        <f t="array" ref="AM511">SUM(_xlfn.LET(_xlpm.r,((IFERROR(H511:AL511-H510:AL510,0))*24)/10,IF(_xlpm.r&gt;1,1,_xlpm.r)))</f>
        <v>8</v>
      </c>
      <c r="AO511" cm="1">
        <f t="array" ref="AO511">SUM(IFERROR(MOD((H511:AL511-H510:AL510)*24,11),""))</f>
        <v>0</v>
      </c>
      <c r="AS511">
        <v>511</v>
      </c>
    </row>
    <row r="512" spans="1:45" hidden="1" x14ac:dyDescent="0.25">
      <c r="A512">
        <v>511</v>
      </c>
      <c r="B512">
        <v>2025</v>
      </c>
      <c r="C512">
        <v>9</v>
      </c>
      <c r="D512" t="s">
        <v>277</v>
      </c>
      <c r="E512">
        <v>31</v>
      </c>
      <c r="F512">
        <v>8</v>
      </c>
      <c r="G512" t="s">
        <v>534</v>
      </c>
      <c r="H512" s="154">
        <v>0.29166666666666669</v>
      </c>
      <c r="I512" s="154">
        <v>0.29166666666666669</v>
      </c>
      <c r="J512" s="154">
        <v>0.29166666666666669</v>
      </c>
      <c r="K512" s="154">
        <v>0.29166666666666669</v>
      </c>
      <c r="L512" s="154">
        <v>0.29166666666666669</v>
      </c>
      <c r="M512" s="154">
        <v>0.29166666666666669</v>
      </c>
      <c r="N512" s="154">
        <v>0.29166666666666669</v>
      </c>
      <c r="O512" s="154">
        <v>0.29166666666666669</v>
      </c>
      <c r="P512" s="154">
        <v>0.29166666666666669</v>
      </c>
      <c r="Q512" s="154">
        <v>0.29166666666666669</v>
      </c>
      <c r="R512" s="154">
        <v>0.29166666666666669</v>
      </c>
      <c r="S512" s="154">
        <v>0.29166666666666669</v>
      </c>
      <c r="T512" s="154">
        <v>0.29166666666666669</v>
      </c>
      <c r="U512" s="154">
        <v>0.29166666666666669</v>
      </c>
      <c r="V512" s="154">
        <v>0.29166666666666669</v>
      </c>
      <c r="W512" s="154">
        <v>0.29166666666666669</v>
      </c>
      <c r="X512" s="154">
        <v>0.29166666666666669</v>
      </c>
      <c r="Y512" s="154">
        <v>0.29166666666666669</v>
      </c>
      <c r="Z512" s="154">
        <v>0.29166666666666669</v>
      </c>
      <c r="AA512" s="154">
        <v>0.29166666666666669</v>
      </c>
      <c r="AB512" s="154">
        <v>0.29166666666666669</v>
      </c>
      <c r="AC512" s="154">
        <v>0.29166666666666669</v>
      </c>
      <c r="AD512" s="154">
        <v>0.29166666666666669</v>
      </c>
      <c r="AE512" s="154">
        <v>0.29166666666666669</v>
      </c>
      <c r="AF512" s="154">
        <v>0.29166666666666669</v>
      </c>
      <c r="AG512" s="154">
        <v>0.29166666666666669</v>
      </c>
      <c r="AH512" s="154">
        <v>0.29166666666666669</v>
      </c>
      <c r="AI512" s="154">
        <v>0.29166666666666669</v>
      </c>
      <c r="AJ512" s="154">
        <v>0.29166666666666669</v>
      </c>
      <c r="AK512" s="154">
        <v>0.29166666666666669</v>
      </c>
      <c r="AL512" s="154" t="s">
        <v>424</v>
      </c>
      <c r="AS512">
        <v>512</v>
      </c>
    </row>
    <row r="513" spans="1:45" hidden="1" x14ac:dyDescent="0.25">
      <c r="A513">
        <v>512</v>
      </c>
      <c r="B513">
        <v>2025</v>
      </c>
      <c r="C513">
        <v>9</v>
      </c>
      <c r="D513" t="s">
        <v>277</v>
      </c>
      <c r="E513">
        <v>31</v>
      </c>
      <c r="F513">
        <v>8</v>
      </c>
      <c r="G513" t="s">
        <v>535</v>
      </c>
      <c r="H513" s="154">
        <v>0.75</v>
      </c>
      <c r="I513" s="154">
        <v>0.75</v>
      </c>
      <c r="J513" s="154">
        <v>0.75</v>
      </c>
      <c r="K513" s="154">
        <v>0.75</v>
      </c>
      <c r="L513" s="154">
        <v>0.75</v>
      </c>
      <c r="M513" s="154">
        <v>0.75</v>
      </c>
      <c r="N513" s="154">
        <v>0.75</v>
      </c>
      <c r="O513" s="154">
        <v>0.75</v>
      </c>
      <c r="P513" s="154">
        <v>0.75</v>
      </c>
      <c r="Q513" s="154">
        <v>0.75</v>
      </c>
      <c r="R513" s="154">
        <v>0.75</v>
      </c>
      <c r="S513" s="154">
        <v>0.75</v>
      </c>
      <c r="T513" s="154">
        <v>0.75</v>
      </c>
      <c r="U513" s="154">
        <v>0.75</v>
      </c>
      <c r="V513" s="154">
        <v>0.75</v>
      </c>
      <c r="W513" s="154">
        <v>0.75</v>
      </c>
      <c r="X513" s="154">
        <v>0.75</v>
      </c>
      <c r="Y513" s="154">
        <v>0.75</v>
      </c>
      <c r="Z513" s="154">
        <v>0.75</v>
      </c>
      <c r="AA513" s="154">
        <v>0.75</v>
      </c>
      <c r="AB513" s="154">
        <v>0.75</v>
      </c>
      <c r="AC513" s="154">
        <v>0.75</v>
      </c>
      <c r="AD513" s="154">
        <v>0.75</v>
      </c>
      <c r="AE513" s="154">
        <v>0.75</v>
      </c>
      <c r="AF513" s="154">
        <v>0.75</v>
      </c>
      <c r="AG513" s="154">
        <v>0.75</v>
      </c>
      <c r="AH513" s="154">
        <v>0.75</v>
      </c>
      <c r="AI513" s="154">
        <v>0.75</v>
      </c>
      <c r="AJ513" s="154">
        <v>0.75</v>
      </c>
      <c r="AK513" s="154">
        <v>0.75</v>
      </c>
      <c r="AL513" s="154" t="s">
        <v>424</v>
      </c>
      <c r="AM513" cm="1">
        <f t="array" ref="AM513">SUM(_xlfn.LET(_xlpm.r,((IFERROR(H513:AL513-H512:AL512,0))*24)/10,IF(_xlpm.r&gt;1,1,_xlpm.r)))</f>
        <v>30</v>
      </c>
      <c r="AS513">
        <v>513</v>
      </c>
    </row>
    <row r="514" spans="1:45" hidden="1" x14ac:dyDescent="0.25">
      <c r="A514">
        <v>513</v>
      </c>
      <c r="B514">
        <v>2025</v>
      </c>
      <c r="C514">
        <v>9</v>
      </c>
      <c r="D514" t="s">
        <v>276</v>
      </c>
      <c r="E514">
        <v>31</v>
      </c>
      <c r="F514">
        <v>8</v>
      </c>
      <c r="G514" t="s">
        <v>534</v>
      </c>
      <c r="H514" s="154" t="s">
        <v>479</v>
      </c>
      <c r="I514" s="154" t="s">
        <v>479</v>
      </c>
      <c r="J514" s="154" t="s">
        <v>479</v>
      </c>
      <c r="K514" s="154" t="s">
        <v>479</v>
      </c>
      <c r="L514" s="154" t="s">
        <v>479</v>
      </c>
      <c r="M514" s="154" t="s">
        <v>479</v>
      </c>
      <c r="N514" s="154" t="s">
        <v>479</v>
      </c>
      <c r="O514" s="154" t="s">
        <v>479</v>
      </c>
      <c r="P514" s="154" t="s">
        <v>479</v>
      </c>
      <c r="Q514" s="154" t="s">
        <v>479</v>
      </c>
      <c r="R514" s="154" t="s">
        <v>479</v>
      </c>
      <c r="S514" s="154" t="s">
        <v>479</v>
      </c>
      <c r="T514" s="154" t="s">
        <v>479</v>
      </c>
      <c r="U514" s="154" t="s">
        <v>424</v>
      </c>
      <c r="V514" s="154" t="s">
        <v>479</v>
      </c>
      <c r="W514" s="154" t="s">
        <v>479</v>
      </c>
      <c r="X514" s="154" t="s">
        <v>479</v>
      </c>
      <c r="Y514" s="154" t="s">
        <v>479</v>
      </c>
      <c r="Z514" s="154" t="s">
        <v>479</v>
      </c>
      <c r="AA514" s="154" t="s">
        <v>479</v>
      </c>
      <c r="AB514" s="154" t="s">
        <v>479</v>
      </c>
      <c r="AC514" s="154" t="s">
        <v>479</v>
      </c>
      <c r="AD514" s="154" t="s">
        <v>479</v>
      </c>
      <c r="AE514" s="154" t="s">
        <v>479</v>
      </c>
      <c r="AF514" s="154" t="s">
        <v>479</v>
      </c>
      <c r="AG514" s="154" t="s">
        <v>479</v>
      </c>
      <c r="AH514" s="154" t="s">
        <v>479</v>
      </c>
      <c r="AI514" s="154" t="s">
        <v>479</v>
      </c>
      <c r="AJ514" s="154" t="s">
        <v>479</v>
      </c>
      <c r="AK514" s="154" t="s">
        <v>479</v>
      </c>
      <c r="AL514" s="154" t="s">
        <v>424</v>
      </c>
      <c r="AS514">
        <v>514</v>
      </c>
    </row>
    <row r="515" spans="1:45" hidden="1" x14ac:dyDescent="0.25">
      <c r="A515">
        <v>514</v>
      </c>
      <c r="B515">
        <v>2025</v>
      </c>
      <c r="C515">
        <v>9</v>
      </c>
      <c r="D515" t="s">
        <v>276</v>
      </c>
      <c r="E515">
        <v>31</v>
      </c>
      <c r="F515">
        <v>8</v>
      </c>
      <c r="G515" t="s">
        <v>535</v>
      </c>
      <c r="H515" s="154" t="s">
        <v>480</v>
      </c>
      <c r="I515" s="154" t="s">
        <v>480</v>
      </c>
      <c r="J515" s="154" t="s">
        <v>480</v>
      </c>
      <c r="K515" s="154" t="s">
        <v>480</v>
      </c>
      <c r="L515" s="154" t="s">
        <v>480</v>
      </c>
      <c r="M515" s="154" t="s">
        <v>480</v>
      </c>
      <c r="N515" s="154" t="s">
        <v>480</v>
      </c>
      <c r="O515" s="154" t="s">
        <v>480</v>
      </c>
      <c r="P515" s="154" t="s">
        <v>480</v>
      </c>
      <c r="Q515" s="154" t="s">
        <v>480</v>
      </c>
      <c r="R515" s="154" t="s">
        <v>480</v>
      </c>
      <c r="S515" s="154" t="s">
        <v>480</v>
      </c>
      <c r="T515" s="154" t="s">
        <v>480</v>
      </c>
      <c r="U515" s="154" t="s">
        <v>424</v>
      </c>
      <c r="V515" s="154" t="s">
        <v>480</v>
      </c>
      <c r="W515" s="154" t="s">
        <v>480</v>
      </c>
      <c r="X515" s="154" t="s">
        <v>480</v>
      </c>
      <c r="Y515" s="154" t="s">
        <v>480</v>
      </c>
      <c r="Z515" s="154" t="s">
        <v>480</v>
      </c>
      <c r="AA515" s="154" t="s">
        <v>480</v>
      </c>
      <c r="AB515" s="154" t="s">
        <v>480</v>
      </c>
      <c r="AC515" s="154" t="s">
        <v>480</v>
      </c>
      <c r="AD515" s="154" t="s">
        <v>480</v>
      </c>
      <c r="AE515" s="154" t="s">
        <v>480</v>
      </c>
      <c r="AF515" s="154" t="s">
        <v>480</v>
      </c>
      <c r="AG515" s="154" t="s">
        <v>480</v>
      </c>
      <c r="AH515" s="154" t="s">
        <v>480</v>
      </c>
      <c r="AI515" s="154" t="s">
        <v>480</v>
      </c>
      <c r="AJ515" s="154" t="s">
        <v>480</v>
      </c>
      <c r="AK515" s="154" t="s">
        <v>480</v>
      </c>
      <c r="AL515" s="154" t="s">
        <v>424</v>
      </c>
      <c r="AM515" cm="1">
        <f t="array" ref="AM515">SUM(_xlfn.LET(_xlpm.r,((IFERROR(H515:AL515-H514:AL514,0))*24)/10,IF(_xlpm.r&gt;1,1,_xlpm.r)))</f>
        <v>29</v>
      </c>
      <c r="AO515" cm="1">
        <f t="array" ref="AO515">SUM(IFERROR(MOD((H515:AL515-H514:AL514)*24,11),""))</f>
        <v>0</v>
      </c>
      <c r="AS515">
        <v>515</v>
      </c>
    </row>
    <row r="516" spans="1:45" hidden="1" x14ac:dyDescent="0.25">
      <c r="A516">
        <v>515</v>
      </c>
      <c r="B516">
        <v>2025</v>
      </c>
      <c r="C516">
        <v>9</v>
      </c>
      <c r="D516" t="s">
        <v>271</v>
      </c>
      <c r="E516">
        <v>31</v>
      </c>
      <c r="F516">
        <v>8</v>
      </c>
      <c r="G516" t="s">
        <v>534</v>
      </c>
      <c r="H516" s="154" t="s">
        <v>479</v>
      </c>
      <c r="I516" s="154" t="s">
        <v>479</v>
      </c>
      <c r="J516" s="154" t="s">
        <v>479</v>
      </c>
      <c r="K516" s="154" t="s">
        <v>479</v>
      </c>
      <c r="L516" s="154" t="s">
        <v>479</v>
      </c>
      <c r="M516" s="154" t="s">
        <v>479</v>
      </c>
      <c r="N516" s="154" t="s">
        <v>424</v>
      </c>
      <c r="O516" s="154" t="s">
        <v>479</v>
      </c>
      <c r="P516" s="154" t="s">
        <v>479</v>
      </c>
      <c r="Q516" s="154" t="s">
        <v>479</v>
      </c>
      <c r="R516" s="154" t="s">
        <v>479</v>
      </c>
      <c r="S516" s="154" t="s">
        <v>479</v>
      </c>
      <c r="T516" s="154" t="s">
        <v>479</v>
      </c>
      <c r="U516" s="154" t="s">
        <v>424</v>
      </c>
      <c r="V516" s="154" t="s">
        <v>479</v>
      </c>
      <c r="W516" s="154" t="s">
        <v>479</v>
      </c>
      <c r="X516" s="154" t="s">
        <v>479</v>
      </c>
      <c r="Y516" s="154" t="s">
        <v>479</v>
      </c>
      <c r="Z516" s="154" t="s">
        <v>479</v>
      </c>
      <c r="AA516" s="154" t="s">
        <v>479</v>
      </c>
      <c r="AB516" s="154" t="s">
        <v>479</v>
      </c>
      <c r="AC516" s="154" t="s">
        <v>479</v>
      </c>
      <c r="AD516" s="154" t="s">
        <v>479</v>
      </c>
      <c r="AE516" s="154" t="s">
        <v>479</v>
      </c>
      <c r="AF516" s="154" t="s">
        <v>479</v>
      </c>
      <c r="AG516" s="154" t="s">
        <v>479</v>
      </c>
      <c r="AH516" s="154" t="s">
        <v>479</v>
      </c>
      <c r="AI516" s="154" t="s">
        <v>424</v>
      </c>
      <c r="AJ516" s="154" t="s">
        <v>479</v>
      </c>
      <c r="AK516" s="154" t="s">
        <v>479</v>
      </c>
      <c r="AL516" s="154" t="s">
        <v>424</v>
      </c>
      <c r="AS516">
        <v>516</v>
      </c>
    </row>
    <row r="517" spans="1:45" hidden="1" x14ac:dyDescent="0.25">
      <c r="A517">
        <v>516</v>
      </c>
      <c r="B517">
        <v>2025</v>
      </c>
      <c r="C517">
        <v>9</v>
      </c>
      <c r="D517" t="s">
        <v>271</v>
      </c>
      <c r="E517">
        <v>31</v>
      </c>
      <c r="F517">
        <v>8</v>
      </c>
      <c r="G517" t="s">
        <v>535</v>
      </c>
      <c r="H517" s="154" t="s">
        <v>494</v>
      </c>
      <c r="I517" s="154" t="s">
        <v>480</v>
      </c>
      <c r="J517" s="154" t="s">
        <v>494</v>
      </c>
      <c r="K517" s="154" t="s">
        <v>480</v>
      </c>
      <c r="L517" s="154" t="s">
        <v>494</v>
      </c>
      <c r="M517" s="154" t="s">
        <v>480</v>
      </c>
      <c r="N517" s="154" t="s">
        <v>424</v>
      </c>
      <c r="O517" s="154" t="s">
        <v>480</v>
      </c>
      <c r="P517" s="154" t="s">
        <v>494</v>
      </c>
      <c r="Q517" s="154" t="s">
        <v>480</v>
      </c>
      <c r="R517" s="154" t="s">
        <v>480</v>
      </c>
      <c r="S517" s="154" t="s">
        <v>494</v>
      </c>
      <c r="T517" s="154" t="s">
        <v>480</v>
      </c>
      <c r="U517" s="154" t="s">
        <v>424</v>
      </c>
      <c r="V517" s="154" t="s">
        <v>494</v>
      </c>
      <c r="W517" s="154" t="s">
        <v>480</v>
      </c>
      <c r="X517" s="154" t="s">
        <v>494</v>
      </c>
      <c r="Y517" s="154" t="s">
        <v>480</v>
      </c>
      <c r="Z517" s="154" t="s">
        <v>480</v>
      </c>
      <c r="AA517" s="154" t="s">
        <v>494</v>
      </c>
      <c r="AB517" s="154" t="s">
        <v>480</v>
      </c>
      <c r="AC517" s="154" t="s">
        <v>494</v>
      </c>
      <c r="AD517" s="154" t="s">
        <v>480</v>
      </c>
      <c r="AE517" s="154" t="s">
        <v>494</v>
      </c>
      <c r="AF517" s="154" t="s">
        <v>480</v>
      </c>
      <c r="AG517" s="154" t="s">
        <v>494</v>
      </c>
      <c r="AH517" s="154" t="s">
        <v>480</v>
      </c>
      <c r="AI517" s="154" t="s">
        <v>424</v>
      </c>
      <c r="AJ517" s="154" t="s">
        <v>480</v>
      </c>
      <c r="AK517" s="154" t="s">
        <v>480</v>
      </c>
      <c r="AL517" s="154" t="s">
        <v>424</v>
      </c>
      <c r="AM517" cm="1">
        <f t="array" ref="AM517">SUM(_xlfn.LET(_xlpm.r,((IFERROR(H517:AL517-H516:AL516,0))*24)/10,IF(_xlpm.r&gt;1,1,_xlpm.r)))</f>
        <v>27</v>
      </c>
      <c r="AO517" cm="1">
        <f t="array" ref="AO517">SUM(IFERROR(MOD((H517:AL517-H516:AL516)*24,11),""))</f>
        <v>32.999999999999986</v>
      </c>
      <c r="AS517">
        <v>517</v>
      </c>
    </row>
    <row r="518" spans="1:45" hidden="1" x14ac:dyDescent="0.25">
      <c r="A518">
        <v>517</v>
      </c>
      <c r="B518">
        <v>2025</v>
      </c>
      <c r="C518">
        <v>9</v>
      </c>
      <c r="D518" t="s">
        <v>264</v>
      </c>
      <c r="E518">
        <v>31</v>
      </c>
      <c r="F518">
        <v>8</v>
      </c>
      <c r="G518" t="s">
        <v>534</v>
      </c>
      <c r="H518" s="154" t="s">
        <v>479</v>
      </c>
      <c r="I518" s="154" t="s">
        <v>479</v>
      </c>
      <c r="J518" s="154" t="s">
        <v>479</v>
      </c>
      <c r="K518" s="154" t="s">
        <v>479</v>
      </c>
      <c r="L518" s="154" t="s">
        <v>479</v>
      </c>
      <c r="M518" s="154" t="s">
        <v>479</v>
      </c>
      <c r="N518" s="154" t="s">
        <v>479</v>
      </c>
      <c r="O518" s="154" t="s">
        <v>479</v>
      </c>
      <c r="P518" s="154" t="s">
        <v>479</v>
      </c>
      <c r="Q518" s="154" t="s">
        <v>479</v>
      </c>
      <c r="R518" s="154" t="s">
        <v>479</v>
      </c>
      <c r="S518" s="154" t="s">
        <v>479</v>
      </c>
      <c r="T518" s="154" t="s">
        <v>479</v>
      </c>
      <c r="U518" s="154" t="s">
        <v>479</v>
      </c>
      <c r="V518" s="154" t="s">
        <v>479</v>
      </c>
      <c r="W518" s="154" t="s">
        <v>424</v>
      </c>
      <c r="X518" s="154" t="s">
        <v>424</v>
      </c>
      <c r="Y518" s="154" t="s">
        <v>424</v>
      </c>
      <c r="Z518" s="154" t="s">
        <v>424</v>
      </c>
      <c r="AA518" s="154" t="s">
        <v>424</v>
      </c>
      <c r="AB518" s="154" t="s">
        <v>424</v>
      </c>
      <c r="AC518" s="154" t="s">
        <v>424</v>
      </c>
      <c r="AD518" s="154" t="s">
        <v>424</v>
      </c>
      <c r="AE518" s="154" t="s">
        <v>424</v>
      </c>
      <c r="AF518" s="154" t="s">
        <v>424</v>
      </c>
      <c r="AG518" s="154" t="s">
        <v>424</v>
      </c>
      <c r="AH518" s="154" t="s">
        <v>424</v>
      </c>
      <c r="AI518" s="154" t="s">
        <v>424</v>
      </c>
      <c r="AJ518" s="154" t="s">
        <v>424</v>
      </c>
      <c r="AK518" s="154" t="s">
        <v>424</v>
      </c>
      <c r="AL518" s="154" t="s">
        <v>424</v>
      </c>
      <c r="AS518">
        <v>518</v>
      </c>
    </row>
    <row r="519" spans="1:45" hidden="1" x14ac:dyDescent="0.25">
      <c r="A519">
        <v>518</v>
      </c>
      <c r="B519">
        <v>2025</v>
      </c>
      <c r="C519">
        <v>9</v>
      </c>
      <c r="D519" t="s">
        <v>264</v>
      </c>
      <c r="E519">
        <v>31</v>
      </c>
      <c r="F519">
        <v>8</v>
      </c>
      <c r="G519" t="s">
        <v>535</v>
      </c>
      <c r="H519" s="154" t="s">
        <v>480</v>
      </c>
      <c r="I519" s="154" t="s">
        <v>480</v>
      </c>
      <c r="J519" s="154" t="s">
        <v>480</v>
      </c>
      <c r="K519" s="154" t="s">
        <v>480</v>
      </c>
      <c r="L519" s="154" t="s">
        <v>480</v>
      </c>
      <c r="M519" s="154" t="s">
        <v>480</v>
      </c>
      <c r="N519" s="154" t="s">
        <v>480</v>
      </c>
      <c r="O519" s="154" t="s">
        <v>480</v>
      </c>
      <c r="P519" s="154" t="s">
        <v>480</v>
      </c>
      <c r="Q519" s="154" t="s">
        <v>480</v>
      </c>
      <c r="R519" s="154" t="s">
        <v>480</v>
      </c>
      <c r="S519" s="154" t="s">
        <v>480</v>
      </c>
      <c r="T519" s="154" t="s">
        <v>480</v>
      </c>
      <c r="U519" s="154" t="s">
        <v>480</v>
      </c>
      <c r="V519" s="154" t="s">
        <v>480</v>
      </c>
      <c r="W519" s="154" t="s">
        <v>424</v>
      </c>
      <c r="X519" s="154" t="s">
        <v>424</v>
      </c>
      <c r="Y519" s="154" t="s">
        <v>424</v>
      </c>
      <c r="Z519" s="154" t="s">
        <v>424</v>
      </c>
      <c r="AA519" s="154" t="s">
        <v>424</v>
      </c>
      <c r="AB519" s="154" t="s">
        <v>424</v>
      </c>
      <c r="AC519" s="154" t="s">
        <v>424</v>
      </c>
      <c r="AD519" s="154" t="s">
        <v>424</v>
      </c>
      <c r="AE519" s="154" t="s">
        <v>424</v>
      </c>
      <c r="AF519" s="154" t="s">
        <v>424</v>
      </c>
      <c r="AG519" s="154" t="s">
        <v>424</v>
      </c>
      <c r="AH519" s="154" t="s">
        <v>424</v>
      </c>
      <c r="AI519" s="154" t="s">
        <v>424</v>
      </c>
      <c r="AJ519" s="154" t="s">
        <v>424</v>
      </c>
      <c r="AK519" s="154" t="s">
        <v>424</v>
      </c>
      <c r="AL519" s="154" t="s">
        <v>424</v>
      </c>
      <c r="AM519" cm="1">
        <f t="array" ref="AM519">SUM(_xlfn.LET(_xlpm.r,((IFERROR(H519:AL519-H518:AL518,0))*24)/10,IF(_xlpm.r&gt;1,1,_xlpm.r)))</f>
        <v>15</v>
      </c>
      <c r="AO519" cm="1">
        <f t="array" ref="AO519">SUM(IFERROR(MOD((H519:AL519-H518:AL518)*24,11),""))</f>
        <v>0</v>
      </c>
      <c r="AS519">
        <v>519</v>
      </c>
    </row>
    <row r="520" spans="1:45" hidden="1" x14ac:dyDescent="0.25">
      <c r="A520">
        <v>519</v>
      </c>
      <c r="B520">
        <v>2025</v>
      </c>
      <c r="C520">
        <v>9</v>
      </c>
      <c r="D520" t="s">
        <v>273</v>
      </c>
      <c r="E520">
        <v>31</v>
      </c>
      <c r="F520">
        <v>8</v>
      </c>
      <c r="G520" t="s">
        <v>534</v>
      </c>
      <c r="H520" s="154" t="s">
        <v>479</v>
      </c>
      <c r="I520" s="154" t="s">
        <v>479</v>
      </c>
      <c r="J520" s="154" t="s">
        <v>479</v>
      </c>
      <c r="K520" s="154" t="s">
        <v>479</v>
      </c>
      <c r="L520" s="154" t="s">
        <v>479</v>
      </c>
      <c r="M520" s="154" t="s">
        <v>479</v>
      </c>
      <c r="N520" s="154" t="s">
        <v>424</v>
      </c>
      <c r="O520" s="154" t="s">
        <v>479</v>
      </c>
      <c r="P520" s="154" t="s">
        <v>479</v>
      </c>
      <c r="Q520" s="154" t="s">
        <v>479</v>
      </c>
      <c r="R520" s="154" t="s">
        <v>479</v>
      </c>
      <c r="S520" s="154" t="s">
        <v>479</v>
      </c>
      <c r="T520" s="154" t="s">
        <v>479</v>
      </c>
      <c r="U520" s="154" t="s">
        <v>424</v>
      </c>
      <c r="V520" s="154" t="s">
        <v>479</v>
      </c>
      <c r="W520" s="154" t="s">
        <v>479</v>
      </c>
      <c r="X520" s="154" t="s">
        <v>479</v>
      </c>
      <c r="Y520" s="154" t="s">
        <v>424</v>
      </c>
      <c r="Z520" s="154" t="s">
        <v>479</v>
      </c>
      <c r="AA520" s="154" t="s">
        <v>479</v>
      </c>
      <c r="AB520" s="154" t="s">
        <v>479</v>
      </c>
      <c r="AC520" s="154" t="s">
        <v>479</v>
      </c>
      <c r="AD520" s="154" t="s">
        <v>479</v>
      </c>
      <c r="AE520" s="154" t="s">
        <v>479</v>
      </c>
      <c r="AF520" s="154" t="s">
        <v>479</v>
      </c>
      <c r="AG520" s="154" t="s">
        <v>479</v>
      </c>
      <c r="AH520" s="154" t="s">
        <v>479</v>
      </c>
      <c r="AI520" s="154" t="s">
        <v>479</v>
      </c>
      <c r="AJ520" s="154" t="s">
        <v>479</v>
      </c>
      <c r="AK520" s="154" t="s">
        <v>479</v>
      </c>
      <c r="AL520" s="154" t="s">
        <v>424</v>
      </c>
      <c r="AS520">
        <v>520</v>
      </c>
    </row>
    <row r="521" spans="1:45" hidden="1" x14ac:dyDescent="0.25">
      <c r="A521">
        <v>520</v>
      </c>
      <c r="B521">
        <v>2025</v>
      </c>
      <c r="C521">
        <v>9</v>
      </c>
      <c r="D521" t="s">
        <v>273</v>
      </c>
      <c r="E521">
        <v>31</v>
      </c>
      <c r="F521">
        <v>8</v>
      </c>
      <c r="G521" t="s">
        <v>535</v>
      </c>
      <c r="H521" s="154">
        <v>0.75</v>
      </c>
      <c r="I521" s="154">
        <v>0.75</v>
      </c>
      <c r="J521" s="154">
        <v>0.79166666666666674</v>
      </c>
      <c r="K521" s="154">
        <v>0.75</v>
      </c>
      <c r="L521" s="154">
        <v>0.75</v>
      </c>
      <c r="M521" s="154">
        <v>0.75</v>
      </c>
      <c r="N521" s="154" t="s">
        <v>424</v>
      </c>
      <c r="O521" s="154">
        <v>0.75</v>
      </c>
      <c r="P521" s="154">
        <v>0.75</v>
      </c>
      <c r="Q521" s="154">
        <v>0.75</v>
      </c>
      <c r="R521" s="154">
        <v>0.875</v>
      </c>
      <c r="S521" s="154">
        <v>0.75</v>
      </c>
      <c r="T521" s="154">
        <v>0.75</v>
      </c>
      <c r="U521" s="154" t="s">
        <v>424</v>
      </c>
      <c r="V521" s="154">
        <v>0.75</v>
      </c>
      <c r="W521" s="154">
        <v>0.91666666666666674</v>
      </c>
      <c r="X521" s="154">
        <v>0.75</v>
      </c>
      <c r="Y521" s="154" t="s">
        <v>424</v>
      </c>
      <c r="Z521" s="154">
        <v>0.875</v>
      </c>
      <c r="AA521" s="154">
        <v>0.83333333333333326</v>
      </c>
      <c r="AB521" s="154">
        <v>0.75</v>
      </c>
      <c r="AC521" s="154">
        <v>0.75</v>
      </c>
      <c r="AD521" s="154">
        <v>0.75</v>
      </c>
      <c r="AE521" s="154">
        <v>0.875</v>
      </c>
      <c r="AF521" s="154">
        <v>1.1666666666666667</v>
      </c>
      <c r="AG521" s="154">
        <v>0.75</v>
      </c>
      <c r="AH521" s="154">
        <v>0.83333333333333326</v>
      </c>
      <c r="AI521" s="154">
        <v>0.75</v>
      </c>
      <c r="AJ521" s="154">
        <v>0.875</v>
      </c>
      <c r="AK521" s="154">
        <v>0.75</v>
      </c>
      <c r="AL521" s="154" t="s">
        <v>424</v>
      </c>
      <c r="AM521" cm="1">
        <f t="array" ref="AM521">SUM(_xlfn.LET(_xlpm.r,((IFERROR(H521:AL521-H520:AL520,0))*24)/10,IF(_xlpm.r&gt;1,1,_xlpm.r)))</f>
        <v>27</v>
      </c>
      <c r="AO521" cm="1">
        <f t="array" ref="AO521">SUM(IFERROR(MOD((H521:AL521-H520:AL520)*24,11),""))</f>
        <v>30.999999999999986</v>
      </c>
      <c r="AS521">
        <v>521</v>
      </c>
    </row>
    <row r="522" spans="1:45" hidden="1" x14ac:dyDescent="0.25">
      <c r="A522">
        <v>521</v>
      </c>
      <c r="B522">
        <v>2025</v>
      </c>
      <c r="C522">
        <v>9</v>
      </c>
      <c r="D522" t="s">
        <v>274</v>
      </c>
      <c r="E522">
        <v>31</v>
      </c>
      <c r="F522">
        <v>8</v>
      </c>
      <c r="G522" t="s">
        <v>534</v>
      </c>
      <c r="H522" s="154" t="s">
        <v>479</v>
      </c>
      <c r="I522" s="154" t="s">
        <v>479</v>
      </c>
      <c r="J522" s="154" t="s">
        <v>479</v>
      </c>
      <c r="K522" s="154" t="s">
        <v>479</v>
      </c>
      <c r="L522" s="154" t="s">
        <v>479</v>
      </c>
      <c r="M522" s="154" t="s">
        <v>479</v>
      </c>
      <c r="N522" s="154" t="s">
        <v>479</v>
      </c>
      <c r="O522" s="154" t="s">
        <v>479</v>
      </c>
      <c r="P522" s="154" t="s">
        <v>479</v>
      </c>
      <c r="Q522" s="154" t="s">
        <v>479</v>
      </c>
      <c r="R522" s="154" t="s">
        <v>479</v>
      </c>
      <c r="S522" s="154" t="s">
        <v>479</v>
      </c>
      <c r="T522" s="154" t="s">
        <v>479</v>
      </c>
      <c r="U522" s="154" t="s">
        <v>479</v>
      </c>
      <c r="V522" s="154" t="s">
        <v>479</v>
      </c>
      <c r="W522" s="154" t="s">
        <v>479</v>
      </c>
      <c r="X522" s="154" t="s">
        <v>479</v>
      </c>
      <c r="Y522" s="154" t="s">
        <v>479</v>
      </c>
      <c r="Z522" s="154" t="s">
        <v>479</v>
      </c>
      <c r="AA522" s="154" t="s">
        <v>479</v>
      </c>
      <c r="AB522" s="154" t="s">
        <v>479</v>
      </c>
      <c r="AC522" s="154" t="s">
        <v>479</v>
      </c>
      <c r="AD522" s="154" t="s">
        <v>479</v>
      </c>
      <c r="AE522" s="154" t="s">
        <v>479</v>
      </c>
      <c r="AF522" s="154" t="s">
        <v>479</v>
      </c>
      <c r="AG522" s="154" t="s">
        <v>479</v>
      </c>
      <c r="AH522" s="154" t="s">
        <v>479</v>
      </c>
      <c r="AI522" s="154" t="s">
        <v>479</v>
      </c>
      <c r="AJ522" s="154" t="s">
        <v>479</v>
      </c>
      <c r="AK522" s="154" t="s">
        <v>479</v>
      </c>
      <c r="AL522" s="154" t="s">
        <v>424</v>
      </c>
      <c r="AS522">
        <v>522</v>
      </c>
    </row>
    <row r="523" spans="1:45" hidden="1" x14ac:dyDescent="0.25">
      <c r="A523">
        <v>522</v>
      </c>
      <c r="B523">
        <v>2025</v>
      </c>
      <c r="C523">
        <v>9</v>
      </c>
      <c r="D523" t="s">
        <v>274</v>
      </c>
      <c r="E523">
        <v>31</v>
      </c>
      <c r="F523">
        <v>8</v>
      </c>
      <c r="G523" t="s">
        <v>535</v>
      </c>
      <c r="H523" s="154">
        <v>0.75</v>
      </c>
      <c r="I523" s="154">
        <v>0.75</v>
      </c>
      <c r="J523" s="154">
        <v>0.75</v>
      </c>
      <c r="K523" s="154">
        <v>0.75</v>
      </c>
      <c r="L523" s="154">
        <v>0.75</v>
      </c>
      <c r="M523" s="154">
        <v>0.75</v>
      </c>
      <c r="N523" s="154">
        <v>0.75</v>
      </c>
      <c r="O523" s="154">
        <v>0.75</v>
      </c>
      <c r="P523" s="154">
        <v>0.75</v>
      </c>
      <c r="Q523" s="154">
        <v>0.75</v>
      </c>
      <c r="R523" s="154">
        <v>0.75</v>
      </c>
      <c r="S523" s="154">
        <v>0.75</v>
      </c>
      <c r="T523" s="154">
        <v>0.75</v>
      </c>
      <c r="U523" s="154">
        <v>0.75</v>
      </c>
      <c r="V523" s="154">
        <v>0.75</v>
      </c>
      <c r="W523" s="154">
        <v>0.75</v>
      </c>
      <c r="X523" s="154">
        <v>0.75</v>
      </c>
      <c r="Y523" s="154">
        <v>0.75</v>
      </c>
      <c r="Z523" s="154">
        <v>0.75</v>
      </c>
      <c r="AA523" s="154">
        <v>0.75</v>
      </c>
      <c r="AB523" s="154">
        <v>0.75</v>
      </c>
      <c r="AC523" s="154">
        <v>0.75</v>
      </c>
      <c r="AD523" s="154">
        <v>0.75</v>
      </c>
      <c r="AE523" s="154">
        <v>0.75</v>
      </c>
      <c r="AF523" s="154">
        <v>0.75</v>
      </c>
      <c r="AG523" s="154">
        <v>0.75</v>
      </c>
      <c r="AH523" s="154">
        <v>0.75</v>
      </c>
      <c r="AI523" s="154">
        <v>0.75</v>
      </c>
      <c r="AJ523" s="154">
        <v>0.75</v>
      </c>
      <c r="AK523" s="154">
        <v>0.75</v>
      </c>
      <c r="AL523" s="154" t="s">
        <v>424</v>
      </c>
      <c r="AM523" cm="1">
        <f t="array" ref="AM523">SUM(_xlfn.LET(_xlpm.r,((IFERROR(H523:AL523-H522:AL522,0))*24)/10,IF(_xlpm.r&gt;1,1,_xlpm.r)))</f>
        <v>30</v>
      </c>
      <c r="AO523" cm="1">
        <f t="array" ref="AO523">SUM(IFERROR(MOD((H523:AL523-H522:AL522)*24,11),""))</f>
        <v>0</v>
      </c>
      <c r="AS523">
        <v>523</v>
      </c>
    </row>
    <row r="524" spans="1:45" hidden="1" x14ac:dyDescent="0.25">
      <c r="A524">
        <v>523</v>
      </c>
      <c r="B524">
        <v>2025</v>
      </c>
      <c r="C524">
        <v>9</v>
      </c>
      <c r="D524" t="s">
        <v>262</v>
      </c>
      <c r="E524">
        <v>31</v>
      </c>
      <c r="F524">
        <v>8</v>
      </c>
      <c r="G524" t="s">
        <v>534</v>
      </c>
      <c r="H524" s="154">
        <v>0.29166666666666669</v>
      </c>
      <c r="I524" s="154">
        <v>0.29166666666666669</v>
      </c>
      <c r="J524" s="154">
        <v>0.29166666666666669</v>
      </c>
      <c r="K524" s="154">
        <v>0.29166666666666669</v>
      </c>
      <c r="L524" s="154">
        <v>0.29166666666666669</v>
      </c>
      <c r="M524" s="154">
        <v>0.29166666666666669</v>
      </c>
      <c r="N524" s="154">
        <v>0.29166666666666669</v>
      </c>
      <c r="O524" s="154">
        <v>0.29166666666666669</v>
      </c>
      <c r="P524" s="154">
        <v>0.29166666666666669</v>
      </c>
      <c r="Q524" s="154">
        <v>0.29166666666666669</v>
      </c>
      <c r="R524" s="154">
        <v>0.29166666666666669</v>
      </c>
      <c r="S524" s="154">
        <v>0.29166666666666669</v>
      </c>
      <c r="T524" s="154">
        <v>0.29166666666666669</v>
      </c>
      <c r="U524" s="154">
        <v>0.29166666666666669</v>
      </c>
      <c r="V524" s="154">
        <v>0.29166666666666669</v>
      </c>
      <c r="W524" s="154">
        <v>0.29166666666666669</v>
      </c>
      <c r="X524" s="154">
        <v>0.29166666666666669</v>
      </c>
      <c r="Y524" s="154">
        <v>0.29166666666666669</v>
      </c>
      <c r="Z524" s="154">
        <v>0.29166666666666669</v>
      </c>
      <c r="AA524" s="154">
        <v>0.29166666666666669</v>
      </c>
      <c r="AB524" s="154">
        <v>0.29166666666666669</v>
      </c>
      <c r="AC524" s="154">
        <v>0.29166666666666669</v>
      </c>
      <c r="AD524" s="154">
        <v>0.29166666666666669</v>
      </c>
      <c r="AE524" s="154">
        <v>0.29166666666666669</v>
      </c>
      <c r="AF524" s="154">
        <v>0.29166666666666669</v>
      </c>
      <c r="AG524" s="154">
        <v>0.29166666666666669</v>
      </c>
      <c r="AH524" s="154">
        <v>0.29166666666666669</v>
      </c>
      <c r="AI524" s="154">
        <v>0.29166666666666669</v>
      </c>
      <c r="AJ524" s="154">
        <v>0.29166666666666669</v>
      </c>
      <c r="AK524" s="154">
        <v>0.29166666666666669</v>
      </c>
      <c r="AL524" s="154" t="s">
        <v>424</v>
      </c>
      <c r="AS524">
        <v>524</v>
      </c>
    </row>
    <row r="525" spans="1:45" hidden="1" x14ac:dyDescent="0.25">
      <c r="A525">
        <v>524</v>
      </c>
      <c r="B525">
        <v>2025</v>
      </c>
      <c r="C525">
        <v>9</v>
      </c>
      <c r="D525" t="s">
        <v>262</v>
      </c>
      <c r="E525">
        <v>31</v>
      </c>
      <c r="F525">
        <v>8</v>
      </c>
      <c r="G525" t="s">
        <v>535</v>
      </c>
      <c r="H525" s="154">
        <v>0.75</v>
      </c>
      <c r="I525" s="154">
        <v>0.75</v>
      </c>
      <c r="J525" s="154">
        <v>0.75</v>
      </c>
      <c r="K525" s="154">
        <v>0.75</v>
      </c>
      <c r="L525" s="154">
        <v>0.75</v>
      </c>
      <c r="M525" s="154">
        <v>0.75</v>
      </c>
      <c r="N525" s="154">
        <v>0.75</v>
      </c>
      <c r="O525" s="154">
        <v>0.75</v>
      </c>
      <c r="P525" s="154">
        <v>0.75</v>
      </c>
      <c r="Q525" s="154">
        <v>0.75</v>
      </c>
      <c r="R525" s="154">
        <v>0.75</v>
      </c>
      <c r="S525" s="154">
        <v>0.75</v>
      </c>
      <c r="T525" s="154">
        <v>0.75</v>
      </c>
      <c r="U525" s="154">
        <v>0.75</v>
      </c>
      <c r="V525" s="154">
        <v>0.75</v>
      </c>
      <c r="W525" s="154">
        <v>0.75</v>
      </c>
      <c r="X525" s="154">
        <v>0.75</v>
      </c>
      <c r="Y525" s="154">
        <v>0.75</v>
      </c>
      <c r="Z525" s="154">
        <v>0.75</v>
      </c>
      <c r="AA525" s="154">
        <v>0.75</v>
      </c>
      <c r="AB525" s="154">
        <v>0.75</v>
      </c>
      <c r="AC525" s="154">
        <v>0.75</v>
      </c>
      <c r="AD525" s="154">
        <v>0.75</v>
      </c>
      <c r="AE525" s="154">
        <v>0.75</v>
      </c>
      <c r="AF525" s="154">
        <v>0.75</v>
      </c>
      <c r="AG525" s="154">
        <v>0.75</v>
      </c>
      <c r="AH525" s="154">
        <v>0.75</v>
      </c>
      <c r="AI525" s="154">
        <v>0.75</v>
      </c>
      <c r="AJ525" s="154">
        <v>0.75</v>
      </c>
      <c r="AK525" s="154">
        <v>0.75</v>
      </c>
      <c r="AL525" s="154" t="s">
        <v>424</v>
      </c>
      <c r="AM525" cm="1">
        <f t="array" ref="AM525">SUM(_xlfn.LET(_xlpm.r,((IFERROR(H525:AL525-H524:AL524,0))*24)/10,IF(_xlpm.r&gt;1,1,_xlpm.r)))</f>
        <v>30</v>
      </c>
      <c r="AS525">
        <v>525</v>
      </c>
    </row>
    <row r="526" spans="1:45" hidden="1" x14ac:dyDescent="0.25">
      <c r="A526">
        <v>525</v>
      </c>
      <c r="B526">
        <v>2025</v>
      </c>
      <c r="C526">
        <v>9</v>
      </c>
      <c r="D526" t="s">
        <v>244</v>
      </c>
      <c r="E526">
        <v>31</v>
      </c>
      <c r="F526">
        <v>8</v>
      </c>
      <c r="G526" t="s">
        <v>534</v>
      </c>
      <c r="H526" s="154" t="s">
        <v>479</v>
      </c>
      <c r="I526" s="154" t="s">
        <v>479</v>
      </c>
      <c r="J526" s="154" t="s">
        <v>479</v>
      </c>
      <c r="K526" s="154" t="s">
        <v>479</v>
      </c>
      <c r="L526" s="154" t="s">
        <v>479</v>
      </c>
      <c r="M526" s="154" t="s">
        <v>479</v>
      </c>
      <c r="N526" s="154" t="s">
        <v>479</v>
      </c>
      <c r="O526" s="154" t="s">
        <v>479</v>
      </c>
      <c r="P526" s="154" t="s">
        <v>479</v>
      </c>
      <c r="Q526" s="154" t="s">
        <v>479</v>
      </c>
      <c r="R526" s="154" t="s">
        <v>479</v>
      </c>
      <c r="S526" s="154" t="s">
        <v>424</v>
      </c>
      <c r="T526" s="154" t="s">
        <v>424</v>
      </c>
      <c r="U526" s="154" t="s">
        <v>424</v>
      </c>
      <c r="V526" s="154" t="s">
        <v>424</v>
      </c>
      <c r="W526" s="154" t="s">
        <v>424</v>
      </c>
      <c r="X526" s="154" t="s">
        <v>424</v>
      </c>
      <c r="Y526" s="154" t="s">
        <v>424</v>
      </c>
      <c r="Z526" s="154" t="s">
        <v>424</v>
      </c>
      <c r="AA526" s="154" t="s">
        <v>424</v>
      </c>
      <c r="AB526" s="154" t="s">
        <v>424</v>
      </c>
      <c r="AC526" s="154" t="s">
        <v>424</v>
      </c>
      <c r="AD526" s="154" t="s">
        <v>424</v>
      </c>
      <c r="AE526" s="154" t="s">
        <v>424</v>
      </c>
      <c r="AF526" s="154" t="s">
        <v>424</v>
      </c>
      <c r="AG526" s="154" t="s">
        <v>424</v>
      </c>
      <c r="AH526" s="154" t="s">
        <v>424</v>
      </c>
      <c r="AI526" s="154" t="s">
        <v>424</v>
      </c>
      <c r="AJ526" s="154" t="s">
        <v>424</v>
      </c>
      <c r="AK526" s="154" t="s">
        <v>424</v>
      </c>
      <c r="AL526" s="154" t="s">
        <v>424</v>
      </c>
      <c r="AS526">
        <v>526</v>
      </c>
    </row>
    <row r="527" spans="1:45" hidden="1" x14ac:dyDescent="0.25">
      <c r="A527">
        <v>526</v>
      </c>
      <c r="B527">
        <v>2025</v>
      </c>
      <c r="C527">
        <v>9</v>
      </c>
      <c r="D527" t="s">
        <v>244</v>
      </c>
      <c r="E527">
        <v>31</v>
      </c>
      <c r="F527">
        <v>8</v>
      </c>
      <c r="G527" t="s">
        <v>535</v>
      </c>
      <c r="H527" s="154">
        <v>0.75</v>
      </c>
      <c r="I527" s="154">
        <v>0.75</v>
      </c>
      <c r="J527" s="154">
        <v>0.95833333333333326</v>
      </c>
      <c r="K527" s="154">
        <v>1</v>
      </c>
      <c r="L527" s="154">
        <v>0.75</v>
      </c>
      <c r="M527" s="154">
        <v>0.83333333333333326</v>
      </c>
      <c r="N527" s="154">
        <v>1</v>
      </c>
      <c r="O527" s="154">
        <v>1.0833333333333333</v>
      </c>
      <c r="P527" s="154">
        <v>1.0833333333333333</v>
      </c>
      <c r="Q527" s="154">
        <v>0.91666666666666674</v>
      </c>
      <c r="R527" s="154">
        <v>1.0833333333333333</v>
      </c>
      <c r="S527" s="154" t="s">
        <v>424</v>
      </c>
      <c r="T527" s="154" t="s">
        <v>424</v>
      </c>
      <c r="U527" s="154" t="s">
        <v>424</v>
      </c>
      <c r="V527" s="154" t="s">
        <v>424</v>
      </c>
      <c r="W527" s="154" t="s">
        <v>424</v>
      </c>
      <c r="X527" s="154" t="s">
        <v>424</v>
      </c>
      <c r="Y527" s="154" t="s">
        <v>424</v>
      </c>
      <c r="Z527" s="154" t="s">
        <v>424</v>
      </c>
      <c r="AA527" s="154" t="s">
        <v>424</v>
      </c>
      <c r="AB527" s="154" t="s">
        <v>424</v>
      </c>
      <c r="AC527" s="154" t="s">
        <v>424</v>
      </c>
      <c r="AD527" s="154" t="s">
        <v>424</v>
      </c>
      <c r="AE527" s="154" t="s">
        <v>424</v>
      </c>
      <c r="AF527" s="154" t="s">
        <v>424</v>
      </c>
      <c r="AG527" s="154" t="s">
        <v>424</v>
      </c>
      <c r="AH527" s="154" t="s">
        <v>424</v>
      </c>
      <c r="AI527" s="154" t="s">
        <v>424</v>
      </c>
      <c r="AJ527" s="154" t="s">
        <v>424</v>
      </c>
      <c r="AK527" s="154" t="s">
        <v>424</v>
      </c>
      <c r="AL527" s="154" t="s">
        <v>424</v>
      </c>
      <c r="AM527" cm="1">
        <f t="array" ref="AM527">SUM(_xlfn.LET(_xlpm.r,((IFERROR(H527:AL527-H526:AL526,0))*24)/10,IF(_xlpm.r&gt;1,1,_xlpm.r)))</f>
        <v>11</v>
      </c>
      <c r="AO527" cm="1">
        <f t="array" ref="AO527">SUM(IFERROR(MOD((H527:AL527-H526:AL526)*24,11),""))</f>
        <v>46.999999999999986</v>
      </c>
      <c r="AS527">
        <v>527</v>
      </c>
    </row>
    <row r="528" spans="1:45" hidden="1" x14ac:dyDescent="0.25">
      <c r="A528">
        <v>527</v>
      </c>
      <c r="B528">
        <v>2025</v>
      </c>
      <c r="C528">
        <v>9</v>
      </c>
      <c r="D528" t="s">
        <v>270</v>
      </c>
      <c r="E528">
        <v>31</v>
      </c>
      <c r="F528">
        <v>8</v>
      </c>
      <c r="G528" t="s">
        <v>534</v>
      </c>
      <c r="H528" s="154" t="s">
        <v>479</v>
      </c>
      <c r="I528" s="154" t="s">
        <v>479</v>
      </c>
      <c r="J528" s="154" t="s">
        <v>479</v>
      </c>
      <c r="K528" s="154" t="s">
        <v>479</v>
      </c>
      <c r="L528" s="154" t="s">
        <v>479</v>
      </c>
      <c r="M528" s="154" t="s">
        <v>479</v>
      </c>
      <c r="N528" s="154" t="s">
        <v>479</v>
      </c>
      <c r="O528" s="154" t="s">
        <v>479</v>
      </c>
      <c r="P528" s="154" t="s">
        <v>479</v>
      </c>
      <c r="Q528" s="154" t="s">
        <v>479</v>
      </c>
      <c r="R528" s="154" t="s">
        <v>479</v>
      </c>
      <c r="S528" s="154" t="s">
        <v>479</v>
      </c>
      <c r="T528" s="154" t="s">
        <v>479</v>
      </c>
      <c r="U528" s="154" t="s">
        <v>424</v>
      </c>
      <c r="V528" s="154" t="s">
        <v>479</v>
      </c>
      <c r="W528" s="154" t="s">
        <v>479</v>
      </c>
      <c r="X528" s="154" t="s">
        <v>479</v>
      </c>
      <c r="Y528" s="154" t="s">
        <v>479</v>
      </c>
      <c r="Z528" s="154" t="s">
        <v>479</v>
      </c>
      <c r="AA528" s="154" t="s">
        <v>479</v>
      </c>
      <c r="AB528" s="154" t="s">
        <v>479</v>
      </c>
      <c r="AC528" s="154" t="s">
        <v>479</v>
      </c>
      <c r="AD528" s="154" t="s">
        <v>479</v>
      </c>
      <c r="AE528" s="154" t="s">
        <v>479</v>
      </c>
      <c r="AF528" s="154" t="s">
        <v>479</v>
      </c>
      <c r="AG528" s="154" t="s">
        <v>479</v>
      </c>
      <c r="AH528" s="154" t="s">
        <v>479</v>
      </c>
      <c r="AI528" s="154" t="s">
        <v>479</v>
      </c>
      <c r="AJ528" s="154" t="s">
        <v>479</v>
      </c>
      <c r="AK528" s="154" t="s">
        <v>479</v>
      </c>
      <c r="AL528" s="154" t="s">
        <v>424</v>
      </c>
      <c r="AS528">
        <v>528</v>
      </c>
    </row>
    <row r="529" spans="1:45" hidden="1" x14ac:dyDescent="0.25">
      <c r="A529">
        <v>528</v>
      </c>
      <c r="B529">
        <v>2025</v>
      </c>
      <c r="C529">
        <v>9</v>
      </c>
      <c r="D529" t="s">
        <v>270</v>
      </c>
      <c r="E529">
        <v>31</v>
      </c>
      <c r="F529">
        <v>8</v>
      </c>
      <c r="G529" t="s">
        <v>535</v>
      </c>
      <c r="H529" s="154">
        <v>0.79166666666666674</v>
      </c>
      <c r="I529" s="154">
        <v>1.0833333333333333</v>
      </c>
      <c r="J529" s="154">
        <v>0.75</v>
      </c>
      <c r="K529" s="154">
        <v>1.0416666666666667</v>
      </c>
      <c r="L529" s="154">
        <v>0.79166666666666674</v>
      </c>
      <c r="M529" s="154">
        <v>1</v>
      </c>
      <c r="N529" s="154">
        <v>0.875</v>
      </c>
      <c r="O529" s="154">
        <v>0.79166666666666674</v>
      </c>
      <c r="P529" s="154">
        <v>0.79166666666666674</v>
      </c>
      <c r="Q529" s="154">
        <v>1</v>
      </c>
      <c r="R529" s="154">
        <v>0.75</v>
      </c>
      <c r="S529" s="154">
        <v>0.75</v>
      </c>
      <c r="T529" s="154">
        <v>0.95833333333333326</v>
      </c>
      <c r="U529" s="154" t="s">
        <v>424</v>
      </c>
      <c r="V529" s="154">
        <v>0.95833333333333326</v>
      </c>
      <c r="W529" s="154">
        <v>0.79166666666666674</v>
      </c>
      <c r="X529" s="154">
        <v>0.95833333333333326</v>
      </c>
      <c r="Y529" s="154">
        <v>0.95833333333333326</v>
      </c>
      <c r="Z529" s="154">
        <v>1</v>
      </c>
      <c r="AA529" s="154">
        <v>0.75</v>
      </c>
      <c r="AB529" s="154">
        <v>0.95833333333333326</v>
      </c>
      <c r="AC529" s="154">
        <v>0.75</v>
      </c>
      <c r="AD529" s="154">
        <v>1</v>
      </c>
      <c r="AE529" s="154">
        <v>0.79166666666666674</v>
      </c>
      <c r="AF529" s="154">
        <v>1</v>
      </c>
      <c r="AG529" s="154">
        <v>0.91666666666666674</v>
      </c>
      <c r="AH529" s="154">
        <v>0.91666666666666674</v>
      </c>
      <c r="AI529" s="154">
        <v>0.875</v>
      </c>
      <c r="AJ529" s="154">
        <v>1</v>
      </c>
      <c r="AK529" s="154">
        <v>0.83333333333333326</v>
      </c>
      <c r="AL529" s="154" t="s">
        <v>424</v>
      </c>
      <c r="AM529" cm="1">
        <f t="array" ref="AM529">SUM(_xlfn.LET(_xlpm.r,((IFERROR(H529:AL529-H528:AL528,0))*24)/10,IF(_xlpm.r&gt;1,1,_xlpm.r)))</f>
        <v>29</v>
      </c>
      <c r="AO529" cm="1">
        <f t="array" ref="AO529">SUM(IFERROR((H529:AL529-H528:AL528)*24-11,""))</f>
        <v>97.999999999999986</v>
      </c>
      <c r="AS529">
        <v>529</v>
      </c>
    </row>
    <row r="530" spans="1:45" hidden="1" x14ac:dyDescent="0.25">
      <c r="A530">
        <v>529</v>
      </c>
      <c r="B530">
        <v>2025</v>
      </c>
      <c r="C530">
        <v>9</v>
      </c>
      <c r="D530" t="s">
        <v>248</v>
      </c>
      <c r="E530">
        <v>31</v>
      </c>
      <c r="F530">
        <v>8</v>
      </c>
      <c r="G530" t="s">
        <v>534</v>
      </c>
      <c r="H530" s="154" t="s">
        <v>479</v>
      </c>
      <c r="I530" s="154" t="s">
        <v>479</v>
      </c>
      <c r="J530" s="154" t="s">
        <v>479</v>
      </c>
      <c r="K530" s="154" t="s">
        <v>479</v>
      </c>
      <c r="L530" s="154" t="s">
        <v>479</v>
      </c>
      <c r="M530" s="154" t="s">
        <v>479</v>
      </c>
      <c r="N530" s="154" t="s">
        <v>479</v>
      </c>
      <c r="O530" s="154" t="s">
        <v>479</v>
      </c>
      <c r="P530" s="154" t="s">
        <v>479</v>
      </c>
      <c r="Q530" s="154" t="s">
        <v>479</v>
      </c>
      <c r="R530" s="154" t="s">
        <v>479</v>
      </c>
      <c r="S530" s="154" t="s">
        <v>479</v>
      </c>
      <c r="T530" s="154" t="s">
        <v>479</v>
      </c>
      <c r="U530" s="154" t="s">
        <v>424</v>
      </c>
      <c r="V530" s="154" t="s">
        <v>479</v>
      </c>
      <c r="W530" s="154" t="s">
        <v>479</v>
      </c>
      <c r="X530" s="154" t="s">
        <v>479</v>
      </c>
      <c r="Y530" s="154" t="s">
        <v>479</v>
      </c>
      <c r="Z530" s="154" t="s">
        <v>479</v>
      </c>
      <c r="AA530" s="154" t="s">
        <v>479</v>
      </c>
      <c r="AB530" s="154" t="s">
        <v>479</v>
      </c>
      <c r="AC530" s="154" t="s">
        <v>479</v>
      </c>
      <c r="AD530" s="154" t="s">
        <v>479</v>
      </c>
      <c r="AE530" s="154" t="s">
        <v>479</v>
      </c>
      <c r="AF530" s="154" t="s">
        <v>479</v>
      </c>
      <c r="AG530" s="154" t="s">
        <v>479</v>
      </c>
      <c r="AH530" s="154" t="s">
        <v>479</v>
      </c>
      <c r="AI530" s="154" t="s">
        <v>479</v>
      </c>
      <c r="AJ530" s="154" t="s">
        <v>479</v>
      </c>
      <c r="AK530" s="154" t="s">
        <v>479</v>
      </c>
      <c r="AL530" s="154" t="s">
        <v>424</v>
      </c>
      <c r="AS530">
        <v>530</v>
      </c>
    </row>
    <row r="531" spans="1:45" hidden="1" x14ac:dyDescent="0.25">
      <c r="A531">
        <v>530</v>
      </c>
      <c r="B531">
        <v>2025</v>
      </c>
      <c r="C531">
        <v>9</v>
      </c>
      <c r="D531" t="s">
        <v>248</v>
      </c>
      <c r="E531">
        <v>31</v>
      </c>
      <c r="F531">
        <v>8</v>
      </c>
      <c r="G531" t="s">
        <v>535</v>
      </c>
      <c r="H531" s="154">
        <v>0.79166666666666674</v>
      </c>
      <c r="I531" s="154">
        <v>0.875</v>
      </c>
      <c r="J531" s="154">
        <v>0.75</v>
      </c>
      <c r="K531" s="154">
        <v>0.95833333333333326</v>
      </c>
      <c r="L531" s="154">
        <v>0.79166666666666674</v>
      </c>
      <c r="M531" s="154">
        <v>0.875</v>
      </c>
      <c r="N531" s="154">
        <v>0.75</v>
      </c>
      <c r="O531" s="154">
        <v>0.875</v>
      </c>
      <c r="P531" s="154">
        <v>0.79166666666666674</v>
      </c>
      <c r="Q531" s="154">
        <v>0.91666666666666674</v>
      </c>
      <c r="R531" s="154">
        <v>0.75</v>
      </c>
      <c r="S531" s="154">
        <v>0.95833333333333326</v>
      </c>
      <c r="T531" s="154">
        <v>0.91666666666666674</v>
      </c>
      <c r="U531" s="154" t="s">
        <v>424</v>
      </c>
      <c r="V531" s="154">
        <v>0.83333333333333326</v>
      </c>
      <c r="W531" s="154">
        <v>0.91666666666666674</v>
      </c>
      <c r="X531" s="154">
        <v>0.79166666666666674</v>
      </c>
      <c r="Y531" s="154">
        <v>0.75</v>
      </c>
      <c r="Z531" s="154">
        <v>0.875</v>
      </c>
      <c r="AA531" s="154">
        <v>0.75</v>
      </c>
      <c r="AB531" s="154">
        <v>0.75</v>
      </c>
      <c r="AC531" s="154">
        <v>0.83333333333333326</v>
      </c>
      <c r="AD531" s="154">
        <v>0.75</v>
      </c>
      <c r="AE531" s="154">
        <v>0.79166666666666674</v>
      </c>
      <c r="AF531" s="154">
        <v>0.75</v>
      </c>
      <c r="AG531" s="154">
        <v>0.91666666666666674</v>
      </c>
      <c r="AH531" s="154">
        <v>0.75</v>
      </c>
      <c r="AI531" s="154">
        <v>0.91666666666666674</v>
      </c>
      <c r="AJ531" s="154">
        <v>0.75</v>
      </c>
      <c r="AK531" s="154">
        <v>0.75</v>
      </c>
      <c r="AL531" s="154" t="s">
        <v>424</v>
      </c>
      <c r="AM531" cm="1">
        <f t="array" ref="AM531">SUM(_xlfn.LET(_xlpm.r,((IFERROR(H531:AL531-H530:AL530,0))*24)/10,IF(_xlpm.r&gt;1,1,_xlpm.r)))</f>
        <v>29</v>
      </c>
      <c r="AO531" cm="1">
        <f t="array" ref="AO531">SUM(IFERROR(MOD((H531:AL531-H530:AL530)*24,11),""))</f>
        <v>50.999999999999986</v>
      </c>
      <c r="AS531">
        <v>531</v>
      </c>
    </row>
    <row r="532" spans="1:45" hidden="1" x14ac:dyDescent="0.25">
      <c r="A532">
        <v>531</v>
      </c>
      <c r="B532">
        <v>2025</v>
      </c>
      <c r="C532">
        <v>9</v>
      </c>
      <c r="D532" t="s">
        <v>232</v>
      </c>
      <c r="E532">
        <v>31</v>
      </c>
      <c r="F532">
        <v>8</v>
      </c>
      <c r="G532" t="s">
        <v>534</v>
      </c>
      <c r="H532" s="154" t="s">
        <v>424</v>
      </c>
      <c r="I532" s="154" t="s">
        <v>424</v>
      </c>
      <c r="J532" s="154" t="s">
        <v>424</v>
      </c>
      <c r="K532" s="154" t="s">
        <v>424</v>
      </c>
      <c r="L532" s="154" t="s">
        <v>424</v>
      </c>
      <c r="M532" s="154" t="s">
        <v>424</v>
      </c>
      <c r="N532" s="154" t="s">
        <v>479</v>
      </c>
      <c r="O532" s="154" t="s">
        <v>479</v>
      </c>
      <c r="P532" s="154" t="s">
        <v>479</v>
      </c>
      <c r="Q532" s="154" t="s">
        <v>479</v>
      </c>
      <c r="R532" s="154" t="s">
        <v>479</v>
      </c>
      <c r="S532" s="154" t="s">
        <v>479</v>
      </c>
      <c r="T532" s="154" t="s">
        <v>479</v>
      </c>
      <c r="U532" s="154" t="s">
        <v>479</v>
      </c>
      <c r="V532" s="154" t="s">
        <v>479</v>
      </c>
      <c r="W532" s="154" t="s">
        <v>479</v>
      </c>
      <c r="X532" s="154" t="s">
        <v>479</v>
      </c>
      <c r="Y532" s="154" t="s">
        <v>479</v>
      </c>
      <c r="Z532" s="154" t="s">
        <v>479</v>
      </c>
      <c r="AA532" s="154" t="s">
        <v>479</v>
      </c>
      <c r="AB532" s="154" t="s">
        <v>479</v>
      </c>
      <c r="AC532" s="154" t="s">
        <v>479</v>
      </c>
      <c r="AD532" s="154" t="s">
        <v>479</v>
      </c>
      <c r="AE532" s="154" t="s">
        <v>479</v>
      </c>
      <c r="AF532" s="154" t="s">
        <v>479</v>
      </c>
      <c r="AG532" s="154" t="s">
        <v>479</v>
      </c>
      <c r="AH532" s="154" t="s">
        <v>479</v>
      </c>
      <c r="AI532" s="154" t="s">
        <v>479</v>
      </c>
      <c r="AJ532" s="154" t="s">
        <v>479</v>
      </c>
      <c r="AK532" s="154" t="s">
        <v>479</v>
      </c>
      <c r="AL532" s="154" t="s">
        <v>424</v>
      </c>
      <c r="AS532">
        <v>532</v>
      </c>
    </row>
    <row r="533" spans="1:45" hidden="1" x14ac:dyDescent="0.25">
      <c r="A533">
        <v>532</v>
      </c>
      <c r="B533">
        <v>2025</v>
      </c>
      <c r="C533">
        <v>9</v>
      </c>
      <c r="D533" t="s">
        <v>232</v>
      </c>
      <c r="E533">
        <v>31</v>
      </c>
      <c r="F533">
        <v>8</v>
      </c>
      <c r="G533" t="s">
        <v>535</v>
      </c>
      <c r="H533" s="154" t="s">
        <v>424</v>
      </c>
      <c r="I533" s="154" t="s">
        <v>424</v>
      </c>
      <c r="J533" s="154" t="s">
        <v>424</v>
      </c>
      <c r="K533" s="154" t="s">
        <v>424</v>
      </c>
      <c r="L533" s="154" t="s">
        <v>424</v>
      </c>
      <c r="M533" s="154" t="s">
        <v>424</v>
      </c>
      <c r="N533" s="154">
        <v>0.75</v>
      </c>
      <c r="O533" s="154">
        <v>0.75</v>
      </c>
      <c r="P533" s="154">
        <v>0.875</v>
      </c>
      <c r="Q533" s="154">
        <v>0.79166666666666674</v>
      </c>
      <c r="R533" s="154">
        <v>0.875</v>
      </c>
      <c r="S533" s="154">
        <v>0.75</v>
      </c>
      <c r="T533" s="154">
        <v>0.83333333333333326</v>
      </c>
      <c r="U533" s="154">
        <v>0.75</v>
      </c>
      <c r="V533" s="154">
        <v>0.875</v>
      </c>
      <c r="W533" s="154">
        <v>0.79166666666666674</v>
      </c>
      <c r="X533" s="154">
        <v>0.83333333333333326</v>
      </c>
      <c r="Y533" s="154">
        <v>0.79166666666666674</v>
      </c>
      <c r="Z533" s="154">
        <v>0.875</v>
      </c>
      <c r="AA533" s="154">
        <v>0.75</v>
      </c>
      <c r="AB533" s="154">
        <v>0.875</v>
      </c>
      <c r="AC533" s="154">
        <v>0.75</v>
      </c>
      <c r="AD533" s="154">
        <v>0.79166666666666674</v>
      </c>
      <c r="AE533" s="154">
        <v>0.79166666666666674</v>
      </c>
      <c r="AF533" s="154">
        <v>0.75</v>
      </c>
      <c r="AG533" s="154">
        <v>0.875</v>
      </c>
      <c r="AH533" s="154">
        <v>0.75</v>
      </c>
      <c r="AI533" s="154">
        <v>0.75</v>
      </c>
      <c r="AJ533" s="154">
        <v>0.875</v>
      </c>
      <c r="AK533" s="154">
        <v>0.75</v>
      </c>
      <c r="AL533" s="154" t="s">
        <v>424</v>
      </c>
      <c r="AM533" cm="1">
        <f t="array" ref="AM533">SUM(_xlfn.LET(_xlpm.r,((IFERROR(H533:AL533-H532:AL532,0))*24)/10,IF(_xlpm.r&gt;1,1,_xlpm.r)))</f>
        <v>24</v>
      </c>
      <c r="AO533" cm="1">
        <f t="array" ref="AO533">SUM(IFERROR(MOD((H533:AL533-H532:AL532)*24,11),""))</f>
        <v>29.999999999999986</v>
      </c>
      <c r="AS533">
        <v>533</v>
      </c>
    </row>
    <row r="534" spans="1:45" hidden="1" x14ac:dyDescent="0.25">
      <c r="A534">
        <v>533</v>
      </c>
      <c r="B534">
        <v>2025</v>
      </c>
      <c r="C534">
        <v>9</v>
      </c>
      <c r="D534" t="s">
        <v>263</v>
      </c>
      <c r="E534">
        <v>31</v>
      </c>
      <c r="F534">
        <v>8</v>
      </c>
      <c r="G534" t="s">
        <v>534</v>
      </c>
      <c r="H534" s="154">
        <v>0.29166666666666669</v>
      </c>
      <c r="I534" s="154">
        <v>0.29166666666666669</v>
      </c>
      <c r="J534" s="154">
        <v>0.29166666666666669</v>
      </c>
      <c r="K534" s="154">
        <v>0.29166666666666669</v>
      </c>
      <c r="L534" s="154">
        <v>0.29166666666666669</v>
      </c>
      <c r="M534" s="154">
        <v>0.29166666666666669</v>
      </c>
      <c r="N534" s="154">
        <v>0.29166666666666669</v>
      </c>
      <c r="O534" s="154">
        <v>0.29166666666666669</v>
      </c>
      <c r="P534" s="154">
        <v>0.29166666666666669</v>
      </c>
      <c r="Q534" s="154">
        <v>0.29166666666666669</v>
      </c>
      <c r="R534" s="154">
        <v>0.29166666666666669</v>
      </c>
      <c r="S534" s="154">
        <v>0.29166666666666669</v>
      </c>
      <c r="T534" s="154">
        <v>0.29166666666666669</v>
      </c>
      <c r="U534" s="154" t="s">
        <v>424</v>
      </c>
      <c r="V534" s="154">
        <v>0.29166666666666669</v>
      </c>
      <c r="W534" s="154">
        <v>0.29166666666666669</v>
      </c>
      <c r="X534" s="154">
        <v>0.29166666666666669</v>
      </c>
      <c r="Y534" s="154">
        <v>0.29166666666666669</v>
      </c>
      <c r="Z534" s="154">
        <v>0.29166666666666669</v>
      </c>
      <c r="AA534" s="154">
        <v>0.29166666666666669</v>
      </c>
      <c r="AB534" s="154">
        <v>0.29166666666666669</v>
      </c>
      <c r="AC534" s="154">
        <v>0.29166666666666669</v>
      </c>
      <c r="AD534" s="154">
        <v>0.29166666666666669</v>
      </c>
      <c r="AE534" s="154">
        <v>0.29166666666666669</v>
      </c>
      <c r="AF534" s="154">
        <v>0.29166666666666669</v>
      </c>
      <c r="AG534" s="154">
        <v>0.29166666666666669</v>
      </c>
      <c r="AH534" s="154">
        <v>0.29166666666666669</v>
      </c>
      <c r="AI534" s="154" t="s">
        <v>424</v>
      </c>
      <c r="AJ534" s="154">
        <v>0.29166666666666669</v>
      </c>
      <c r="AK534" s="154">
        <v>0.29166666666666669</v>
      </c>
      <c r="AL534" s="154" t="s">
        <v>424</v>
      </c>
      <c r="AS534">
        <v>534</v>
      </c>
    </row>
    <row r="535" spans="1:45" hidden="1" x14ac:dyDescent="0.25">
      <c r="A535">
        <v>534</v>
      </c>
      <c r="B535">
        <v>2025</v>
      </c>
      <c r="C535">
        <v>9</v>
      </c>
      <c r="D535" t="s">
        <v>263</v>
      </c>
      <c r="E535">
        <v>31</v>
      </c>
      <c r="F535">
        <v>8</v>
      </c>
      <c r="G535" t="s">
        <v>535</v>
      </c>
      <c r="H535" s="154">
        <v>0.25</v>
      </c>
      <c r="I535" s="154">
        <v>0.25</v>
      </c>
      <c r="J535" s="154">
        <v>0.25</v>
      </c>
      <c r="K535" s="154">
        <v>0.25</v>
      </c>
      <c r="L535" s="154">
        <v>0.25</v>
      </c>
      <c r="M535" s="154">
        <v>0.25</v>
      </c>
      <c r="N535" s="154">
        <v>0.25</v>
      </c>
      <c r="O535" s="154">
        <v>0.25</v>
      </c>
      <c r="P535" s="154">
        <v>0.25</v>
      </c>
      <c r="Q535" s="154">
        <v>0.25</v>
      </c>
      <c r="R535" s="154">
        <v>0.25</v>
      </c>
      <c r="S535" s="154">
        <v>0.25</v>
      </c>
      <c r="T535" s="154">
        <v>0.25</v>
      </c>
      <c r="U535" s="154" t="s">
        <v>424</v>
      </c>
      <c r="V535" s="154">
        <v>0.25</v>
      </c>
      <c r="W535" s="154">
        <v>0.25</v>
      </c>
      <c r="X535" s="154">
        <v>0.25</v>
      </c>
      <c r="Y535" s="154">
        <v>0.25</v>
      </c>
      <c r="Z535" s="154">
        <v>0.25</v>
      </c>
      <c r="AA535" s="154">
        <v>0.25</v>
      </c>
      <c r="AB535" s="154">
        <v>0.25</v>
      </c>
      <c r="AC535" s="154">
        <v>0.25</v>
      </c>
      <c r="AD535" s="154">
        <v>0.25</v>
      </c>
      <c r="AE535" s="154">
        <v>0.25</v>
      </c>
      <c r="AF535" s="154">
        <v>0.25</v>
      </c>
      <c r="AG535" s="154">
        <v>0.25</v>
      </c>
      <c r="AH535" s="154">
        <v>0.25</v>
      </c>
      <c r="AI535" s="154" t="s">
        <v>424</v>
      </c>
      <c r="AJ535" s="154">
        <v>0.25</v>
      </c>
      <c r="AK535" s="154">
        <v>0.25</v>
      </c>
      <c r="AL535" s="154" t="s">
        <v>424</v>
      </c>
      <c r="AM535" cm="1">
        <f t="array" ref="AM535">_xlfn.LET(_xlpm.r,IFERROR((H535:AL535-H534:AL534)*24,""),SUM(IF(_xlpm.r="",0,IF(_xlpm.r=-1,0,1))))</f>
        <v>0</v>
      </c>
      <c r="AN535" cm="1">
        <f t="array" ref="AN535">_xlfn.LET(_xlpm.r,IFERROR((H535:AL535-H534:AL534)*24,""),SUM(IF(_xlpm.r="",0,IF(_xlpm.r=-1,1,0))))</f>
        <v>28</v>
      </c>
      <c r="AO535" cm="1">
        <f t="array" ref="AO535">_xlfn.LET(_xlpm.r,SUM(IFERROR(MOD((H535:AL535-H534:AL534)*24,11),"")),_xlpm.r-AN535*10)</f>
        <v>0</v>
      </c>
      <c r="AS535">
        <v>535</v>
      </c>
    </row>
    <row r="536" spans="1:45" hidden="1" x14ac:dyDescent="0.25">
      <c r="A536">
        <v>535</v>
      </c>
      <c r="B536">
        <v>2025</v>
      </c>
      <c r="C536">
        <v>9</v>
      </c>
      <c r="D536" t="s">
        <v>279</v>
      </c>
      <c r="E536">
        <v>31</v>
      </c>
      <c r="F536">
        <v>8</v>
      </c>
      <c r="G536" t="s">
        <v>534</v>
      </c>
      <c r="H536" s="154" t="s">
        <v>424</v>
      </c>
      <c r="I536" s="154" t="s">
        <v>424</v>
      </c>
      <c r="J536" s="154" t="s">
        <v>424</v>
      </c>
      <c r="K536" s="154" t="s">
        <v>424</v>
      </c>
      <c r="L536" s="154" t="s">
        <v>424</v>
      </c>
      <c r="M536" s="154" t="s">
        <v>424</v>
      </c>
      <c r="N536" s="154" t="s">
        <v>424</v>
      </c>
      <c r="O536" s="154" t="s">
        <v>424</v>
      </c>
      <c r="P536" s="154" t="s">
        <v>479</v>
      </c>
      <c r="Q536" s="154" t="s">
        <v>479</v>
      </c>
      <c r="R536" s="154" t="s">
        <v>479</v>
      </c>
      <c r="S536" s="154" t="s">
        <v>479</v>
      </c>
      <c r="T536" s="154" t="s">
        <v>479</v>
      </c>
      <c r="U536" s="154" t="s">
        <v>479</v>
      </c>
      <c r="V536" s="154" t="s">
        <v>479</v>
      </c>
      <c r="W536" s="154" t="s">
        <v>479</v>
      </c>
      <c r="X536" s="154" t="s">
        <v>479</v>
      </c>
      <c r="Y536" s="154" t="s">
        <v>479</v>
      </c>
      <c r="Z536" s="154" t="s">
        <v>479</v>
      </c>
      <c r="AA536" s="154" t="s">
        <v>479</v>
      </c>
      <c r="AB536" s="154" t="s">
        <v>479</v>
      </c>
      <c r="AC536" s="154" t="s">
        <v>479</v>
      </c>
      <c r="AD536" s="154" t="s">
        <v>479</v>
      </c>
      <c r="AE536" s="154" t="s">
        <v>479</v>
      </c>
      <c r="AF536" s="154" t="s">
        <v>479</v>
      </c>
      <c r="AG536" s="154" t="s">
        <v>479</v>
      </c>
      <c r="AH536" s="154" t="s">
        <v>479</v>
      </c>
      <c r="AI536" s="154" t="s">
        <v>479</v>
      </c>
      <c r="AJ536" s="154" t="s">
        <v>479</v>
      </c>
      <c r="AK536" s="154" t="s">
        <v>479</v>
      </c>
      <c r="AL536" s="154" t="s">
        <v>424</v>
      </c>
      <c r="AS536">
        <v>536</v>
      </c>
    </row>
    <row r="537" spans="1:45" hidden="1" x14ac:dyDescent="0.25">
      <c r="A537">
        <v>536</v>
      </c>
      <c r="B537">
        <v>2025</v>
      </c>
      <c r="C537">
        <v>9</v>
      </c>
      <c r="D537" t="s">
        <v>279</v>
      </c>
      <c r="E537">
        <v>31</v>
      </c>
      <c r="F537">
        <v>8</v>
      </c>
      <c r="G537" t="s">
        <v>535</v>
      </c>
      <c r="H537" s="154" t="s">
        <v>424</v>
      </c>
      <c r="I537" s="154" t="s">
        <v>424</v>
      </c>
      <c r="J537" s="154" t="s">
        <v>424</v>
      </c>
      <c r="K537" s="154" t="s">
        <v>424</v>
      </c>
      <c r="L537" s="154" t="s">
        <v>424</v>
      </c>
      <c r="M537" s="154" t="s">
        <v>424</v>
      </c>
      <c r="N537" s="154" t="s">
        <v>424</v>
      </c>
      <c r="O537" s="154" t="s">
        <v>424</v>
      </c>
      <c r="P537" s="154" t="s">
        <v>493</v>
      </c>
      <c r="Q537" s="154" t="s">
        <v>493</v>
      </c>
      <c r="R537" s="154" t="s">
        <v>493</v>
      </c>
      <c r="S537" s="154" t="s">
        <v>493</v>
      </c>
      <c r="T537" s="154" t="s">
        <v>493</v>
      </c>
      <c r="U537" s="154" t="s">
        <v>493</v>
      </c>
      <c r="V537" s="154" t="s">
        <v>493</v>
      </c>
      <c r="W537" s="154" t="s">
        <v>493</v>
      </c>
      <c r="X537" s="154" t="s">
        <v>493</v>
      </c>
      <c r="Y537" s="154" t="s">
        <v>493</v>
      </c>
      <c r="Z537" s="154" t="s">
        <v>493</v>
      </c>
      <c r="AA537" s="154" t="s">
        <v>493</v>
      </c>
      <c r="AB537" s="154" t="s">
        <v>493</v>
      </c>
      <c r="AC537" s="154" t="s">
        <v>493</v>
      </c>
      <c r="AD537" s="154" t="s">
        <v>493</v>
      </c>
      <c r="AE537" s="154" t="s">
        <v>493</v>
      </c>
      <c r="AF537" s="154" t="s">
        <v>493</v>
      </c>
      <c r="AG537" s="154" t="s">
        <v>493</v>
      </c>
      <c r="AH537" s="154" t="s">
        <v>493</v>
      </c>
      <c r="AI537" s="154" t="s">
        <v>493</v>
      </c>
      <c r="AJ537" s="154" t="s">
        <v>493</v>
      </c>
      <c r="AK537" s="154" t="s">
        <v>493</v>
      </c>
      <c r="AL537" s="154" t="s">
        <v>424</v>
      </c>
      <c r="AM537" cm="1">
        <f t="array" ref="AM537">SUM(_xlfn.LET(_xlpm.r,((IFERROR(H537:AL537-H536:AL536,0))*24)/10,IF(_xlpm.r&gt;1,1,_xlpm.r)))</f>
        <v>22</v>
      </c>
      <c r="AO537" cm="1">
        <f t="array" ref="AO537">SUM(IFERROR(MOD((H537:AL537-H536:AL536)*24,11),""))</f>
        <v>44.000000000000014</v>
      </c>
      <c r="AS537">
        <v>537</v>
      </c>
    </row>
    <row r="538" spans="1:45" hidden="1" x14ac:dyDescent="0.25">
      <c r="A538">
        <v>537</v>
      </c>
      <c r="B538">
        <v>2025</v>
      </c>
      <c r="C538">
        <v>9</v>
      </c>
      <c r="D538" t="s">
        <v>260</v>
      </c>
      <c r="E538">
        <v>31</v>
      </c>
      <c r="F538">
        <v>8</v>
      </c>
      <c r="G538" t="s">
        <v>534</v>
      </c>
      <c r="H538" s="154" t="s">
        <v>486</v>
      </c>
      <c r="I538" s="154" t="s">
        <v>486</v>
      </c>
      <c r="J538" s="154" t="s">
        <v>486</v>
      </c>
      <c r="K538" s="154" t="s">
        <v>486</v>
      </c>
      <c r="L538" s="154" t="s">
        <v>486</v>
      </c>
      <c r="M538" s="154" t="s">
        <v>486</v>
      </c>
      <c r="N538" s="154" t="s">
        <v>486</v>
      </c>
      <c r="O538" s="154" t="s">
        <v>486</v>
      </c>
      <c r="P538" s="154" t="s">
        <v>486</v>
      </c>
      <c r="Q538" s="154" t="s">
        <v>486</v>
      </c>
      <c r="R538" s="154" t="s">
        <v>486</v>
      </c>
      <c r="S538" s="154" t="s">
        <v>486</v>
      </c>
      <c r="T538" s="154" t="s">
        <v>486</v>
      </c>
      <c r="U538" s="154" t="s">
        <v>486</v>
      </c>
      <c r="V538" s="154" t="s">
        <v>486</v>
      </c>
      <c r="W538" s="154" t="s">
        <v>486</v>
      </c>
      <c r="X538" s="154" t="s">
        <v>486</v>
      </c>
      <c r="Y538" s="154" t="s">
        <v>486</v>
      </c>
      <c r="Z538" s="154" t="s">
        <v>486</v>
      </c>
      <c r="AA538" s="154" t="s">
        <v>486</v>
      </c>
      <c r="AB538" s="154" t="s">
        <v>486</v>
      </c>
      <c r="AC538" s="154" t="s">
        <v>486</v>
      </c>
      <c r="AD538" s="154" t="s">
        <v>486</v>
      </c>
      <c r="AE538" s="154" t="s">
        <v>486</v>
      </c>
      <c r="AF538" s="154" t="s">
        <v>486</v>
      </c>
      <c r="AG538" s="154" t="s">
        <v>486</v>
      </c>
      <c r="AH538" s="154" t="s">
        <v>486</v>
      </c>
      <c r="AI538" s="154" t="s">
        <v>486</v>
      </c>
      <c r="AJ538" s="154" t="s">
        <v>486</v>
      </c>
      <c r="AK538" s="154" t="s">
        <v>486</v>
      </c>
      <c r="AL538" s="154" t="s">
        <v>424</v>
      </c>
      <c r="AS538">
        <v>538</v>
      </c>
    </row>
    <row r="539" spans="1:45" hidden="1" x14ac:dyDescent="0.25">
      <c r="A539">
        <v>538</v>
      </c>
      <c r="B539">
        <v>2025</v>
      </c>
      <c r="C539">
        <v>9</v>
      </c>
      <c r="D539" t="s">
        <v>260</v>
      </c>
      <c r="E539">
        <v>31</v>
      </c>
      <c r="F539">
        <v>8</v>
      </c>
      <c r="G539" t="s">
        <v>535</v>
      </c>
      <c r="H539" s="154" t="s">
        <v>514</v>
      </c>
      <c r="I539" s="154" t="s">
        <v>514</v>
      </c>
      <c r="J539" s="154" t="s">
        <v>514</v>
      </c>
      <c r="K539" s="154" t="s">
        <v>514</v>
      </c>
      <c r="L539" s="154" t="s">
        <v>514</v>
      </c>
      <c r="M539" s="154" t="s">
        <v>514</v>
      </c>
      <c r="N539" s="154" t="s">
        <v>514</v>
      </c>
      <c r="O539" s="154" t="s">
        <v>514</v>
      </c>
      <c r="P539" s="154" t="s">
        <v>493</v>
      </c>
      <c r="Q539" s="154" t="s">
        <v>493</v>
      </c>
      <c r="R539" s="154" t="s">
        <v>493</v>
      </c>
      <c r="S539" s="154" t="s">
        <v>493</v>
      </c>
      <c r="T539" s="154" t="s">
        <v>493</v>
      </c>
      <c r="U539" s="154" t="s">
        <v>493</v>
      </c>
      <c r="V539" s="154" t="s">
        <v>493</v>
      </c>
      <c r="W539" s="154" t="s">
        <v>493</v>
      </c>
      <c r="X539" s="154" t="s">
        <v>493</v>
      </c>
      <c r="Y539" s="154" t="s">
        <v>493</v>
      </c>
      <c r="Z539" s="154" t="s">
        <v>493</v>
      </c>
      <c r="AA539" s="154" t="s">
        <v>493</v>
      </c>
      <c r="AB539" s="154" t="s">
        <v>493</v>
      </c>
      <c r="AC539" s="154" t="s">
        <v>493</v>
      </c>
      <c r="AD539" s="154" t="s">
        <v>493</v>
      </c>
      <c r="AE539" s="154" t="s">
        <v>493</v>
      </c>
      <c r="AF539" s="154" t="s">
        <v>493</v>
      </c>
      <c r="AG539" s="154" t="s">
        <v>493</v>
      </c>
      <c r="AH539" s="154" t="s">
        <v>493</v>
      </c>
      <c r="AI539" s="154" t="s">
        <v>493</v>
      </c>
      <c r="AJ539" s="154" t="s">
        <v>493</v>
      </c>
      <c r="AK539" s="154" t="s">
        <v>493</v>
      </c>
      <c r="AL539" s="154" t="s">
        <v>424</v>
      </c>
      <c r="AM539" cm="1">
        <f t="array" ref="AM539">SUM(_xlfn.LET(_xlpm.r,((IFERROR(H539:AL539-H538:AL538,0))*24)/10,IF(_xlpm.r&gt;1,1,_xlpm.r)))</f>
        <v>30</v>
      </c>
      <c r="AS539">
        <v>539</v>
      </c>
    </row>
    <row r="540" spans="1:45" hidden="1" x14ac:dyDescent="0.25">
      <c r="A540">
        <v>539</v>
      </c>
      <c r="B540">
        <v>2025</v>
      </c>
      <c r="C540">
        <v>9</v>
      </c>
      <c r="D540" t="s">
        <v>272</v>
      </c>
      <c r="E540">
        <v>31</v>
      </c>
      <c r="F540">
        <v>8</v>
      </c>
      <c r="G540" t="s">
        <v>534</v>
      </c>
      <c r="H540" s="154" t="s">
        <v>479</v>
      </c>
      <c r="I540" s="154" t="s">
        <v>479</v>
      </c>
      <c r="J540" s="154" t="s">
        <v>479</v>
      </c>
      <c r="K540" s="154" t="s">
        <v>479</v>
      </c>
      <c r="L540" s="154" t="s">
        <v>479</v>
      </c>
      <c r="M540" s="154" t="s">
        <v>479</v>
      </c>
      <c r="N540" s="154" t="s">
        <v>479</v>
      </c>
      <c r="O540" s="154" t="s">
        <v>479</v>
      </c>
      <c r="P540" s="154" t="s">
        <v>479</v>
      </c>
      <c r="Q540" s="154" t="s">
        <v>479</v>
      </c>
      <c r="R540" s="154" t="s">
        <v>479</v>
      </c>
      <c r="S540" s="154" t="s">
        <v>479</v>
      </c>
      <c r="T540" s="154" t="s">
        <v>479</v>
      </c>
      <c r="U540" s="154" t="s">
        <v>424</v>
      </c>
      <c r="V540" s="154" t="s">
        <v>479</v>
      </c>
      <c r="W540" s="154" t="s">
        <v>479</v>
      </c>
      <c r="X540" s="154" t="s">
        <v>479</v>
      </c>
      <c r="Y540" s="154" t="s">
        <v>479</v>
      </c>
      <c r="Z540" s="154" t="s">
        <v>479</v>
      </c>
      <c r="AA540" s="154" t="s">
        <v>479</v>
      </c>
      <c r="AB540" s="154" t="s">
        <v>479</v>
      </c>
      <c r="AC540" s="154" t="s">
        <v>479</v>
      </c>
      <c r="AD540" s="154" t="s">
        <v>479</v>
      </c>
      <c r="AE540" s="154" t="s">
        <v>479</v>
      </c>
      <c r="AF540" s="154" t="s">
        <v>479</v>
      </c>
      <c r="AG540" s="154" t="s">
        <v>479</v>
      </c>
      <c r="AH540" s="154" t="s">
        <v>479</v>
      </c>
      <c r="AI540" s="154" t="s">
        <v>479</v>
      </c>
      <c r="AJ540" s="154" t="s">
        <v>479</v>
      </c>
      <c r="AK540" s="154" t="s">
        <v>479</v>
      </c>
      <c r="AL540" s="154" t="s">
        <v>424</v>
      </c>
      <c r="AS540">
        <v>540</v>
      </c>
    </row>
    <row r="541" spans="1:45" hidden="1" x14ac:dyDescent="0.25">
      <c r="A541">
        <v>540</v>
      </c>
      <c r="B541">
        <v>2025</v>
      </c>
      <c r="C541">
        <v>9</v>
      </c>
      <c r="D541" t="s">
        <v>272</v>
      </c>
      <c r="E541">
        <v>31</v>
      </c>
      <c r="F541">
        <v>8</v>
      </c>
      <c r="G541" t="s">
        <v>535</v>
      </c>
      <c r="H541" s="154">
        <v>0.75</v>
      </c>
      <c r="I541" s="154">
        <v>0.91666666666666674</v>
      </c>
      <c r="J541" s="154">
        <v>0.95833333333333326</v>
      </c>
      <c r="K541" s="154">
        <v>0.75</v>
      </c>
      <c r="L541" s="154">
        <v>0.91666666666666674</v>
      </c>
      <c r="M541" s="154">
        <v>1</v>
      </c>
      <c r="N541" s="154">
        <v>0.95833333333333326</v>
      </c>
      <c r="O541" s="154">
        <v>0.75</v>
      </c>
      <c r="P541" s="154">
        <v>0.83333333333333326</v>
      </c>
      <c r="Q541" s="154">
        <v>0.75</v>
      </c>
      <c r="R541" s="154">
        <v>0.75</v>
      </c>
      <c r="S541" s="154">
        <v>0.75</v>
      </c>
      <c r="T541" s="154">
        <v>0.75</v>
      </c>
      <c r="U541" s="154" t="s">
        <v>424</v>
      </c>
      <c r="V541" s="154">
        <v>0.75</v>
      </c>
      <c r="W541" s="154">
        <v>0.75</v>
      </c>
      <c r="X541" s="154">
        <v>0.75</v>
      </c>
      <c r="Y541" s="154">
        <v>0.83333333333333326</v>
      </c>
      <c r="Z541" s="154">
        <v>0.75</v>
      </c>
      <c r="AA541" s="154">
        <v>0.75</v>
      </c>
      <c r="AB541" s="154">
        <v>0.75</v>
      </c>
      <c r="AC541" s="154">
        <v>0.75</v>
      </c>
      <c r="AD541" s="154">
        <v>0.75</v>
      </c>
      <c r="AE541" s="154">
        <v>0.95833333333333326</v>
      </c>
      <c r="AF541" s="154">
        <v>0.875</v>
      </c>
      <c r="AG541" s="154">
        <v>0.75</v>
      </c>
      <c r="AH541" s="154">
        <v>0.75</v>
      </c>
      <c r="AI541" s="154">
        <v>0.75</v>
      </c>
      <c r="AJ541" s="154">
        <v>0.83333333333333326</v>
      </c>
      <c r="AK541" s="154">
        <v>0.75</v>
      </c>
      <c r="AL541" s="154" t="s">
        <v>424</v>
      </c>
      <c r="AM541" cm="1">
        <f t="array" ref="AM541">SUM(_xlfn.LET(_xlpm.r,((IFERROR(H541:AL541-H540:AL540,0))*24)/10,IF(_xlpm.r&gt;1,1,_xlpm.r)))</f>
        <v>29</v>
      </c>
      <c r="AO541" cm="1">
        <f t="array" ref="AO541">SUM(IFERROR((H541:AL541-H540:AL540)*24-11,""))</f>
        <v>37.999999999999986</v>
      </c>
      <c r="AS541">
        <v>541</v>
      </c>
    </row>
    <row r="542" spans="1:45" hidden="1" x14ac:dyDescent="0.25">
      <c r="A542">
        <v>541</v>
      </c>
      <c r="B542">
        <v>2025</v>
      </c>
      <c r="C542">
        <v>9</v>
      </c>
      <c r="D542" t="s">
        <v>268</v>
      </c>
      <c r="E542">
        <v>31</v>
      </c>
      <c r="F542">
        <v>8</v>
      </c>
      <c r="G542" t="s">
        <v>534</v>
      </c>
      <c r="H542" s="154" t="s">
        <v>479</v>
      </c>
      <c r="I542" s="154" t="s">
        <v>479</v>
      </c>
      <c r="J542" s="154" t="s">
        <v>479</v>
      </c>
      <c r="K542" s="154" t="s">
        <v>479</v>
      </c>
      <c r="L542" s="154" t="s">
        <v>479</v>
      </c>
      <c r="M542" s="154" t="s">
        <v>479</v>
      </c>
      <c r="N542" s="154" t="s">
        <v>479</v>
      </c>
      <c r="O542" s="154" t="s">
        <v>479</v>
      </c>
      <c r="P542" s="154" t="s">
        <v>479</v>
      </c>
      <c r="Q542" s="154" t="s">
        <v>479</v>
      </c>
      <c r="R542" s="154" t="s">
        <v>479</v>
      </c>
      <c r="S542" s="154" t="s">
        <v>479</v>
      </c>
      <c r="T542" s="154" t="s">
        <v>479</v>
      </c>
      <c r="U542" s="154" t="s">
        <v>479</v>
      </c>
      <c r="V542" s="154" t="s">
        <v>479</v>
      </c>
      <c r="W542" s="154" t="s">
        <v>479</v>
      </c>
      <c r="X542" s="154" t="s">
        <v>479</v>
      </c>
      <c r="Y542" s="154" t="s">
        <v>479</v>
      </c>
      <c r="Z542" s="154" t="s">
        <v>479</v>
      </c>
      <c r="AA542" s="154" t="s">
        <v>479</v>
      </c>
      <c r="AB542" s="154" t="s">
        <v>479</v>
      </c>
      <c r="AC542" s="154" t="s">
        <v>479</v>
      </c>
      <c r="AD542" s="154" t="s">
        <v>479</v>
      </c>
      <c r="AE542" s="154" t="s">
        <v>479</v>
      </c>
      <c r="AF542" s="154" t="s">
        <v>479</v>
      </c>
      <c r="AG542" s="154" t="s">
        <v>479</v>
      </c>
      <c r="AH542" s="154" t="s">
        <v>479</v>
      </c>
      <c r="AI542" s="154" t="s">
        <v>479</v>
      </c>
      <c r="AJ542" s="154" t="s">
        <v>479</v>
      </c>
      <c r="AK542" s="154" t="s">
        <v>479</v>
      </c>
      <c r="AL542" s="154" t="s">
        <v>424</v>
      </c>
      <c r="AS542">
        <v>542</v>
      </c>
    </row>
    <row r="543" spans="1:45" hidden="1" x14ac:dyDescent="0.25">
      <c r="A543">
        <v>542</v>
      </c>
      <c r="B543">
        <v>2025</v>
      </c>
      <c r="C543">
        <v>9</v>
      </c>
      <c r="D543" t="s">
        <v>268</v>
      </c>
      <c r="E543">
        <v>31</v>
      </c>
      <c r="F543">
        <v>8</v>
      </c>
      <c r="G543" t="s">
        <v>535</v>
      </c>
      <c r="H543" s="154">
        <v>0.875</v>
      </c>
      <c r="I543" s="154">
        <v>0.75</v>
      </c>
      <c r="J543" s="154">
        <v>0.875</v>
      </c>
      <c r="K543" s="154">
        <v>0.75</v>
      </c>
      <c r="L543" s="154">
        <v>0.875</v>
      </c>
      <c r="M543" s="154">
        <v>0.75</v>
      </c>
      <c r="N543" s="154">
        <v>0.875</v>
      </c>
      <c r="O543" s="154">
        <v>0.75</v>
      </c>
      <c r="P543" s="154">
        <v>0.875</v>
      </c>
      <c r="Q543" s="154">
        <v>0.75</v>
      </c>
      <c r="R543" s="154">
        <v>0.875</v>
      </c>
      <c r="S543" s="154">
        <v>0.75</v>
      </c>
      <c r="T543" s="154">
        <v>0.875</v>
      </c>
      <c r="U543" s="154">
        <v>0.75</v>
      </c>
      <c r="V543" s="154">
        <v>0.875</v>
      </c>
      <c r="W543" s="154">
        <v>0.75</v>
      </c>
      <c r="X543" s="154">
        <v>0.875</v>
      </c>
      <c r="Y543" s="154">
        <v>0.75</v>
      </c>
      <c r="Z543" s="154">
        <v>0.875</v>
      </c>
      <c r="AA543" s="154">
        <v>0.75</v>
      </c>
      <c r="AB543" s="154">
        <v>0.875</v>
      </c>
      <c r="AC543" s="154">
        <v>0.83333333333333326</v>
      </c>
      <c r="AD543" s="154">
        <v>0.875</v>
      </c>
      <c r="AE543" s="154">
        <v>0.875</v>
      </c>
      <c r="AF543" s="154">
        <v>0.875</v>
      </c>
      <c r="AG543" s="154">
        <v>0.75</v>
      </c>
      <c r="AH543" s="154">
        <v>0.875</v>
      </c>
      <c r="AI543" s="154">
        <v>0.75</v>
      </c>
      <c r="AJ543" s="154">
        <v>0.875</v>
      </c>
      <c r="AK543" s="154">
        <v>0.75</v>
      </c>
      <c r="AL543" s="154" t="s">
        <v>424</v>
      </c>
      <c r="AM543" cm="1">
        <f t="array" ref="AM543">SUM(_xlfn.LET(_xlpm.r,((IFERROR(H543:AL543-H542:AL542,0))*24)/10,IF(_xlpm.r&gt;1,1,_xlpm.r)))</f>
        <v>30</v>
      </c>
      <c r="AO543" cm="1">
        <f t="array" ref="AO543">SUM(IFERROR(MOD((H543:AL543-H542:AL542)*24,11),""))</f>
        <v>49.999999999999986</v>
      </c>
      <c r="AS543">
        <v>543</v>
      </c>
    </row>
    <row r="544" spans="1:45" hidden="1" x14ac:dyDescent="0.25">
      <c r="A544">
        <v>543</v>
      </c>
      <c r="B544">
        <v>2025</v>
      </c>
      <c r="C544">
        <v>9</v>
      </c>
      <c r="D544" t="s">
        <v>267</v>
      </c>
      <c r="E544">
        <v>31</v>
      </c>
      <c r="F544">
        <v>8</v>
      </c>
      <c r="G544" t="s">
        <v>534</v>
      </c>
      <c r="H544" s="154" t="s">
        <v>481</v>
      </c>
      <c r="I544" s="154" t="s">
        <v>481</v>
      </c>
      <c r="J544" s="154" t="s">
        <v>481</v>
      </c>
      <c r="K544" s="154" t="s">
        <v>481</v>
      </c>
      <c r="L544" s="154" t="s">
        <v>481</v>
      </c>
      <c r="M544" s="154" t="s">
        <v>481</v>
      </c>
      <c r="N544" s="154" t="s">
        <v>481</v>
      </c>
      <c r="O544" s="154" t="s">
        <v>481</v>
      </c>
      <c r="P544" s="154" t="s">
        <v>481</v>
      </c>
      <c r="Q544" s="154" t="s">
        <v>481</v>
      </c>
      <c r="R544" s="154" t="s">
        <v>481</v>
      </c>
      <c r="S544" s="154" t="s">
        <v>481</v>
      </c>
      <c r="T544" s="154" t="s">
        <v>481</v>
      </c>
      <c r="U544" s="154" t="s">
        <v>481</v>
      </c>
      <c r="V544" s="154" t="s">
        <v>481</v>
      </c>
      <c r="W544" s="154" t="s">
        <v>481</v>
      </c>
      <c r="X544" s="154" t="s">
        <v>481</v>
      </c>
      <c r="Y544" s="154" t="s">
        <v>481</v>
      </c>
      <c r="Z544" s="154" t="s">
        <v>481</v>
      </c>
      <c r="AA544" s="154" t="s">
        <v>481</v>
      </c>
      <c r="AB544" s="154" t="s">
        <v>481</v>
      </c>
      <c r="AC544" s="154" t="s">
        <v>481</v>
      </c>
      <c r="AD544" s="154" t="s">
        <v>481</v>
      </c>
      <c r="AE544" s="154" t="s">
        <v>481</v>
      </c>
      <c r="AF544" s="154" t="s">
        <v>481</v>
      </c>
      <c r="AG544" s="154" t="s">
        <v>481</v>
      </c>
      <c r="AH544" s="154" t="s">
        <v>481</v>
      </c>
      <c r="AI544" s="154" t="s">
        <v>481</v>
      </c>
      <c r="AJ544" s="154" t="s">
        <v>481</v>
      </c>
      <c r="AK544" s="154" t="s">
        <v>481</v>
      </c>
      <c r="AL544" s="154" t="s">
        <v>424</v>
      </c>
      <c r="AS544">
        <v>544</v>
      </c>
    </row>
    <row r="545" spans="1:46" hidden="1" x14ac:dyDescent="0.25">
      <c r="A545">
        <v>544</v>
      </c>
      <c r="B545">
        <v>2025</v>
      </c>
      <c r="C545">
        <v>9</v>
      </c>
      <c r="D545" t="s">
        <v>267</v>
      </c>
      <c r="E545">
        <v>31</v>
      </c>
      <c r="F545">
        <v>8</v>
      </c>
      <c r="G545" t="s">
        <v>535</v>
      </c>
      <c r="H545" s="154" t="s">
        <v>514</v>
      </c>
      <c r="I545" s="154" t="s">
        <v>514</v>
      </c>
      <c r="J545" s="154" t="s">
        <v>514</v>
      </c>
      <c r="K545" s="154" t="s">
        <v>514</v>
      </c>
      <c r="L545" s="154" t="s">
        <v>514</v>
      </c>
      <c r="M545" s="154" t="s">
        <v>514</v>
      </c>
      <c r="N545" s="154" t="s">
        <v>514</v>
      </c>
      <c r="O545" s="154" t="s">
        <v>514</v>
      </c>
      <c r="P545" s="154" t="s">
        <v>514</v>
      </c>
      <c r="Q545" s="154" t="s">
        <v>514</v>
      </c>
      <c r="R545" s="154" t="s">
        <v>514</v>
      </c>
      <c r="S545" s="154" t="s">
        <v>514</v>
      </c>
      <c r="T545" s="154" t="s">
        <v>514</v>
      </c>
      <c r="U545" s="154" t="s">
        <v>514</v>
      </c>
      <c r="V545" s="154" t="s">
        <v>514</v>
      </c>
      <c r="W545" s="154" t="s">
        <v>514</v>
      </c>
      <c r="X545" s="154" t="s">
        <v>514</v>
      </c>
      <c r="Y545" s="154" t="s">
        <v>514</v>
      </c>
      <c r="Z545" s="154" t="s">
        <v>514</v>
      </c>
      <c r="AA545" s="154" t="s">
        <v>514</v>
      </c>
      <c r="AB545" s="154" t="s">
        <v>514</v>
      </c>
      <c r="AC545" s="154" t="s">
        <v>514</v>
      </c>
      <c r="AD545" s="154" t="s">
        <v>514</v>
      </c>
      <c r="AE545" s="154" t="s">
        <v>514</v>
      </c>
      <c r="AF545" s="154" t="s">
        <v>514</v>
      </c>
      <c r="AG545" s="154" t="s">
        <v>514</v>
      </c>
      <c r="AH545" s="154" t="s">
        <v>514</v>
      </c>
      <c r="AI545" s="154" t="s">
        <v>514</v>
      </c>
      <c r="AJ545" s="154" t="s">
        <v>514</v>
      </c>
      <c r="AK545" s="154" t="s">
        <v>514</v>
      </c>
      <c r="AL545" s="154" t="s">
        <v>424</v>
      </c>
      <c r="AM545" cm="1">
        <f t="array" ref="AM545">SUM(_xlfn.LET(_xlpm.r,((IFERROR(H545:AL545-H544:AL544,0))*24)/10,IF(_xlpm.r&gt;1,1,_xlpm.r)))</f>
        <v>30</v>
      </c>
      <c r="AO545" cm="1">
        <f t="array" ref="AO545">SUM(IFERROR(MOD((H545:AL545-H544:AL544)*24,11),""))</f>
        <v>90</v>
      </c>
      <c r="AS545">
        <v>545</v>
      </c>
    </row>
    <row r="546" spans="1:46" hidden="1" x14ac:dyDescent="0.25">
      <c r="A546">
        <v>545</v>
      </c>
      <c r="B546">
        <v>2025</v>
      </c>
      <c r="C546">
        <v>9</v>
      </c>
      <c r="D546" t="s">
        <v>234</v>
      </c>
      <c r="E546">
        <v>31</v>
      </c>
      <c r="F546">
        <v>8</v>
      </c>
      <c r="G546" t="s">
        <v>534</v>
      </c>
      <c r="H546" s="154" t="s">
        <v>424</v>
      </c>
      <c r="I546" s="154" t="s">
        <v>424</v>
      </c>
      <c r="J546" s="154" t="s">
        <v>424</v>
      </c>
      <c r="K546" s="154" t="s">
        <v>424</v>
      </c>
      <c r="L546" s="154" t="s">
        <v>424</v>
      </c>
      <c r="M546" s="154" t="s">
        <v>479</v>
      </c>
      <c r="N546" s="154" t="s">
        <v>479</v>
      </c>
      <c r="O546" s="154" t="s">
        <v>479</v>
      </c>
      <c r="P546" s="154" t="s">
        <v>479</v>
      </c>
      <c r="Q546" s="154" t="s">
        <v>479</v>
      </c>
      <c r="R546" s="154" t="s">
        <v>479</v>
      </c>
      <c r="S546" s="154" t="s">
        <v>479</v>
      </c>
      <c r="T546" s="154" t="s">
        <v>479</v>
      </c>
      <c r="U546" s="154" t="s">
        <v>479</v>
      </c>
      <c r="V546" s="154" t="s">
        <v>479</v>
      </c>
      <c r="W546" s="154" t="s">
        <v>479</v>
      </c>
      <c r="X546" s="154" t="s">
        <v>479</v>
      </c>
      <c r="Y546" s="154" t="s">
        <v>479</v>
      </c>
      <c r="Z546" s="154" t="s">
        <v>479</v>
      </c>
      <c r="AA546" s="154" t="s">
        <v>479</v>
      </c>
      <c r="AB546" s="154" t="s">
        <v>479</v>
      </c>
      <c r="AC546" s="154" t="s">
        <v>479</v>
      </c>
      <c r="AD546" s="154" t="s">
        <v>479</v>
      </c>
      <c r="AE546" s="154" t="s">
        <v>479</v>
      </c>
      <c r="AF546" s="154" t="s">
        <v>479</v>
      </c>
      <c r="AG546" s="154" t="s">
        <v>479</v>
      </c>
      <c r="AH546" s="154" t="s">
        <v>479</v>
      </c>
      <c r="AI546" s="154" t="s">
        <v>479</v>
      </c>
      <c r="AJ546" s="154" t="s">
        <v>479</v>
      </c>
      <c r="AK546" s="154" t="s">
        <v>479</v>
      </c>
      <c r="AL546" s="154" t="s">
        <v>424</v>
      </c>
      <c r="AS546">
        <v>546</v>
      </c>
    </row>
    <row r="547" spans="1:46" hidden="1" x14ac:dyDescent="0.25">
      <c r="A547">
        <v>546</v>
      </c>
      <c r="B547">
        <v>2025</v>
      </c>
      <c r="C547">
        <v>9</v>
      </c>
      <c r="D547" t="s">
        <v>234</v>
      </c>
      <c r="E547">
        <v>31</v>
      </c>
      <c r="F547">
        <v>8</v>
      </c>
      <c r="G547" t="s">
        <v>535</v>
      </c>
      <c r="H547" s="154" t="s">
        <v>424</v>
      </c>
      <c r="I547" s="154" t="s">
        <v>424</v>
      </c>
      <c r="J547" s="154" t="s">
        <v>424</v>
      </c>
      <c r="K547" s="154" t="s">
        <v>424</v>
      </c>
      <c r="L547" s="154" t="s">
        <v>424</v>
      </c>
      <c r="M547" s="154" t="s">
        <v>480</v>
      </c>
      <c r="N547" s="154" t="s">
        <v>480</v>
      </c>
      <c r="O547" s="154" t="s">
        <v>480</v>
      </c>
      <c r="P547" s="154" t="s">
        <v>480</v>
      </c>
      <c r="Q547" s="154" t="s">
        <v>480</v>
      </c>
      <c r="R547" s="154" t="s">
        <v>480</v>
      </c>
      <c r="S547" s="154" t="s">
        <v>480</v>
      </c>
      <c r="T547" s="154" t="s">
        <v>480</v>
      </c>
      <c r="U547" s="154" t="s">
        <v>480</v>
      </c>
      <c r="V547" s="154" t="s">
        <v>480</v>
      </c>
      <c r="W547" s="154" t="s">
        <v>480</v>
      </c>
      <c r="X547" s="154" t="s">
        <v>480</v>
      </c>
      <c r="Y547" s="154" t="s">
        <v>480</v>
      </c>
      <c r="Z547" s="154" t="s">
        <v>480</v>
      </c>
      <c r="AA547" s="154" t="s">
        <v>480</v>
      </c>
      <c r="AB547" s="154" t="s">
        <v>480</v>
      </c>
      <c r="AC547" s="154" t="s">
        <v>480</v>
      </c>
      <c r="AD547" s="154" t="s">
        <v>480</v>
      </c>
      <c r="AE547" s="154" t="s">
        <v>480</v>
      </c>
      <c r="AF547" s="154" t="s">
        <v>480</v>
      </c>
      <c r="AG547" s="154" t="s">
        <v>480</v>
      </c>
      <c r="AH547" s="154" t="s">
        <v>480</v>
      </c>
      <c r="AI547" s="154" t="s">
        <v>480</v>
      </c>
      <c r="AJ547" s="154" t="s">
        <v>480</v>
      </c>
      <c r="AK547" s="154" t="s">
        <v>480</v>
      </c>
      <c r="AL547" s="154" t="s">
        <v>424</v>
      </c>
      <c r="AM547" cm="1">
        <f t="array" ref="AM547">SUM(_xlfn.LET(_xlpm.r,((IFERROR(H547:AL547-H546:AL546,0))*24)/10,IF(_xlpm.r&gt;1,1,_xlpm.r)))</f>
        <v>25</v>
      </c>
      <c r="AO547" cm="1">
        <f t="array" ref="AO547">SUM(IFERROR(MOD((H547:AL547-H546:AL546)*24,11),""))</f>
        <v>0</v>
      </c>
      <c r="AS547">
        <v>547</v>
      </c>
    </row>
    <row r="548" spans="1:46" hidden="1" x14ac:dyDescent="0.25">
      <c r="A548">
        <v>547</v>
      </c>
      <c r="B548">
        <v>2025</v>
      </c>
      <c r="C548">
        <v>9</v>
      </c>
      <c r="D548" t="s">
        <v>278</v>
      </c>
      <c r="E548">
        <v>31</v>
      </c>
      <c r="F548">
        <v>8</v>
      </c>
      <c r="G548" t="s">
        <v>534</v>
      </c>
      <c r="H548" s="154" t="s">
        <v>424</v>
      </c>
      <c r="I548" s="154" t="s">
        <v>424</v>
      </c>
      <c r="J548" s="154" t="s">
        <v>424</v>
      </c>
      <c r="K548" s="154" t="s">
        <v>424</v>
      </c>
      <c r="L548" s="154" t="s">
        <v>424</v>
      </c>
      <c r="M548" s="154" t="s">
        <v>479</v>
      </c>
      <c r="N548" s="154" t="s">
        <v>483</v>
      </c>
      <c r="O548" s="154" t="s">
        <v>483</v>
      </c>
      <c r="P548" s="154" t="s">
        <v>483</v>
      </c>
      <c r="Q548" s="154" t="s">
        <v>486</v>
      </c>
      <c r="R548" s="154" t="s">
        <v>479</v>
      </c>
      <c r="S548" s="154" t="s">
        <v>483</v>
      </c>
      <c r="T548" s="154" t="s">
        <v>479</v>
      </c>
      <c r="U548" s="154" t="s">
        <v>479</v>
      </c>
      <c r="V548" s="154" t="s">
        <v>483</v>
      </c>
      <c r="W548" s="154" t="s">
        <v>479</v>
      </c>
      <c r="X548" s="154" t="s">
        <v>485</v>
      </c>
      <c r="Y548" s="154" t="s">
        <v>527</v>
      </c>
      <c r="Z548" s="154" t="s">
        <v>479</v>
      </c>
      <c r="AA548" s="154" t="s">
        <v>485</v>
      </c>
      <c r="AB548" s="154" t="s">
        <v>479</v>
      </c>
      <c r="AC548" s="154" t="s">
        <v>528</v>
      </c>
      <c r="AD548" s="154" t="s">
        <v>485</v>
      </c>
      <c r="AE548" s="154" t="s">
        <v>479</v>
      </c>
      <c r="AF548" s="154" t="s">
        <v>527</v>
      </c>
      <c r="AG548" s="154" t="s">
        <v>479</v>
      </c>
      <c r="AH548" s="154" t="s">
        <v>483</v>
      </c>
      <c r="AI548" s="154" t="s">
        <v>479</v>
      </c>
      <c r="AJ548" s="154" t="s">
        <v>529</v>
      </c>
      <c r="AK548" s="154" t="s">
        <v>479</v>
      </c>
      <c r="AL548" s="154" t="s">
        <v>424</v>
      </c>
      <c r="AS548">
        <v>548</v>
      </c>
    </row>
    <row r="549" spans="1:46" hidden="1" x14ac:dyDescent="0.25">
      <c r="A549">
        <v>548</v>
      </c>
      <c r="B549">
        <v>2025</v>
      </c>
      <c r="C549">
        <v>9</v>
      </c>
      <c r="D549" t="s">
        <v>278</v>
      </c>
      <c r="E549">
        <v>31</v>
      </c>
      <c r="F549">
        <v>8</v>
      </c>
      <c r="G549" t="s">
        <v>535</v>
      </c>
      <c r="H549" s="154" t="s">
        <v>424</v>
      </c>
      <c r="I549" s="154" t="s">
        <v>424</v>
      </c>
      <c r="J549" s="154" t="s">
        <v>424</v>
      </c>
      <c r="K549" s="154" t="s">
        <v>424</v>
      </c>
      <c r="L549" s="154" t="s">
        <v>424</v>
      </c>
      <c r="M549" s="154">
        <v>0.75</v>
      </c>
      <c r="N549" s="154">
        <v>0.70833333333333326</v>
      </c>
      <c r="O549" s="154">
        <v>0.70833333333333326</v>
      </c>
      <c r="P549" s="154">
        <v>0.70833333333333326</v>
      </c>
      <c r="Q549" s="154">
        <v>0.75</v>
      </c>
      <c r="R549" s="154">
        <v>0.79166666666666674</v>
      </c>
      <c r="S549" s="154">
        <v>0.70833333333333326</v>
      </c>
      <c r="T549" s="154">
        <v>0.91666666666666674</v>
      </c>
      <c r="U549" s="154">
        <v>0.75</v>
      </c>
      <c r="V549" s="154">
        <v>0.75</v>
      </c>
      <c r="W549" s="154">
        <v>0.91666666666666674</v>
      </c>
      <c r="X549" s="154">
        <v>0.77083333333333326</v>
      </c>
      <c r="Y549" s="154">
        <v>0.75</v>
      </c>
      <c r="Z549" s="154">
        <v>0.875</v>
      </c>
      <c r="AA549" s="154">
        <v>0.77083333333333326</v>
      </c>
      <c r="AB549" s="154">
        <v>0.75</v>
      </c>
      <c r="AC549" s="154">
        <v>0.75</v>
      </c>
      <c r="AD549" s="154">
        <v>0.77083333333333326</v>
      </c>
      <c r="AE549" s="154">
        <v>0.75</v>
      </c>
      <c r="AF549" s="154">
        <v>0.75</v>
      </c>
      <c r="AG549" s="154">
        <v>0.75</v>
      </c>
      <c r="AH549" s="154">
        <v>0.79166666666666663</v>
      </c>
      <c r="AI549" s="154">
        <v>0.75</v>
      </c>
      <c r="AJ549" s="154">
        <v>0.91666666666666663</v>
      </c>
      <c r="AK549" s="154">
        <v>0.75</v>
      </c>
      <c r="AL549" s="154" t="s">
        <v>424</v>
      </c>
      <c r="AM549" cm="1">
        <f t="array" ref="AM549">SUM(_xlfn.LET(_xlpm.r,((IFERROR(H549:AL549-H548:AL548,0))*24)/10,IF(_xlpm.r&gt;1,1,_xlpm.r)))</f>
        <v>25</v>
      </c>
      <c r="AO549" cm="1">
        <f t="array" ref="AO549">SUM(IFERROR(MOD((H549:AL549-H548:AL548)*24,11),""))</f>
        <v>90</v>
      </c>
      <c r="AS549">
        <v>549</v>
      </c>
    </row>
    <row r="550" spans="1:46" hidden="1" x14ac:dyDescent="0.25">
      <c r="A550">
        <v>549</v>
      </c>
      <c r="B550">
        <v>2025</v>
      </c>
      <c r="C550">
        <v>9</v>
      </c>
      <c r="D550" t="s">
        <v>259</v>
      </c>
      <c r="E550">
        <v>31</v>
      </c>
      <c r="F550">
        <v>8</v>
      </c>
      <c r="G550" t="s">
        <v>536</v>
      </c>
      <c r="H550" s="154">
        <v>379637</v>
      </c>
      <c r="I550" s="154">
        <v>379754</v>
      </c>
      <c r="J550" s="154">
        <v>379887</v>
      </c>
      <c r="K550" s="154">
        <v>380011</v>
      </c>
      <c r="L550" s="154">
        <v>380129</v>
      </c>
      <c r="M550" s="154">
        <v>380241</v>
      </c>
      <c r="N550" s="154">
        <v>380364</v>
      </c>
      <c r="O550" s="154">
        <v>380473</v>
      </c>
      <c r="P550" s="154">
        <v>380592</v>
      </c>
      <c r="Q550" s="154">
        <v>380728</v>
      </c>
      <c r="R550" s="154">
        <v>380850</v>
      </c>
      <c r="S550" s="154">
        <v>381008</v>
      </c>
      <c r="T550" s="154">
        <v>381135</v>
      </c>
      <c r="U550" s="154">
        <v>381252</v>
      </c>
      <c r="V550" s="154">
        <v>381336</v>
      </c>
      <c r="W550" s="154">
        <v>381459</v>
      </c>
      <c r="X550" s="154">
        <v>381588</v>
      </c>
      <c r="Y550" s="154">
        <v>381703</v>
      </c>
      <c r="Z550" s="154">
        <v>381837</v>
      </c>
      <c r="AA550" s="154">
        <v>381974</v>
      </c>
      <c r="AB550" s="154">
        <v>382096</v>
      </c>
      <c r="AC550" s="154">
        <v>382205</v>
      </c>
      <c r="AD550" s="154">
        <v>382318</v>
      </c>
      <c r="AE550" s="154">
        <v>382486</v>
      </c>
      <c r="AF550" s="154">
        <v>382603</v>
      </c>
      <c r="AG550" s="154">
        <v>382725</v>
      </c>
      <c r="AH550" s="154">
        <v>382842</v>
      </c>
      <c r="AI550" s="154">
        <v>382953</v>
      </c>
      <c r="AJ550" s="154">
        <v>383039</v>
      </c>
      <c r="AK550" s="154">
        <v>383145</v>
      </c>
      <c r="AL550" s="154" t="s">
        <v>424</v>
      </c>
      <c r="AS550">
        <v>550</v>
      </c>
    </row>
    <row r="551" spans="1:46" hidden="1" x14ac:dyDescent="0.25">
      <c r="A551">
        <v>550</v>
      </c>
      <c r="B551">
        <v>2025</v>
      </c>
      <c r="C551">
        <v>9</v>
      </c>
      <c r="D551" t="s">
        <v>259</v>
      </c>
      <c r="E551">
        <v>31</v>
      </c>
      <c r="F551">
        <v>8</v>
      </c>
      <c r="G551" t="s">
        <v>537</v>
      </c>
      <c r="H551" s="154">
        <v>379754</v>
      </c>
      <c r="I551" s="154">
        <v>379887</v>
      </c>
      <c r="J551" s="154">
        <v>380011</v>
      </c>
      <c r="K551" s="154">
        <v>380129</v>
      </c>
      <c r="L551" s="154">
        <v>380241</v>
      </c>
      <c r="M551" s="154">
        <v>380364</v>
      </c>
      <c r="N551" s="154">
        <v>380473</v>
      </c>
      <c r="O551" s="154">
        <v>380592</v>
      </c>
      <c r="P551" s="154">
        <v>380728</v>
      </c>
      <c r="Q551" s="154">
        <v>380850</v>
      </c>
      <c r="R551" s="154">
        <v>381008</v>
      </c>
      <c r="S551" s="154">
        <v>381135</v>
      </c>
      <c r="T551" s="154">
        <v>381252</v>
      </c>
      <c r="U551" s="154">
        <v>381336</v>
      </c>
      <c r="V551" s="154">
        <v>381459</v>
      </c>
      <c r="W551" s="154">
        <v>381588</v>
      </c>
      <c r="X551" s="154">
        <v>381703</v>
      </c>
      <c r="Y551" s="154">
        <v>381837</v>
      </c>
      <c r="Z551" s="154">
        <v>381974</v>
      </c>
      <c r="AA551" s="154">
        <v>382096</v>
      </c>
      <c r="AB551" s="154">
        <v>382205</v>
      </c>
      <c r="AC551" s="154">
        <v>382318</v>
      </c>
      <c r="AD551" s="154">
        <v>382486</v>
      </c>
      <c r="AE551" s="154">
        <v>382603</v>
      </c>
      <c r="AF551" s="154">
        <v>382725</v>
      </c>
      <c r="AG551" s="154">
        <v>382842</v>
      </c>
      <c r="AH551" s="154">
        <v>382953</v>
      </c>
      <c r="AI551" s="154">
        <v>383039</v>
      </c>
      <c r="AJ551" s="154">
        <v>383145</v>
      </c>
      <c r="AK551" s="154">
        <v>383307</v>
      </c>
      <c r="AL551" s="154" t="s">
        <v>424</v>
      </c>
      <c r="AP551" cm="1">
        <f t="array" ref="AP551">IF(AQ551="","",SUM(IFERROR(H551:AL551-H550:AL550,0))*AQ551/100)</f>
        <v>550.5</v>
      </c>
      <c r="AQ551">
        <f>_xlfn.XLOOKUP(D551,log_prices!M:M,log_prices!L:L,,0)</f>
        <v>15</v>
      </c>
      <c r="AS551">
        <v>551</v>
      </c>
      <c r="AT551" cm="1">
        <f t="array" ref="AT551">IF(AQ551="","",SUM(IFERROR(H551:AL551-H550:AL550,0)))</f>
        <v>3670</v>
      </c>
    </row>
    <row r="552" spans="1:46" hidden="1" x14ac:dyDescent="0.25">
      <c r="A552">
        <v>551</v>
      </c>
      <c r="B552">
        <v>2025</v>
      </c>
      <c r="C552">
        <v>9</v>
      </c>
      <c r="D552" t="s">
        <v>269</v>
      </c>
      <c r="E552">
        <v>31</v>
      </c>
      <c r="F552">
        <v>8</v>
      </c>
      <c r="G552" t="s">
        <v>536</v>
      </c>
      <c r="H552" s="154">
        <v>29778</v>
      </c>
      <c r="I552" s="154">
        <v>29804</v>
      </c>
      <c r="J552" s="154">
        <v>29815</v>
      </c>
      <c r="K552" s="154">
        <v>29832</v>
      </c>
      <c r="L552" s="154">
        <v>29851</v>
      </c>
      <c r="M552" s="154">
        <v>29878</v>
      </c>
      <c r="N552" s="154">
        <v>29892</v>
      </c>
      <c r="O552" s="154">
        <v>29912</v>
      </c>
      <c r="P552" s="154">
        <v>29943</v>
      </c>
      <c r="Q552" s="154">
        <v>29963</v>
      </c>
      <c r="R552" s="154">
        <v>29981</v>
      </c>
      <c r="S552" s="154">
        <v>30008</v>
      </c>
      <c r="T552" s="154">
        <v>30014</v>
      </c>
      <c r="U552" s="154" t="s">
        <v>424</v>
      </c>
      <c r="V552" s="154">
        <v>30024</v>
      </c>
      <c r="W552" s="154">
        <v>30047</v>
      </c>
      <c r="X552" s="154">
        <v>30074</v>
      </c>
      <c r="Y552" s="154">
        <v>30094</v>
      </c>
      <c r="Z552" s="154">
        <v>30103</v>
      </c>
      <c r="AA552" s="154">
        <v>30117</v>
      </c>
      <c r="AB552" s="154">
        <v>30133</v>
      </c>
      <c r="AC552" s="154">
        <v>30153</v>
      </c>
      <c r="AD552" s="154">
        <v>30185</v>
      </c>
      <c r="AE552" s="154">
        <v>30199</v>
      </c>
      <c r="AF552" s="154">
        <v>30218</v>
      </c>
      <c r="AG552" s="154">
        <v>30242</v>
      </c>
      <c r="AH552" s="154">
        <v>30324</v>
      </c>
      <c r="AI552" s="154">
        <v>30336</v>
      </c>
      <c r="AJ552" s="154">
        <v>30354</v>
      </c>
      <c r="AK552" s="154">
        <v>30379</v>
      </c>
      <c r="AL552" s="154" t="s">
        <v>424</v>
      </c>
      <c r="AS552">
        <v>552</v>
      </c>
    </row>
    <row r="553" spans="1:46" hidden="1" x14ac:dyDescent="0.25">
      <c r="A553">
        <v>552</v>
      </c>
      <c r="B553">
        <v>2025</v>
      </c>
      <c r="C553">
        <v>9</v>
      </c>
      <c r="D553" t="s">
        <v>269</v>
      </c>
      <c r="E553">
        <v>31</v>
      </c>
      <c r="F553">
        <v>8</v>
      </c>
      <c r="G553" t="s">
        <v>537</v>
      </c>
      <c r="H553" s="154">
        <v>29804</v>
      </c>
      <c r="I553" s="154">
        <v>29815</v>
      </c>
      <c r="J553" s="154">
        <v>29832</v>
      </c>
      <c r="K553" s="154">
        <v>29851</v>
      </c>
      <c r="L553" s="154">
        <v>29878</v>
      </c>
      <c r="M553" s="154">
        <v>29892</v>
      </c>
      <c r="N553" s="154">
        <v>29912</v>
      </c>
      <c r="O553" s="154">
        <v>29943</v>
      </c>
      <c r="P553" s="154">
        <v>29963</v>
      </c>
      <c r="Q553" s="154">
        <v>29981</v>
      </c>
      <c r="R553" s="154">
        <v>30008</v>
      </c>
      <c r="S553" s="154">
        <v>30014</v>
      </c>
      <c r="T553" s="154">
        <v>30024</v>
      </c>
      <c r="U553" s="154" t="s">
        <v>424</v>
      </c>
      <c r="V553" s="154">
        <v>30047</v>
      </c>
      <c r="W553" s="154">
        <v>30074</v>
      </c>
      <c r="X553" s="154">
        <v>30094</v>
      </c>
      <c r="Y553" s="154">
        <v>30103</v>
      </c>
      <c r="Z553" s="154">
        <v>30117</v>
      </c>
      <c r="AA553" s="154">
        <v>30133</v>
      </c>
      <c r="AB553" s="154">
        <v>30153</v>
      </c>
      <c r="AC553" s="154">
        <v>30185</v>
      </c>
      <c r="AD553" s="154">
        <v>30199</v>
      </c>
      <c r="AE553" s="154">
        <v>30218</v>
      </c>
      <c r="AF553" s="154">
        <v>30242</v>
      </c>
      <c r="AG553" s="154">
        <v>30324</v>
      </c>
      <c r="AH553" s="154">
        <v>30336</v>
      </c>
      <c r="AI553" s="154">
        <v>30354</v>
      </c>
      <c r="AJ553" s="154">
        <v>30379</v>
      </c>
      <c r="AK553" s="154">
        <v>30410</v>
      </c>
      <c r="AL553" s="154" t="s">
        <v>424</v>
      </c>
      <c r="AP553" cm="1">
        <f t="array" ref="AP553">IF(AQ553="","",SUM(IFERROR(H553:AL553-H552:AL552,0))*AQ553/100)</f>
        <v>94.8</v>
      </c>
      <c r="AQ553">
        <f>_xlfn.XLOOKUP(D553,log_prices!M:M,log_prices!L:L,,0)</f>
        <v>15</v>
      </c>
      <c r="AS553">
        <v>553</v>
      </c>
      <c r="AT553" cm="1">
        <f t="array" ref="AT553">IF(AQ553="","",SUM(IFERROR(H553:AL553-H552:AL552,0)))</f>
        <v>632</v>
      </c>
    </row>
    <row r="554" spans="1:46" hidden="1" x14ac:dyDescent="0.25">
      <c r="A554">
        <v>553</v>
      </c>
      <c r="B554">
        <v>2025</v>
      </c>
      <c r="C554">
        <v>9</v>
      </c>
      <c r="D554" t="s">
        <v>258</v>
      </c>
      <c r="E554">
        <v>31</v>
      </c>
      <c r="F554">
        <v>8</v>
      </c>
      <c r="G554" t="s">
        <v>536</v>
      </c>
      <c r="H554" s="154">
        <v>33423</v>
      </c>
      <c r="I554" s="154">
        <v>33547</v>
      </c>
      <c r="J554" s="154">
        <v>33679</v>
      </c>
      <c r="K554" s="154">
        <v>33785</v>
      </c>
      <c r="L554" s="154">
        <v>33921</v>
      </c>
      <c r="M554" s="154">
        <v>34088</v>
      </c>
      <c r="N554" s="154">
        <v>34244</v>
      </c>
      <c r="O554" s="154">
        <v>34362</v>
      </c>
      <c r="P554" s="154">
        <v>34485</v>
      </c>
      <c r="Q554" s="154">
        <v>34593</v>
      </c>
      <c r="R554" s="154">
        <v>34707</v>
      </c>
      <c r="S554" s="154">
        <v>34834</v>
      </c>
      <c r="T554" s="154">
        <v>34966</v>
      </c>
      <c r="U554" s="154">
        <v>35072</v>
      </c>
      <c r="V554" s="154">
        <v>35153</v>
      </c>
      <c r="W554" s="154">
        <v>35251</v>
      </c>
      <c r="X554" s="154">
        <v>35380</v>
      </c>
      <c r="Y554" s="154">
        <v>35499</v>
      </c>
      <c r="Z554" s="154">
        <v>35591</v>
      </c>
      <c r="AA554" s="154">
        <v>35732</v>
      </c>
      <c r="AB554" s="154">
        <v>35870</v>
      </c>
      <c r="AC554" s="154">
        <v>35976</v>
      </c>
      <c r="AD554" s="154">
        <v>36143</v>
      </c>
      <c r="AE554" s="154">
        <v>36301</v>
      </c>
      <c r="AF554" s="154">
        <v>36419</v>
      </c>
      <c r="AG554" s="154">
        <v>36545</v>
      </c>
      <c r="AH554" s="154">
        <v>36647</v>
      </c>
      <c r="AI554" s="154">
        <v>36775</v>
      </c>
      <c r="AJ554" s="154">
        <v>36863</v>
      </c>
      <c r="AK554" s="154">
        <v>36978</v>
      </c>
      <c r="AL554" s="154" t="s">
        <v>424</v>
      </c>
      <c r="AS554">
        <v>554</v>
      </c>
    </row>
    <row r="555" spans="1:46" hidden="1" x14ac:dyDescent="0.25">
      <c r="A555">
        <v>554</v>
      </c>
      <c r="B555">
        <v>2025</v>
      </c>
      <c r="C555">
        <v>9</v>
      </c>
      <c r="D555" t="s">
        <v>258</v>
      </c>
      <c r="E555">
        <v>31</v>
      </c>
      <c r="F555">
        <v>8</v>
      </c>
      <c r="G555" t="s">
        <v>537</v>
      </c>
      <c r="H555" s="154">
        <v>33547</v>
      </c>
      <c r="I555" s="154">
        <v>33679</v>
      </c>
      <c r="J555" s="154">
        <v>33785</v>
      </c>
      <c r="K555" s="154">
        <v>33921</v>
      </c>
      <c r="L555" s="154">
        <v>34088</v>
      </c>
      <c r="M555" s="154">
        <v>34244</v>
      </c>
      <c r="N555" s="154">
        <v>34362</v>
      </c>
      <c r="O555" s="154">
        <v>34485</v>
      </c>
      <c r="P555" s="154">
        <v>34593</v>
      </c>
      <c r="Q555" s="154">
        <v>34707</v>
      </c>
      <c r="R555" s="154">
        <v>34834</v>
      </c>
      <c r="S555" s="154">
        <v>34966</v>
      </c>
      <c r="T555" s="154">
        <v>35072</v>
      </c>
      <c r="U555" s="154">
        <v>35153</v>
      </c>
      <c r="V555" s="154">
        <v>35251</v>
      </c>
      <c r="W555" s="154">
        <v>35380</v>
      </c>
      <c r="X555" s="154">
        <v>35499</v>
      </c>
      <c r="Y555" s="154">
        <v>35591</v>
      </c>
      <c r="Z555" s="154">
        <v>35732</v>
      </c>
      <c r="AA555" s="154">
        <v>35870</v>
      </c>
      <c r="AB555" s="154">
        <v>35976</v>
      </c>
      <c r="AC555" s="154">
        <v>36143</v>
      </c>
      <c r="AD555" s="154">
        <v>36301</v>
      </c>
      <c r="AE555" s="154">
        <v>36419</v>
      </c>
      <c r="AF555" s="154">
        <v>36545</v>
      </c>
      <c r="AG555" s="154">
        <v>36647</v>
      </c>
      <c r="AH555" s="154">
        <v>36775</v>
      </c>
      <c r="AI555" s="154">
        <v>36863</v>
      </c>
      <c r="AJ555" s="154">
        <v>36978</v>
      </c>
      <c r="AK555" s="154">
        <v>37112</v>
      </c>
      <c r="AL555" s="154" t="s">
        <v>424</v>
      </c>
      <c r="AP555" cm="1">
        <f t="array" ref="AP555">IF(AQ555="","",SUM(IFERROR(H555:AL555-H554:AL554,0))*AQ555/100)-30*6.30066666666667</f>
        <v>474.99999999999989</v>
      </c>
      <c r="AQ555">
        <f>_xlfn.XLOOKUP(D555,log_prices!M:M,log_prices!L:L,,0)</f>
        <v>18</v>
      </c>
      <c r="AR555" t="s">
        <v>540</v>
      </c>
      <c r="AS555">
        <v>555</v>
      </c>
      <c r="AT555" cm="1">
        <f t="array" ref="AT555">IF(AQ555="","",SUM(IFERROR(H555:AL555-H554:AL554,0)))</f>
        <v>3689</v>
      </c>
    </row>
    <row r="556" spans="1:46" hidden="1" x14ac:dyDescent="0.25">
      <c r="A556">
        <v>555</v>
      </c>
      <c r="B556">
        <v>2025</v>
      </c>
      <c r="C556">
        <v>9</v>
      </c>
      <c r="D556" t="s">
        <v>257</v>
      </c>
      <c r="E556">
        <v>31</v>
      </c>
      <c r="F556">
        <v>8</v>
      </c>
      <c r="G556" t="s">
        <v>536</v>
      </c>
      <c r="H556" s="154">
        <v>956157</v>
      </c>
      <c r="I556" s="154">
        <v>956196</v>
      </c>
      <c r="J556" s="154">
        <v>956229</v>
      </c>
      <c r="K556" s="154">
        <v>956284</v>
      </c>
      <c r="L556" s="154">
        <v>956428</v>
      </c>
      <c r="M556" s="154">
        <v>956474</v>
      </c>
      <c r="N556" s="154">
        <v>956517</v>
      </c>
      <c r="O556" s="154">
        <v>956553</v>
      </c>
      <c r="P556" s="154">
        <v>956690</v>
      </c>
      <c r="Q556" s="154">
        <v>956866</v>
      </c>
      <c r="R556" s="154">
        <v>956909</v>
      </c>
      <c r="S556" s="154">
        <v>956929</v>
      </c>
      <c r="T556" s="154">
        <v>956950</v>
      </c>
      <c r="U556" s="154" t="s">
        <v>424</v>
      </c>
      <c r="V556" s="154">
        <v>957147</v>
      </c>
      <c r="W556" s="154">
        <v>957178</v>
      </c>
      <c r="X556" s="154">
        <v>957208</v>
      </c>
      <c r="Y556" s="154">
        <v>957229</v>
      </c>
      <c r="Z556" s="154">
        <v>957268</v>
      </c>
      <c r="AA556" s="154">
        <v>957313</v>
      </c>
      <c r="AB556" s="154">
        <v>957372</v>
      </c>
      <c r="AC556" s="154">
        <v>957492</v>
      </c>
      <c r="AD556" s="154">
        <v>957540</v>
      </c>
      <c r="AE556" s="154">
        <v>957573</v>
      </c>
      <c r="AF556" s="154">
        <v>957673</v>
      </c>
      <c r="AG556" s="154">
        <v>957727</v>
      </c>
      <c r="AH556" s="154">
        <v>957839</v>
      </c>
      <c r="AI556" s="154">
        <v>957967</v>
      </c>
      <c r="AJ556" s="154">
        <v>958034</v>
      </c>
      <c r="AK556" s="154">
        <v>958101</v>
      </c>
      <c r="AL556" s="154" t="s">
        <v>424</v>
      </c>
      <c r="AS556">
        <v>556</v>
      </c>
    </row>
    <row r="557" spans="1:46" hidden="1" x14ac:dyDescent="0.25">
      <c r="A557">
        <v>556</v>
      </c>
      <c r="B557">
        <v>2025</v>
      </c>
      <c r="C557">
        <v>9</v>
      </c>
      <c r="D557" t="s">
        <v>257</v>
      </c>
      <c r="E557">
        <v>31</v>
      </c>
      <c r="F557">
        <v>8</v>
      </c>
      <c r="G557" t="s">
        <v>537</v>
      </c>
      <c r="H557" s="154">
        <v>956196</v>
      </c>
      <c r="I557" s="154">
        <v>956229</v>
      </c>
      <c r="J557" s="154">
        <v>956284</v>
      </c>
      <c r="K557" s="154">
        <v>956307</v>
      </c>
      <c r="L557" s="154">
        <v>956474</v>
      </c>
      <c r="M557" s="154">
        <v>956517</v>
      </c>
      <c r="N557" s="154">
        <v>956553</v>
      </c>
      <c r="O557" s="154">
        <v>956690</v>
      </c>
      <c r="P557" s="154">
        <v>956741</v>
      </c>
      <c r="Q557" s="154">
        <v>956909</v>
      </c>
      <c r="R557" s="154">
        <v>956929</v>
      </c>
      <c r="S557" s="154">
        <v>956950</v>
      </c>
      <c r="T557" s="154">
        <v>957003</v>
      </c>
      <c r="U557" s="154" t="s">
        <v>424</v>
      </c>
      <c r="V557" s="154">
        <v>957178</v>
      </c>
      <c r="W557" s="154">
        <v>957208</v>
      </c>
      <c r="X557" s="154">
        <v>957229</v>
      </c>
      <c r="Y557" s="154">
        <v>957268</v>
      </c>
      <c r="Z557" s="154">
        <v>957313</v>
      </c>
      <c r="AA557" s="154">
        <v>957372</v>
      </c>
      <c r="AB557" s="154">
        <v>957492</v>
      </c>
      <c r="AC557" s="154">
        <v>957540</v>
      </c>
      <c r="AD557" s="154">
        <v>957573</v>
      </c>
      <c r="AE557" s="154">
        <v>957673</v>
      </c>
      <c r="AF557" s="154">
        <v>957727</v>
      </c>
      <c r="AG557" s="154">
        <v>957839</v>
      </c>
      <c r="AH557" s="154">
        <v>957967</v>
      </c>
      <c r="AI557" s="154">
        <v>958034</v>
      </c>
      <c r="AJ557" s="154">
        <v>958101</v>
      </c>
      <c r="AK557" s="154">
        <v>958189</v>
      </c>
      <c r="AL557" s="154" t="s">
        <v>424</v>
      </c>
      <c r="AP557" cm="1">
        <f t="array" ref="AP557">IF(AQ557="","",SUM(IFERROR(H557:AL557-H556:AL556,0))*AQ557/100)</f>
        <v>246.3</v>
      </c>
      <c r="AQ557">
        <f>_xlfn.XLOOKUP(D557,log_prices!M:M,log_prices!L:L,,0)</f>
        <v>15</v>
      </c>
      <c r="AS557">
        <v>557</v>
      </c>
      <c r="AT557" cm="1">
        <f t="array" ref="AT557">IF(AQ557="","",SUM(IFERROR(H557:AL557-H556:AL556,0)))</f>
        <v>1642</v>
      </c>
    </row>
    <row r="558" spans="1:46" hidden="1" x14ac:dyDescent="0.25">
      <c r="A558">
        <v>557</v>
      </c>
      <c r="B558">
        <v>2025</v>
      </c>
      <c r="C558">
        <v>9</v>
      </c>
      <c r="D558" t="s">
        <v>266</v>
      </c>
      <c r="E558">
        <v>31</v>
      </c>
      <c r="F558">
        <v>8</v>
      </c>
      <c r="G558" t="s">
        <v>536</v>
      </c>
      <c r="H558" s="154">
        <v>95281</v>
      </c>
      <c r="I558" s="154">
        <v>95495</v>
      </c>
      <c r="J558" s="154">
        <v>95674</v>
      </c>
      <c r="K558" s="154">
        <v>95842</v>
      </c>
      <c r="L558" s="154">
        <v>96025</v>
      </c>
      <c r="M558" s="154">
        <v>96231</v>
      </c>
      <c r="N558" s="154">
        <v>96426</v>
      </c>
      <c r="O558" s="154">
        <v>96608</v>
      </c>
      <c r="P558" s="154">
        <v>96843</v>
      </c>
      <c r="Q558" s="154">
        <v>97019</v>
      </c>
      <c r="R558" s="154">
        <v>97211</v>
      </c>
      <c r="S558" s="154">
        <v>97379</v>
      </c>
      <c r="T558" s="154">
        <v>97562</v>
      </c>
      <c r="U558" s="154" t="s">
        <v>424</v>
      </c>
      <c r="V558" s="154">
        <v>97801</v>
      </c>
      <c r="W558" s="154">
        <v>98032</v>
      </c>
      <c r="X558" s="154">
        <v>98259</v>
      </c>
      <c r="Y558" s="154">
        <v>98478</v>
      </c>
      <c r="Z558" s="154">
        <v>98670</v>
      </c>
      <c r="AA558" s="154">
        <v>98849</v>
      </c>
      <c r="AB558" s="154">
        <v>99084</v>
      </c>
      <c r="AC558" s="154">
        <v>99322</v>
      </c>
      <c r="AD558" s="154">
        <v>99495</v>
      </c>
      <c r="AE558" s="154">
        <v>99663</v>
      </c>
      <c r="AF558" s="154">
        <v>99836</v>
      </c>
      <c r="AG558" s="154">
        <v>10003</v>
      </c>
      <c r="AH558" s="154">
        <v>10177</v>
      </c>
      <c r="AI558" s="154">
        <v>10345</v>
      </c>
      <c r="AJ558" s="154">
        <v>10523</v>
      </c>
      <c r="AK558" s="154">
        <v>10719</v>
      </c>
      <c r="AL558" s="154" t="s">
        <v>424</v>
      </c>
      <c r="AS558">
        <v>558</v>
      </c>
    </row>
    <row r="559" spans="1:46" hidden="1" x14ac:dyDescent="0.25">
      <c r="A559">
        <v>558</v>
      </c>
      <c r="B559">
        <v>2025</v>
      </c>
      <c r="C559">
        <v>9</v>
      </c>
      <c r="D559" t="s">
        <v>266</v>
      </c>
      <c r="E559">
        <v>31</v>
      </c>
      <c r="F559">
        <v>8</v>
      </c>
      <c r="G559" t="s">
        <v>537</v>
      </c>
      <c r="H559" s="154">
        <v>95495</v>
      </c>
      <c r="I559" s="154">
        <v>95674</v>
      </c>
      <c r="J559" s="154">
        <v>95842</v>
      </c>
      <c r="K559" s="154">
        <v>96025</v>
      </c>
      <c r="L559" s="154">
        <v>96231</v>
      </c>
      <c r="M559" s="154">
        <v>96426</v>
      </c>
      <c r="N559" s="154">
        <v>96608</v>
      </c>
      <c r="O559" s="154">
        <v>96843</v>
      </c>
      <c r="P559" s="154">
        <v>97019</v>
      </c>
      <c r="Q559" s="154">
        <v>97211</v>
      </c>
      <c r="R559" s="154">
        <v>97379</v>
      </c>
      <c r="S559" s="154">
        <v>97562</v>
      </c>
      <c r="T559" s="154">
        <v>97801</v>
      </c>
      <c r="U559" s="154" t="s">
        <v>424</v>
      </c>
      <c r="V559" s="154">
        <v>98032</v>
      </c>
      <c r="W559" s="154">
        <v>98259</v>
      </c>
      <c r="X559" s="154">
        <v>98478</v>
      </c>
      <c r="Y559" s="154">
        <v>98670</v>
      </c>
      <c r="Z559" s="154">
        <v>98849</v>
      </c>
      <c r="AA559" s="154">
        <v>99084</v>
      </c>
      <c r="AB559" s="154">
        <v>99322</v>
      </c>
      <c r="AC559" s="154">
        <v>99495</v>
      </c>
      <c r="AD559" s="154">
        <v>99663</v>
      </c>
      <c r="AE559" s="154">
        <v>99836</v>
      </c>
      <c r="AF559" s="154">
        <v>100003</v>
      </c>
      <c r="AG559" s="154">
        <v>10177</v>
      </c>
      <c r="AH559" s="154">
        <v>10345</v>
      </c>
      <c r="AI559" s="154">
        <v>10523</v>
      </c>
      <c r="AJ559" s="154">
        <v>10719</v>
      </c>
      <c r="AK559" s="154">
        <v>10904</v>
      </c>
      <c r="AL559" s="154" t="s">
        <v>424</v>
      </c>
      <c r="AP559" cm="1">
        <f t="array" ref="AP559">IF(AQ559="","",SUM(IFERROR(H559:AL559-H558:AL558,0))*AQ559/100)</f>
        <v>843.44999999999982</v>
      </c>
      <c r="AQ559">
        <f>_xlfn.XLOOKUP(D559,log_prices!M:M,log_prices!L:L,,0)</f>
        <v>14.999999999999998</v>
      </c>
      <c r="AS559">
        <v>559</v>
      </c>
      <c r="AT559" cm="1">
        <f t="array" ref="AT559">IF(AQ559="","",SUM(IFERROR(H559:AL559-H558:AL558,0)))</f>
        <v>5623</v>
      </c>
    </row>
    <row r="560" spans="1:46" hidden="1" x14ac:dyDescent="0.25">
      <c r="A560">
        <v>559</v>
      </c>
      <c r="B560">
        <v>2025</v>
      </c>
      <c r="C560">
        <v>9</v>
      </c>
      <c r="D560" t="s">
        <v>275</v>
      </c>
      <c r="E560">
        <v>31</v>
      </c>
      <c r="F560">
        <v>8</v>
      </c>
      <c r="G560" t="s">
        <v>536</v>
      </c>
      <c r="H560" s="154">
        <v>199498</v>
      </c>
      <c r="I560" s="154">
        <v>199524</v>
      </c>
      <c r="J560" s="154">
        <v>199555</v>
      </c>
      <c r="K560" s="154">
        <v>199579</v>
      </c>
      <c r="L560" s="154">
        <v>199607</v>
      </c>
      <c r="M560" s="154">
        <v>199641</v>
      </c>
      <c r="N560" s="154">
        <v>199715</v>
      </c>
      <c r="O560" s="154">
        <v>199792</v>
      </c>
      <c r="P560" s="154">
        <v>199832</v>
      </c>
      <c r="Q560" s="154">
        <v>199863</v>
      </c>
      <c r="R560" s="154">
        <v>199961</v>
      </c>
      <c r="S560" s="154">
        <v>199973</v>
      </c>
      <c r="T560" s="154">
        <v>200068</v>
      </c>
      <c r="U560" s="154">
        <v>200068</v>
      </c>
      <c r="V560" s="154">
        <v>200165</v>
      </c>
      <c r="W560" s="154">
        <v>200232</v>
      </c>
      <c r="X560" s="154">
        <v>200261</v>
      </c>
      <c r="Y560" s="154">
        <v>200308</v>
      </c>
      <c r="Z560" s="154">
        <v>200326</v>
      </c>
      <c r="AA560" s="154">
        <v>200356</v>
      </c>
      <c r="AB560" s="154">
        <v>200388</v>
      </c>
      <c r="AC560" s="154">
        <v>200415</v>
      </c>
      <c r="AD560" s="154">
        <v>200429</v>
      </c>
      <c r="AE560" s="154">
        <v>200463</v>
      </c>
      <c r="AF560" s="154">
        <v>200499</v>
      </c>
      <c r="AG560" s="154">
        <v>200527</v>
      </c>
      <c r="AH560" s="154">
        <v>200538</v>
      </c>
      <c r="AI560" s="154">
        <v>200594</v>
      </c>
      <c r="AJ560" s="154">
        <v>200654</v>
      </c>
      <c r="AK560" s="154">
        <v>200760</v>
      </c>
      <c r="AL560" s="154" t="s">
        <v>424</v>
      </c>
      <c r="AS560">
        <v>560</v>
      </c>
    </row>
    <row r="561" spans="1:46" hidden="1" x14ac:dyDescent="0.25">
      <c r="A561">
        <v>560</v>
      </c>
      <c r="B561">
        <v>2025</v>
      </c>
      <c r="C561">
        <v>9</v>
      </c>
      <c r="D561" t="s">
        <v>275</v>
      </c>
      <c r="E561">
        <v>31</v>
      </c>
      <c r="F561">
        <v>8</v>
      </c>
      <c r="G561" t="s">
        <v>537</v>
      </c>
      <c r="H561" s="154">
        <v>199524</v>
      </c>
      <c r="I561" s="154">
        <v>199555</v>
      </c>
      <c r="J561" s="154">
        <v>199579</v>
      </c>
      <c r="K561" s="154">
        <v>199607</v>
      </c>
      <c r="L561" s="154">
        <v>199641</v>
      </c>
      <c r="M561" s="154">
        <v>199715</v>
      </c>
      <c r="N561" s="154">
        <v>199792</v>
      </c>
      <c r="O561" s="154">
        <v>199832</v>
      </c>
      <c r="P561" s="154">
        <v>199863</v>
      </c>
      <c r="Q561" s="154">
        <v>199876</v>
      </c>
      <c r="R561" s="154">
        <v>199973</v>
      </c>
      <c r="S561" s="154">
        <v>200019</v>
      </c>
      <c r="T561" s="154">
        <v>200068</v>
      </c>
      <c r="U561" s="154">
        <v>200165</v>
      </c>
      <c r="V561" s="154">
        <v>200232</v>
      </c>
      <c r="W561" s="154">
        <v>200261</v>
      </c>
      <c r="X561" s="154">
        <v>200308</v>
      </c>
      <c r="Y561" s="154">
        <v>200326</v>
      </c>
      <c r="Z561" s="154">
        <v>200356</v>
      </c>
      <c r="AA561" s="154">
        <v>200388</v>
      </c>
      <c r="AB561" s="154">
        <v>200415</v>
      </c>
      <c r="AC561" s="154">
        <v>200429</v>
      </c>
      <c r="AD561" s="154">
        <v>200463</v>
      </c>
      <c r="AE561" s="154">
        <v>200499</v>
      </c>
      <c r="AF561" s="154">
        <v>200527</v>
      </c>
      <c r="AG561" s="154">
        <v>200538</v>
      </c>
      <c r="AH561" s="154">
        <v>200594</v>
      </c>
      <c r="AI561" s="154">
        <v>200654</v>
      </c>
      <c r="AJ561" s="154">
        <v>200760</v>
      </c>
      <c r="AK561" s="154">
        <v>200798</v>
      </c>
      <c r="AL561" s="154" t="s">
        <v>424</v>
      </c>
      <c r="AP561" cm="1">
        <f t="array" ref="AP561">IF(AQ561="","",SUM(IFERROR(H561:AL561-H560:AL560,0))*AQ561/100)</f>
        <v>174.9</v>
      </c>
      <c r="AQ561">
        <f>_xlfn.XLOOKUP(D561,log_prices!M:M,log_prices!L:L,,0)</f>
        <v>15</v>
      </c>
      <c r="AS561">
        <v>561</v>
      </c>
      <c r="AT561" cm="1">
        <f t="array" ref="AT561">IF(AQ561="","",SUM(IFERROR(H561:AL561-H560:AL560,0)))</f>
        <v>1166</v>
      </c>
    </row>
    <row r="562" spans="1:46" hidden="1" x14ac:dyDescent="0.25">
      <c r="A562">
        <v>561</v>
      </c>
      <c r="B562">
        <v>2025</v>
      </c>
      <c r="C562">
        <v>9</v>
      </c>
      <c r="D562" t="s">
        <v>265</v>
      </c>
      <c r="E562">
        <v>31</v>
      </c>
      <c r="F562">
        <v>8</v>
      </c>
      <c r="G562" t="s">
        <v>536</v>
      </c>
      <c r="H562" s="154">
        <v>818096</v>
      </c>
      <c r="I562" s="154">
        <v>818168</v>
      </c>
      <c r="J562" s="154">
        <v>818243</v>
      </c>
      <c r="K562" s="154">
        <v>818313</v>
      </c>
      <c r="L562" s="154">
        <v>818377</v>
      </c>
      <c r="M562" s="154">
        <v>818447</v>
      </c>
      <c r="N562" s="154" t="s">
        <v>424</v>
      </c>
      <c r="O562" s="154">
        <v>818492</v>
      </c>
      <c r="P562" s="154">
        <v>818595</v>
      </c>
      <c r="Q562" s="154">
        <v>818688</v>
      </c>
      <c r="R562" s="154">
        <v>818763</v>
      </c>
      <c r="S562" s="154">
        <v>818866</v>
      </c>
      <c r="T562" s="154">
        <v>818953</v>
      </c>
      <c r="U562" s="154" t="s">
        <v>424</v>
      </c>
      <c r="V562" s="154">
        <v>819027</v>
      </c>
      <c r="W562" s="154">
        <v>819118</v>
      </c>
      <c r="X562" s="154">
        <v>819195</v>
      </c>
      <c r="Y562" s="154">
        <v>819296</v>
      </c>
      <c r="Z562" s="154">
        <v>819378</v>
      </c>
      <c r="AA562" s="154">
        <v>819463</v>
      </c>
      <c r="AB562" s="154">
        <v>819545</v>
      </c>
      <c r="AC562" s="154">
        <v>819626</v>
      </c>
      <c r="AD562" s="154">
        <v>819707</v>
      </c>
      <c r="AE562" s="154">
        <v>819799</v>
      </c>
      <c r="AF562" s="154">
        <v>819891</v>
      </c>
      <c r="AG562" s="154">
        <v>819975</v>
      </c>
      <c r="AH562" s="154">
        <v>820079</v>
      </c>
      <c r="AI562" s="154" t="s">
        <v>424</v>
      </c>
      <c r="AJ562" s="154">
        <v>820180</v>
      </c>
      <c r="AK562" s="154">
        <v>820326</v>
      </c>
      <c r="AL562" s="154" t="s">
        <v>424</v>
      </c>
      <c r="AS562">
        <v>562</v>
      </c>
    </row>
    <row r="563" spans="1:46" hidden="1" x14ac:dyDescent="0.25">
      <c r="A563">
        <v>562</v>
      </c>
      <c r="B563">
        <v>2025</v>
      </c>
      <c r="C563">
        <v>9</v>
      </c>
      <c r="D563" t="s">
        <v>265</v>
      </c>
      <c r="E563">
        <v>31</v>
      </c>
      <c r="F563">
        <v>8</v>
      </c>
      <c r="G563" t="s">
        <v>537</v>
      </c>
      <c r="H563" s="154">
        <v>818168</v>
      </c>
      <c r="I563" s="154">
        <v>818243</v>
      </c>
      <c r="J563" s="154">
        <v>818313</v>
      </c>
      <c r="K563" s="154">
        <v>818377</v>
      </c>
      <c r="L563" s="154">
        <v>818447</v>
      </c>
      <c r="M563" s="154">
        <v>818492</v>
      </c>
      <c r="N563" s="154" t="s">
        <v>424</v>
      </c>
      <c r="O563" s="154">
        <v>818595</v>
      </c>
      <c r="P563" s="154">
        <v>818688</v>
      </c>
      <c r="Q563" s="154">
        <v>818763</v>
      </c>
      <c r="R563" s="154">
        <v>818866</v>
      </c>
      <c r="S563" s="154">
        <v>818953</v>
      </c>
      <c r="T563" s="154">
        <v>819027</v>
      </c>
      <c r="U563" s="154" t="s">
        <v>424</v>
      </c>
      <c r="V563" s="154">
        <v>819118</v>
      </c>
      <c r="W563" s="154">
        <v>819195</v>
      </c>
      <c r="X563" s="154">
        <v>819296</v>
      </c>
      <c r="Y563" s="154">
        <v>819378</v>
      </c>
      <c r="Z563" s="154">
        <v>819463</v>
      </c>
      <c r="AA563" s="154">
        <v>819545</v>
      </c>
      <c r="AB563" s="154">
        <v>819626</v>
      </c>
      <c r="AC563" s="154">
        <v>819707</v>
      </c>
      <c r="AD563" s="154">
        <v>819799</v>
      </c>
      <c r="AE563" s="154">
        <v>819891</v>
      </c>
      <c r="AF563" s="154">
        <v>819975</v>
      </c>
      <c r="AG563" s="154">
        <v>820079</v>
      </c>
      <c r="AH563" s="154">
        <v>820180</v>
      </c>
      <c r="AI563" s="154" t="s">
        <v>424</v>
      </c>
      <c r="AJ563" s="154">
        <v>820326</v>
      </c>
      <c r="AK563" s="154">
        <v>820439</v>
      </c>
      <c r="AL563" s="154" t="s">
        <v>424</v>
      </c>
      <c r="AP563" cm="1">
        <f t="array" ref="AP563">IF(AQ563="","",SUM(IFERROR(H563:AL563-H562:AL562,0))*AQ563/100)</f>
        <v>351.45</v>
      </c>
      <c r="AQ563">
        <v>15</v>
      </c>
      <c r="AS563">
        <v>563</v>
      </c>
      <c r="AT563" cm="1">
        <f t="array" ref="AT563">IF(AQ563="","",SUM(IFERROR(H563:AL563-H562:AL562,0)))</f>
        <v>2343</v>
      </c>
    </row>
    <row r="564" spans="1:46" hidden="1" x14ac:dyDescent="0.25">
      <c r="A564">
        <v>563</v>
      </c>
      <c r="B564">
        <v>2025</v>
      </c>
      <c r="C564">
        <v>9</v>
      </c>
      <c r="D564" t="s">
        <v>255</v>
      </c>
      <c r="E564">
        <v>31</v>
      </c>
      <c r="F564">
        <v>8</v>
      </c>
      <c r="G564" t="s">
        <v>536</v>
      </c>
      <c r="H564" s="154">
        <v>272261</v>
      </c>
      <c r="I564" s="154">
        <v>272440</v>
      </c>
      <c r="J564" s="154">
        <v>272486</v>
      </c>
      <c r="K564" s="154">
        <v>272597</v>
      </c>
      <c r="L564" s="154">
        <v>272757</v>
      </c>
      <c r="M564" s="154">
        <v>272898</v>
      </c>
      <c r="N564" s="154">
        <v>273013</v>
      </c>
      <c r="O564" s="154">
        <v>273160</v>
      </c>
      <c r="P564" s="154">
        <v>273200</v>
      </c>
      <c r="Q564" s="154">
        <v>273320</v>
      </c>
      <c r="R564" s="154">
        <v>273520</v>
      </c>
      <c r="S564" s="154">
        <v>273570</v>
      </c>
      <c r="T564" s="154">
        <v>273690</v>
      </c>
      <c r="U564" s="154">
        <v>273780</v>
      </c>
      <c r="V564" s="154">
        <v>273855</v>
      </c>
      <c r="W564" s="154">
        <v>273961</v>
      </c>
      <c r="X564" s="154">
        <v>274095</v>
      </c>
      <c r="Y564" s="154">
        <v>274287</v>
      </c>
      <c r="Z564" s="154">
        <v>274420</v>
      </c>
      <c r="AA564" s="154">
        <v>274510</v>
      </c>
      <c r="AB564" s="154">
        <v>274650</v>
      </c>
      <c r="AC564" s="154">
        <v>274760</v>
      </c>
      <c r="AD564" s="154">
        <v>274857</v>
      </c>
      <c r="AE564" s="154">
        <v>274998</v>
      </c>
      <c r="AF564" s="154">
        <v>275170</v>
      </c>
      <c r="AG564" s="154">
        <v>275330</v>
      </c>
      <c r="AH564" s="154">
        <v>275500</v>
      </c>
      <c r="AI564" s="154">
        <v>275630</v>
      </c>
      <c r="AJ564" s="154">
        <v>275730</v>
      </c>
      <c r="AK564" s="154">
        <v>275810</v>
      </c>
      <c r="AL564" s="154" t="s">
        <v>424</v>
      </c>
      <c r="AS564">
        <v>564</v>
      </c>
    </row>
    <row r="565" spans="1:46" hidden="1" x14ac:dyDescent="0.25">
      <c r="A565">
        <v>564</v>
      </c>
      <c r="B565">
        <v>2025</v>
      </c>
      <c r="C565">
        <v>9</v>
      </c>
      <c r="D565" t="s">
        <v>255</v>
      </c>
      <c r="E565">
        <v>31</v>
      </c>
      <c r="F565">
        <v>8</v>
      </c>
      <c r="G565" t="s">
        <v>537</v>
      </c>
      <c r="H565" s="154">
        <v>272440</v>
      </c>
      <c r="I565" s="154">
        <v>272486</v>
      </c>
      <c r="J565" s="154">
        <v>272597</v>
      </c>
      <c r="K565" s="154">
        <v>272757</v>
      </c>
      <c r="L565" s="154">
        <v>272898</v>
      </c>
      <c r="M565" s="154">
        <v>273013</v>
      </c>
      <c r="N565" s="154">
        <v>273160</v>
      </c>
      <c r="O565" s="154">
        <v>273200</v>
      </c>
      <c r="P565" s="154">
        <v>273320</v>
      </c>
      <c r="Q565" s="154">
        <v>273520</v>
      </c>
      <c r="R565" s="154">
        <v>273570</v>
      </c>
      <c r="S565" s="154">
        <v>273690</v>
      </c>
      <c r="T565" s="154">
        <v>273780</v>
      </c>
      <c r="U565" s="154">
        <v>273855</v>
      </c>
      <c r="V565" s="154">
        <v>273961</v>
      </c>
      <c r="W565" s="154">
        <v>274095</v>
      </c>
      <c r="X565" s="154">
        <v>274287</v>
      </c>
      <c r="Y565" s="154">
        <v>274420</v>
      </c>
      <c r="Z565" s="154">
        <v>274510</v>
      </c>
      <c r="AA565" s="154">
        <v>274650</v>
      </c>
      <c r="AB565" s="154">
        <v>274760</v>
      </c>
      <c r="AC565" s="154">
        <v>274857</v>
      </c>
      <c r="AD565" s="154">
        <v>274998</v>
      </c>
      <c r="AE565" s="154">
        <v>275170</v>
      </c>
      <c r="AF565" s="154">
        <v>275330</v>
      </c>
      <c r="AG565" s="154">
        <v>275500</v>
      </c>
      <c r="AH565" s="154">
        <v>275630</v>
      </c>
      <c r="AI565" s="154">
        <v>275730</v>
      </c>
      <c r="AJ565" s="154">
        <v>275810</v>
      </c>
      <c r="AK565" s="154">
        <v>275920</v>
      </c>
      <c r="AL565" s="154" t="s">
        <v>424</v>
      </c>
      <c r="AP565" cm="1">
        <f t="array" ref="AP565">IF(AQ565="","",SUM(IFERROR(H565:AL565-H564:AL564,0))*AQ565/100)-30*2.22833333333333</f>
        <v>482.00000000000011</v>
      </c>
      <c r="AQ565">
        <v>15</v>
      </c>
      <c r="AR565" t="s">
        <v>541</v>
      </c>
      <c r="AS565">
        <v>565</v>
      </c>
      <c r="AT565" cm="1">
        <f t="array" ref="AT565">IF(AQ565="","",SUM(IFERROR(H565:AL565-H564:AL564,0)))</f>
        <v>3659</v>
      </c>
    </row>
    <row r="566" spans="1:46" hidden="1" x14ac:dyDescent="0.25">
      <c r="A566">
        <v>565</v>
      </c>
      <c r="B566">
        <v>2025</v>
      </c>
      <c r="C566">
        <v>9</v>
      </c>
      <c r="D566" t="s">
        <v>253</v>
      </c>
      <c r="E566">
        <v>31</v>
      </c>
      <c r="F566">
        <v>8</v>
      </c>
      <c r="G566" t="s">
        <v>536</v>
      </c>
      <c r="H566" s="154">
        <v>851585</v>
      </c>
      <c r="I566" s="154">
        <v>851792</v>
      </c>
      <c r="J566" s="154">
        <v>851998</v>
      </c>
      <c r="K566" s="154">
        <v>852208</v>
      </c>
      <c r="L566" s="154">
        <v>852348</v>
      </c>
      <c r="M566" s="154">
        <v>852508</v>
      </c>
      <c r="N566" s="154">
        <v>852678</v>
      </c>
      <c r="O566" s="154">
        <v>852838</v>
      </c>
      <c r="P566" s="154" t="s">
        <v>424</v>
      </c>
      <c r="Q566" s="154" t="s">
        <v>424</v>
      </c>
      <c r="R566" s="154" t="s">
        <v>424</v>
      </c>
      <c r="S566" s="154" t="s">
        <v>424</v>
      </c>
      <c r="T566" s="154" t="s">
        <v>424</v>
      </c>
      <c r="U566" s="154" t="s">
        <v>424</v>
      </c>
      <c r="V566" s="154" t="s">
        <v>424</v>
      </c>
      <c r="W566" s="154" t="s">
        <v>424</v>
      </c>
      <c r="X566" s="154" t="s">
        <v>424</v>
      </c>
      <c r="Y566" s="154" t="s">
        <v>424</v>
      </c>
      <c r="Z566" s="154" t="s">
        <v>424</v>
      </c>
      <c r="AA566" s="154" t="s">
        <v>424</v>
      </c>
      <c r="AB566" s="154" t="s">
        <v>424</v>
      </c>
      <c r="AC566" s="154" t="s">
        <v>424</v>
      </c>
      <c r="AD566" s="154" t="s">
        <v>424</v>
      </c>
      <c r="AE566" s="154" t="s">
        <v>424</v>
      </c>
      <c r="AF566" s="154" t="s">
        <v>424</v>
      </c>
      <c r="AG566" s="154" t="s">
        <v>424</v>
      </c>
      <c r="AH566" s="154" t="s">
        <v>424</v>
      </c>
      <c r="AI566" s="154" t="s">
        <v>424</v>
      </c>
      <c r="AJ566" s="154" t="s">
        <v>424</v>
      </c>
      <c r="AK566" s="154" t="s">
        <v>424</v>
      </c>
      <c r="AL566" s="154" t="s">
        <v>424</v>
      </c>
      <c r="AS566">
        <v>566</v>
      </c>
    </row>
    <row r="567" spans="1:46" hidden="1" x14ac:dyDescent="0.25">
      <c r="A567">
        <v>566</v>
      </c>
      <c r="B567">
        <v>2025</v>
      </c>
      <c r="C567">
        <v>9</v>
      </c>
      <c r="D567" t="s">
        <v>253</v>
      </c>
      <c r="E567">
        <v>31</v>
      </c>
      <c r="F567">
        <v>8</v>
      </c>
      <c r="G567" t="s">
        <v>537</v>
      </c>
      <c r="H567" s="154">
        <v>851792</v>
      </c>
      <c r="I567" s="154">
        <v>851998</v>
      </c>
      <c r="J567" s="154">
        <v>852208</v>
      </c>
      <c r="K567" s="154">
        <v>852348</v>
      </c>
      <c r="L567" s="154">
        <v>852508</v>
      </c>
      <c r="M567" s="154">
        <v>852678</v>
      </c>
      <c r="N567" s="154">
        <v>852838</v>
      </c>
      <c r="O567" s="154">
        <v>852958</v>
      </c>
      <c r="P567" s="154" t="s">
        <v>424</v>
      </c>
      <c r="Q567" s="154" t="s">
        <v>424</v>
      </c>
      <c r="R567" s="154" t="s">
        <v>424</v>
      </c>
      <c r="S567" s="154" t="s">
        <v>424</v>
      </c>
      <c r="T567" s="154" t="s">
        <v>424</v>
      </c>
      <c r="U567" s="154" t="s">
        <v>424</v>
      </c>
      <c r="V567" s="154" t="s">
        <v>424</v>
      </c>
      <c r="W567" s="154" t="s">
        <v>424</v>
      </c>
      <c r="X567" s="154" t="s">
        <v>424</v>
      </c>
      <c r="Y567" s="154" t="s">
        <v>424</v>
      </c>
      <c r="Z567" s="154" t="s">
        <v>424</v>
      </c>
      <c r="AA567" s="154" t="s">
        <v>424</v>
      </c>
      <c r="AB567" s="154" t="s">
        <v>424</v>
      </c>
      <c r="AC567" s="154" t="s">
        <v>424</v>
      </c>
      <c r="AD567" s="154" t="s">
        <v>424</v>
      </c>
      <c r="AE567" s="154" t="s">
        <v>424</v>
      </c>
      <c r="AF567" s="154" t="s">
        <v>424</v>
      </c>
      <c r="AG567" s="154" t="s">
        <v>424</v>
      </c>
      <c r="AH567" s="154" t="s">
        <v>424</v>
      </c>
      <c r="AI567" s="154" t="s">
        <v>424</v>
      </c>
      <c r="AJ567" s="154" t="s">
        <v>424</v>
      </c>
      <c r="AK567" s="154" t="s">
        <v>424</v>
      </c>
      <c r="AL567" s="154" t="s">
        <v>424</v>
      </c>
      <c r="AP567" cm="1">
        <f t="array" ref="AP567">IF(AQ567="","",SUM(IFERROR(H567:AL567-H566:AL566,0))*AQ567/100)</f>
        <v>247.14</v>
      </c>
      <c r="AQ567">
        <f>_xlfn.XLOOKUP(D567,log_prices!M:M,log_prices!L:L,,0)</f>
        <v>18</v>
      </c>
      <c r="AS567">
        <v>567</v>
      </c>
      <c r="AT567" cm="1">
        <f t="array" ref="AT567">IF(AQ567="","",SUM(IFERROR(H567:AL567-H566:AL566,0)))</f>
        <v>1373</v>
      </c>
    </row>
    <row r="568" spans="1:46" hidden="1" x14ac:dyDescent="0.25">
      <c r="A568">
        <v>567</v>
      </c>
      <c r="B568">
        <v>2025</v>
      </c>
      <c r="C568">
        <v>9</v>
      </c>
      <c r="D568" t="s">
        <v>277</v>
      </c>
      <c r="E568">
        <v>31</v>
      </c>
      <c r="F568">
        <v>8</v>
      </c>
      <c r="G568" t="s">
        <v>536</v>
      </c>
      <c r="H568" s="154">
        <v>344525</v>
      </c>
      <c r="I568" s="154">
        <v>344525</v>
      </c>
      <c r="J568" s="154">
        <v>344525</v>
      </c>
      <c r="K568" s="154">
        <v>344633</v>
      </c>
      <c r="L568" s="154">
        <v>344858</v>
      </c>
      <c r="M568" s="154">
        <v>345082</v>
      </c>
      <c r="N568" s="154">
        <v>345323</v>
      </c>
      <c r="O568" s="154">
        <v>345520</v>
      </c>
      <c r="P568" s="154">
        <v>345719</v>
      </c>
      <c r="Q568" s="154">
        <v>345957</v>
      </c>
      <c r="R568" s="154">
        <v>346163</v>
      </c>
      <c r="S568" s="154">
        <v>346397</v>
      </c>
      <c r="T568" s="154">
        <v>346733</v>
      </c>
      <c r="U568" s="154">
        <v>346733</v>
      </c>
      <c r="V568" s="154">
        <v>346845</v>
      </c>
      <c r="W568" s="154">
        <v>347073</v>
      </c>
      <c r="X568" s="154">
        <v>347292</v>
      </c>
      <c r="Y568" s="154">
        <v>347526</v>
      </c>
      <c r="Z568" s="154">
        <v>347759</v>
      </c>
      <c r="AA568" s="154">
        <v>347994</v>
      </c>
      <c r="AB568" s="154">
        <v>347994</v>
      </c>
      <c r="AC568" s="154">
        <v>348211</v>
      </c>
      <c r="AD568" s="154">
        <v>348449</v>
      </c>
      <c r="AE568" s="154">
        <v>348669</v>
      </c>
      <c r="AF568" s="154">
        <v>348898</v>
      </c>
      <c r="AG568" s="154">
        <v>349108</v>
      </c>
      <c r="AH568" s="154">
        <v>349355</v>
      </c>
      <c r="AI568" s="154">
        <v>349552</v>
      </c>
      <c r="AJ568" s="154">
        <v>349757</v>
      </c>
      <c r="AK568" s="154">
        <v>349977</v>
      </c>
      <c r="AL568" s="154" t="s">
        <v>424</v>
      </c>
      <c r="AS568">
        <v>568</v>
      </c>
    </row>
    <row r="569" spans="1:46" hidden="1" x14ac:dyDescent="0.25">
      <c r="A569">
        <v>568</v>
      </c>
      <c r="B569">
        <v>2025</v>
      </c>
      <c r="C569">
        <v>9</v>
      </c>
      <c r="D569" t="s">
        <v>277</v>
      </c>
      <c r="E569">
        <v>31</v>
      </c>
      <c r="F569">
        <v>8</v>
      </c>
      <c r="G569" t="s">
        <v>537</v>
      </c>
      <c r="H569" s="154">
        <v>344633</v>
      </c>
      <c r="I569" s="154">
        <v>344633</v>
      </c>
      <c r="J569" s="154">
        <v>344633</v>
      </c>
      <c r="K569" s="154">
        <v>344858</v>
      </c>
      <c r="L569" s="154">
        <v>345082</v>
      </c>
      <c r="M569" s="154">
        <v>345323</v>
      </c>
      <c r="N569" s="154">
        <v>345520</v>
      </c>
      <c r="O569" s="154">
        <v>345719</v>
      </c>
      <c r="P569" s="154">
        <v>345957</v>
      </c>
      <c r="Q569" s="154">
        <v>346163</v>
      </c>
      <c r="R569" s="154">
        <v>346397</v>
      </c>
      <c r="S569" s="154">
        <v>346618</v>
      </c>
      <c r="T569" s="154">
        <v>346835</v>
      </c>
      <c r="U569" s="154">
        <v>346835</v>
      </c>
      <c r="V569" s="154">
        <v>347068</v>
      </c>
      <c r="W569" s="154">
        <v>347290</v>
      </c>
      <c r="X569" s="154">
        <v>347507</v>
      </c>
      <c r="Y569" s="154">
        <v>347738</v>
      </c>
      <c r="Z569" s="154">
        <v>347968</v>
      </c>
      <c r="AA569" s="154">
        <v>348208</v>
      </c>
      <c r="AB569" s="154">
        <v>348208</v>
      </c>
      <c r="AC569" s="154">
        <v>348422</v>
      </c>
      <c r="AD569" s="154">
        <v>348660</v>
      </c>
      <c r="AE569" s="154">
        <v>348889</v>
      </c>
      <c r="AF569" s="154">
        <v>349108</v>
      </c>
      <c r="AG569" s="154">
        <v>349338</v>
      </c>
      <c r="AH569" s="154">
        <v>349552</v>
      </c>
      <c r="AI569" s="154">
        <v>349757</v>
      </c>
      <c r="AJ569" s="154">
        <v>349970</v>
      </c>
      <c r="AK569" s="154">
        <v>350189</v>
      </c>
      <c r="AL569" s="154" t="s">
        <v>424</v>
      </c>
      <c r="AP569" cm="1">
        <f t="array" ref="AP569">IF(AQ569="","",SUM(IFERROR(H569:AL569-H568:AL568,0))*AQ569/100)</f>
        <v>1066.6799999999998</v>
      </c>
      <c r="AQ569">
        <f>_xlfn.XLOOKUP(D569,log_prices!M:M,log_prices!L:L,,0)</f>
        <v>17.999999999999996</v>
      </c>
      <c r="AS569">
        <v>569</v>
      </c>
      <c r="AT569" cm="1">
        <f t="array" ref="AT569">IF(AQ569="","",SUM(IFERROR(H569:AL569-H568:AL568,0)))</f>
        <v>5926</v>
      </c>
    </row>
    <row r="570" spans="1:46" hidden="1" x14ac:dyDescent="0.25">
      <c r="A570">
        <v>569</v>
      </c>
      <c r="B570">
        <v>2025</v>
      </c>
      <c r="C570">
        <v>9</v>
      </c>
      <c r="D570" t="s">
        <v>276</v>
      </c>
      <c r="E570">
        <v>31</v>
      </c>
      <c r="F570">
        <v>8</v>
      </c>
      <c r="G570" t="s">
        <v>536</v>
      </c>
      <c r="H570" s="154">
        <v>553186</v>
      </c>
      <c r="I570" s="154">
        <v>553240</v>
      </c>
      <c r="J570" s="154">
        <v>553279</v>
      </c>
      <c r="K570" s="154">
        <v>553301</v>
      </c>
      <c r="L570" s="154">
        <v>553318</v>
      </c>
      <c r="M570" s="154">
        <v>553344</v>
      </c>
      <c r="N570" s="154">
        <v>553393</v>
      </c>
      <c r="O570" s="154">
        <v>553423</v>
      </c>
      <c r="P570" s="154">
        <v>553465</v>
      </c>
      <c r="Q570" s="154">
        <v>553516</v>
      </c>
      <c r="R570" s="154">
        <v>553556</v>
      </c>
      <c r="S570" s="154">
        <v>553596</v>
      </c>
      <c r="T570" s="154">
        <v>553627</v>
      </c>
      <c r="U570" s="154" t="s">
        <v>424</v>
      </c>
      <c r="V570" s="154">
        <v>553654</v>
      </c>
      <c r="W570" s="154">
        <v>553668</v>
      </c>
      <c r="X570" s="154">
        <v>553717</v>
      </c>
      <c r="Y570" s="154">
        <v>553762</v>
      </c>
      <c r="Z570" s="154">
        <v>553831</v>
      </c>
      <c r="AA570" s="154">
        <v>554005</v>
      </c>
      <c r="AB570" s="154">
        <v>554185</v>
      </c>
      <c r="AC570" s="154">
        <v>554237</v>
      </c>
      <c r="AD570" s="154">
        <v>554303</v>
      </c>
      <c r="AE570" s="154">
        <v>554356</v>
      </c>
      <c r="AF570" s="154">
        <v>554436</v>
      </c>
      <c r="AG570" s="154">
        <v>554460</v>
      </c>
      <c r="AH570" s="154">
        <v>554494</v>
      </c>
      <c r="AI570" s="154">
        <v>554689</v>
      </c>
      <c r="AJ570" s="154">
        <v>554844</v>
      </c>
      <c r="AK570" s="154">
        <v>554885</v>
      </c>
      <c r="AL570" s="154" t="s">
        <v>424</v>
      </c>
      <c r="AS570">
        <v>570</v>
      </c>
    </row>
    <row r="571" spans="1:46" hidden="1" x14ac:dyDescent="0.25">
      <c r="A571">
        <v>570</v>
      </c>
      <c r="B571">
        <v>2025</v>
      </c>
      <c r="C571">
        <v>9</v>
      </c>
      <c r="D571" t="s">
        <v>276</v>
      </c>
      <c r="E571">
        <v>31</v>
      </c>
      <c r="F571">
        <v>8</v>
      </c>
      <c r="G571" t="s">
        <v>537</v>
      </c>
      <c r="H571" s="154">
        <v>553240</v>
      </c>
      <c r="I571" s="154">
        <v>553279</v>
      </c>
      <c r="J571" s="154">
        <v>553301</v>
      </c>
      <c r="K571" s="154">
        <v>553318</v>
      </c>
      <c r="L571" s="154">
        <v>553344</v>
      </c>
      <c r="M571" s="154">
        <v>553393</v>
      </c>
      <c r="N571" s="154">
        <v>553423</v>
      </c>
      <c r="O571" s="154">
        <v>553465</v>
      </c>
      <c r="P571" s="154">
        <v>553516</v>
      </c>
      <c r="Q571" s="154">
        <v>553556</v>
      </c>
      <c r="R571" s="154">
        <v>553596</v>
      </c>
      <c r="S571" s="154">
        <v>553627</v>
      </c>
      <c r="T571" s="154">
        <v>553654</v>
      </c>
      <c r="U571" s="154" t="s">
        <v>424</v>
      </c>
      <c r="V571" s="154">
        <v>553668</v>
      </c>
      <c r="W571" s="154">
        <v>553717</v>
      </c>
      <c r="X571" s="154">
        <v>553762</v>
      </c>
      <c r="Y571" s="154">
        <v>553831</v>
      </c>
      <c r="Z571" s="154">
        <v>553890</v>
      </c>
      <c r="AA571" s="154">
        <v>554185</v>
      </c>
      <c r="AB571" s="154">
        <v>554237</v>
      </c>
      <c r="AC571" s="154">
        <v>554303</v>
      </c>
      <c r="AD571" s="154">
        <v>554356</v>
      </c>
      <c r="AE571" s="154">
        <v>554436</v>
      </c>
      <c r="AF571" s="154">
        <v>554460</v>
      </c>
      <c r="AG571" s="154">
        <v>554494</v>
      </c>
      <c r="AH571" s="154">
        <v>554672</v>
      </c>
      <c r="AI571" s="154">
        <v>554844</v>
      </c>
      <c r="AJ571" s="154">
        <v>554885</v>
      </c>
      <c r="AK571" s="154">
        <v>554946</v>
      </c>
      <c r="AL571" s="154" t="s">
        <v>424</v>
      </c>
      <c r="AP571" cm="1">
        <f t="array" ref="AP571">IF(AQ571="","",SUM(IFERROR(H571:AL571-H570:AL570,0))*AQ571/100)</f>
        <v>244.2</v>
      </c>
      <c r="AQ571">
        <f>_xlfn.XLOOKUP(D571,log_prices!M:M,log_prices!L:L,,0)</f>
        <v>15</v>
      </c>
      <c r="AS571">
        <v>571</v>
      </c>
      <c r="AT571" cm="1">
        <f t="array" ref="AT571">IF(AQ571="","",SUM(IFERROR(H571:AL571-H570:AL570,0)))</f>
        <v>1628</v>
      </c>
    </row>
    <row r="572" spans="1:46" hidden="1" x14ac:dyDescent="0.25">
      <c r="A572">
        <v>571</v>
      </c>
      <c r="B572">
        <v>2025</v>
      </c>
      <c r="C572">
        <v>9</v>
      </c>
      <c r="D572" t="s">
        <v>271</v>
      </c>
      <c r="E572">
        <v>31</v>
      </c>
      <c r="F572">
        <v>8</v>
      </c>
      <c r="G572" t="s">
        <v>536</v>
      </c>
      <c r="H572" s="154">
        <v>207290</v>
      </c>
      <c r="I572" s="154">
        <v>207389</v>
      </c>
      <c r="J572" s="154">
        <v>207454</v>
      </c>
      <c r="K572" s="154">
        <v>207528</v>
      </c>
      <c r="L572" s="154">
        <v>207582</v>
      </c>
      <c r="M572" s="154">
        <v>207651</v>
      </c>
      <c r="N572" s="154" t="s">
        <v>424</v>
      </c>
      <c r="O572" s="154">
        <v>207790</v>
      </c>
      <c r="P572" s="154">
        <v>207844</v>
      </c>
      <c r="Q572" s="154">
        <v>207906</v>
      </c>
      <c r="R572" s="154">
        <v>207978</v>
      </c>
      <c r="S572" s="154">
        <v>208045</v>
      </c>
      <c r="T572" s="154">
        <v>208148</v>
      </c>
      <c r="U572" s="154" t="s">
        <v>424</v>
      </c>
      <c r="V572" s="154">
        <v>208265</v>
      </c>
      <c r="W572" s="154">
        <v>208346</v>
      </c>
      <c r="X572" s="154">
        <v>208422</v>
      </c>
      <c r="Y572" s="154">
        <v>208519</v>
      </c>
      <c r="Z572" s="154">
        <v>208589</v>
      </c>
      <c r="AA572" s="154">
        <v>208744</v>
      </c>
      <c r="AB572" s="154">
        <v>208805</v>
      </c>
      <c r="AC572" s="154">
        <v>208873</v>
      </c>
      <c r="AD572" s="154">
        <v>208962</v>
      </c>
      <c r="AE572" s="154">
        <v>209109</v>
      </c>
      <c r="AF572" s="154">
        <v>209185</v>
      </c>
      <c r="AG572" s="154">
        <v>209285</v>
      </c>
      <c r="AH572" s="154">
        <v>209385</v>
      </c>
      <c r="AI572" s="154" t="s">
        <v>424</v>
      </c>
      <c r="AJ572" s="154">
        <v>209643</v>
      </c>
      <c r="AK572" s="154">
        <v>209711</v>
      </c>
      <c r="AL572" s="154" t="s">
        <v>424</v>
      </c>
      <c r="AS572">
        <v>572</v>
      </c>
    </row>
    <row r="573" spans="1:46" hidden="1" x14ac:dyDescent="0.25">
      <c r="A573">
        <v>572</v>
      </c>
      <c r="B573">
        <v>2025</v>
      </c>
      <c r="C573">
        <v>9</v>
      </c>
      <c r="D573" t="s">
        <v>271</v>
      </c>
      <c r="E573">
        <v>31</v>
      </c>
      <c r="F573">
        <v>8</v>
      </c>
      <c r="G573" t="s">
        <v>537</v>
      </c>
      <c r="H573" s="154">
        <v>207389</v>
      </c>
      <c r="I573" s="154">
        <v>207454</v>
      </c>
      <c r="J573" s="154">
        <v>207528</v>
      </c>
      <c r="K573" s="154">
        <v>207582</v>
      </c>
      <c r="L573" s="154">
        <v>207651</v>
      </c>
      <c r="M573" s="154">
        <v>207742</v>
      </c>
      <c r="N573" s="154" t="s">
        <v>424</v>
      </c>
      <c r="O573" s="154">
        <v>207844</v>
      </c>
      <c r="P573" s="154">
        <v>207906</v>
      </c>
      <c r="Q573" s="154">
        <v>207978</v>
      </c>
      <c r="R573" s="154">
        <v>208045</v>
      </c>
      <c r="S573" s="154">
        <v>208148</v>
      </c>
      <c r="T573" s="154">
        <v>208218</v>
      </c>
      <c r="U573" s="154" t="s">
        <v>424</v>
      </c>
      <c r="V573" s="154">
        <v>208346</v>
      </c>
      <c r="W573" s="154">
        <v>208422</v>
      </c>
      <c r="X573" s="154">
        <v>208519</v>
      </c>
      <c r="Y573" s="154">
        <v>208589</v>
      </c>
      <c r="Z573" s="154">
        <v>208744</v>
      </c>
      <c r="AA573" s="154">
        <v>208805</v>
      </c>
      <c r="AB573" s="154">
        <v>208873</v>
      </c>
      <c r="AC573" s="154">
        <v>208962</v>
      </c>
      <c r="AD573" s="154">
        <v>209109</v>
      </c>
      <c r="AE573" s="154">
        <v>209185</v>
      </c>
      <c r="AF573" s="154">
        <v>209285</v>
      </c>
      <c r="AG573" s="154">
        <v>209385</v>
      </c>
      <c r="AH573" s="154">
        <v>209491</v>
      </c>
      <c r="AI573" s="154" t="s">
        <v>424</v>
      </c>
      <c r="AJ573" s="154">
        <v>209711</v>
      </c>
      <c r="AK573" s="154">
        <v>209810</v>
      </c>
      <c r="AL573" s="154" t="s">
        <v>424</v>
      </c>
      <c r="AP573" cm="1">
        <f t="array" ref="AP573">IF(AQ573="","",SUM(IFERROR(H573:AL573-H572:AL572,0))*AQ573/100)</f>
        <v>340.95</v>
      </c>
      <c r="AQ573">
        <f>_xlfn.XLOOKUP(D573,log_prices!M:M,log_prices!L:L,,0)</f>
        <v>15</v>
      </c>
      <c r="AS573">
        <v>573</v>
      </c>
      <c r="AT573" cm="1">
        <f t="array" ref="AT573">IF(AQ573="","",SUM(IFERROR(H573:AL573-H572:AL572,0)))</f>
        <v>2273</v>
      </c>
    </row>
    <row r="574" spans="1:46" hidden="1" x14ac:dyDescent="0.25">
      <c r="A574">
        <v>573</v>
      </c>
      <c r="B574">
        <v>2025</v>
      </c>
      <c r="C574">
        <v>9</v>
      </c>
      <c r="D574" t="s">
        <v>273</v>
      </c>
      <c r="E574">
        <v>31</v>
      </c>
      <c r="F574">
        <v>8</v>
      </c>
      <c r="G574" t="s">
        <v>536</v>
      </c>
      <c r="H574" s="154">
        <v>240365</v>
      </c>
      <c r="I574" s="154">
        <v>240415</v>
      </c>
      <c r="J574" s="154">
        <v>240449</v>
      </c>
      <c r="K574" s="154">
        <v>240606</v>
      </c>
      <c r="L574" s="154">
        <v>240721</v>
      </c>
      <c r="M574" s="154">
        <v>240757</v>
      </c>
      <c r="N574" s="154" t="s">
        <v>424</v>
      </c>
      <c r="O574" s="154">
        <v>240938</v>
      </c>
      <c r="P574" s="154">
        <v>241039</v>
      </c>
      <c r="Q574" s="154">
        <v>241097</v>
      </c>
      <c r="R574" s="154">
        <v>241245</v>
      </c>
      <c r="S574" s="154">
        <v>241390</v>
      </c>
      <c r="T574" s="154">
        <v>241519</v>
      </c>
      <c r="U574" s="154" t="s">
        <v>424</v>
      </c>
      <c r="V574" s="154">
        <v>241779</v>
      </c>
      <c r="W574" s="154">
        <v>241920</v>
      </c>
      <c r="X574" s="154">
        <v>241957</v>
      </c>
      <c r="Y574" s="154" t="s">
        <v>424</v>
      </c>
      <c r="Z574" s="154">
        <v>242083</v>
      </c>
      <c r="AA574" s="154">
        <v>242230</v>
      </c>
      <c r="AB574" s="154">
        <v>242250</v>
      </c>
      <c r="AC574" s="154">
        <v>242400</v>
      </c>
      <c r="AD574" s="154">
        <v>242549</v>
      </c>
      <c r="AE574" s="154">
        <v>242577</v>
      </c>
      <c r="AF574" s="154">
        <v>242725</v>
      </c>
      <c r="AG574" s="154">
        <v>242895</v>
      </c>
      <c r="AH574" s="154">
        <v>243013</v>
      </c>
      <c r="AI574" s="154">
        <v>243173</v>
      </c>
      <c r="AJ574" s="154">
        <v>243320</v>
      </c>
      <c r="AK574" s="154">
        <v>243490</v>
      </c>
      <c r="AL574" s="154" t="s">
        <v>424</v>
      </c>
      <c r="AS574">
        <v>574</v>
      </c>
    </row>
    <row r="575" spans="1:46" hidden="1" x14ac:dyDescent="0.25">
      <c r="A575">
        <v>574</v>
      </c>
      <c r="B575">
        <v>2025</v>
      </c>
      <c r="C575">
        <v>9</v>
      </c>
      <c r="D575" t="s">
        <v>273</v>
      </c>
      <c r="E575">
        <v>31</v>
      </c>
      <c r="F575">
        <v>8</v>
      </c>
      <c r="G575" t="s">
        <v>537</v>
      </c>
      <c r="H575" s="154">
        <v>240415</v>
      </c>
      <c r="I575" s="154">
        <v>240449</v>
      </c>
      <c r="J575" s="154">
        <v>240579</v>
      </c>
      <c r="K575" s="154">
        <v>240721</v>
      </c>
      <c r="L575" s="154">
        <v>240756</v>
      </c>
      <c r="M575" s="154">
        <v>240891</v>
      </c>
      <c r="N575" s="154" t="s">
        <v>424</v>
      </c>
      <c r="O575" s="154">
        <v>241039</v>
      </c>
      <c r="P575" s="154">
        <v>241097</v>
      </c>
      <c r="Q575" s="154">
        <v>241245</v>
      </c>
      <c r="R575" s="154">
        <v>241390</v>
      </c>
      <c r="S575" s="154">
        <v>241519</v>
      </c>
      <c r="T575" s="154">
        <v>241772</v>
      </c>
      <c r="U575" s="154" t="s">
        <v>424</v>
      </c>
      <c r="V575" s="154">
        <v>241920</v>
      </c>
      <c r="W575" s="154">
        <v>241957</v>
      </c>
      <c r="X575" s="154">
        <v>242076</v>
      </c>
      <c r="Y575" s="154" t="s">
        <v>424</v>
      </c>
      <c r="Z575" s="154">
        <v>242222</v>
      </c>
      <c r="AA575" s="154">
        <v>242250</v>
      </c>
      <c r="AB575" s="154">
        <v>242400</v>
      </c>
      <c r="AC575" s="154">
        <v>242549</v>
      </c>
      <c r="AD575" s="154">
        <v>242577</v>
      </c>
      <c r="AE575" s="154">
        <v>242725</v>
      </c>
      <c r="AF575" s="154">
        <v>242880</v>
      </c>
      <c r="AG575" s="154">
        <v>243013</v>
      </c>
      <c r="AH575" s="154">
        <v>243172</v>
      </c>
      <c r="AI575" s="154">
        <v>243296</v>
      </c>
      <c r="AJ575" s="154">
        <v>243478</v>
      </c>
      <c r="AK575" s="154">
        <v>243526</v>
      </c>
      <c r="AL575" s="154" t="s">
        <v>424</v>
      </c>
      <c r="AP575" cm="1">
        <f t="array" ref="AP575">IF(AQ575="","",SUM(IFERROR(H575:AL575-H574:AL574,0))*AQ575/100)</f>
        <v>451.79999999999995</v>
      </c>
      <c r="AQ575">
        <f>_xlfn.XLOOKUP(D575,log_prices!M:M,log_prices!L:L,,0)</f>
        <v>14.999999999999998</v>
      </c>
      <c r="AS575">
        <v>575</v>
      </c>
      <c r="AT575" cm="1">
        <f t="array" ref="AT575">IF(AQ575="","",SUM(IFERROR(H575:AL575-H574:AL574,0)))</f>
        <v>3012</v>
      </c>
    </row>
    <row r="576" spans="1:46" hidden="1" x14ac:dyDescent="0.25">
      <c r="A576">
        <v>575</v>
      </c>
      <c r="B576">
        <v>2025</v>
      </c>
      <c r="C576">
        <v>9</v>
      </c>
      <c r="D576" t="s">
        <v>274</v>
      </c>
      <c r="E576">
        <v>31</v>
      </c>
      <c r="F576">
        <v>8</v>
      </c>
      <c r="G576" t="s">
        <v>536</v>
      </c>
      <c r="H576" s="154">
        <v>366525</v>
      </c>
      <c r="I576" s="154">
        <v>366727</v>
      </c>
      <c r="J576" s="154">
        <v>366933</v>
      </c>
      <c r="K576" s="154">
        <v>367170</v>
      </c>
      <c r="L576" s="154">
        <v>367364</v>
      </c>
      <c r="M576" s="154">
        <v>367569</v>
      </c>
      <c r="N576" s="154">
        <v>367773</v>
      </c>
      <c r="O576" s="154">
        <v>367984</v>
      </c>
      <c r="P576" s="154">
        <v>368187</v>
      </c>
      <c r="Q576" s="154">
        <v>368389</v>
      </c>
      <c r="R576" s="154">
        <v>368590</v>
      </c>
      <c r="S576" s="154">
        <v>368876</v>
      </c>
      <c r="T576" s="154">
        <v>369083</v>
      </c>
      <c r="U576" s="154">
        <v>369083</v>
      </c>
      <c r="V576" s="154">
        <v>369285</v>
      </c>
      <c r="W576" s="154">
        <v>369455</v>
      </c>
      <c r="X576" s="154">
        <v>369594</v>
      </c>
      <c r="Y576" s="154">
        <v>369732</v>
      </c>
      <c r="Z576" s="154">
        <v>369869</v>
      </c>
      <c r="AA576" s="154">
        <v>370007</v>
      </c>
      <c r="AB576" s="154">
        <v>370144</v>
      </c>
      <c r="AC576" s="154">
        <v>370280</v>
      </c>
      <c r="AD576" s="154">
        <v>370419</v>
      </c>
      <c r="AE576" s="154">
        <v>370558</v>
      </c>
      <c r="AF576" s="154">
        <v>370696</v>
      </c>
      <c r="AG576" s="154">
        <v>370836</v>
      </c>
      <c r="AH576" s="154">
        <v>371010</v>
      </c>
      <c r="AI576" s="154">
        <v>371010</v>
      </c>
      <c r="AJ576" s="154">
        <v>371216</v>
      </c>
      <c r="AK576" s="154">
        <v>371603</v>
      </c>
      <c r="AL576" s="154" t="s">
        <v>424</v>
      </c>
      <c r="AS576">
        <v>576</v>
      </c>
    </row>
    <row r="577" spans="1:46" hidden="1" x14ac:dyDescent="0.25">
      <c r="A577">
        <v>576</v>
      </c>
      <c r="B577">
        <v>2025</v>
      </c>
      <c r="C577">
        <v>9</v>
      </c>
      <c r="D577" t="s">
        <v>274</v>
      </c>
      <c r="E577">
        <v>31</v>
      </c>
      <c r="F577">
        <v>8</v>
      </c>
      <c r="G577" t="s">
        <v>537</v>
      </c>
      <c r="H577" s="154">
        <v>366727</v>
      </c>
      <c r="I577" s="154">
        <v>366933</v>
      </c>
      <c r="J577" s="154">
        <v>367156</v>
      </c>
      <c r="K577" s="154">
        <v>367364</v>
      </c>
      <c r="L577" s="154">
        <v>367569</v>
      </c>
      <c r="M577" s="154">
        <v>367773</v>
      </c>
      <c r="N577" s="154">
        <v>367984</v>
      </c>
      <c r="O577" s="154">
        <v>368187</v>
      </c>
      <c r="P577" s="154">
        <v>368389</v>
      </c>
      <c r="Q577" s="154">
        <v>368590</v>
      </c>
      <c r="R577" s="154">
        <v>368876</v>
      </c>
      <c r="S577" s="154">
        <v>369083</v>
      </c>
      <c r="T577" s="154">
        <v>369285</v>
      </c>
      <c r="U577" s="154">
        <v>369285</v>
      </c>
      <c r="V577" s="154">
        <v>369455</v>
      </c>
      <c r="W577" s="154">
        <v>369594</v>
      </c>
      <c r="X577" s="154">
        <v>369732</v>
      </c>
      <c r="Y577" s="154">
        <v>369869</v>
      </c>
      <c r="Z577" s="154">
        <v>370007</v>
      </c>
      <c r="AA577" s="154">
        <v>370144</v>
      </c>
      <c r="AB577" s="154">
        <v>370280</v>
      </c>
      <c r="AC577" s="154">
        <v>370419</v>
      </c>
      <c r="AD577" s="154">
        <v>370558</v>
      </c>
      <c r="AE577" s="154">
        <v>370696</v>
      </c>
      <c r="AF577" s="154">
        <v>370836</v>
      </c>
      <c r="AG577" s="154">
        <v>371010</v>
      </c>
      <c r="AH577" s="154">
        <v>371213</v>
      </c>
      <c r="AI577" s="154">
        <v>371213</v>
      </c>
      <c r="AJ577" s="154">
        <v>371603</v>
      </c>
      <c r="AK577" s="154">
        <v>371741</v>
      </c>
      <c r="AL577" s="154" t="s">
        <v>424</v>
      </c>
      <c r="AP577" cm="1">
        <f t="array" ref="AP577">IF(AQ577="","",SUM(IFERROR(H577:AL577-H576:AL576,0))*AQ577/100)</f>
        <v>1008.7199999999998</v>
      </c>
      <c r="AQ577">
        <f>_xlfn.XLOOKUP(D577,log_prices!M:M,log_prices!L:L,,0)</f>
        <v>17.999999999999996</v>
      </c>
      <c r="AS577">
        <v>577</v>
      </c>
      <c r="AT577" cm="1">
        <f t="array" ref="AT577">IF(AQ577="","",SUM(IFERROR(H577:AL577-H576:AL576,0)))</f>
        <v>5604</v>
      </c>
    </row>
    <row r="578" spans="1:46" hidden="1" x14ac:dyDescent="0.25">
      <c r="A578">
        <v>577</v>
      </c>
      <c r="B578">
        <v>2025</v>
      </c>
      <c r="C578">
        <v>9</v>
      </c>
      <c r="D578" t="s">
        <v>244</v>
      </c>
      <c r="E578">
        <v>31</v>
      </c>
      <c r="F578">
        <v>8</v>
      </c>
      <c r="G578" t="s">
        <v>536</v>
      </c>
      <c r="H578" s="154">
        <v>401608</v>
      </c>
      <c r="I578" s="154">
        <v>401939</v>
      </c>
      <c r="J578" s="154">
        <v>402575</v>
      </c>
      <c r="K578" s="154">
        <v>402835</v>
      </c>
      <c r="L578" s="154">
        <v>403321</v>
      </c>
      <c r="M578" s="154">
        <v>403610</v>
      </c>
      <c r="N578" s="154">
        <v>403895</v>
      </c>
      <c r="O578" s="154">
        <v>404181</v>
      </c>
      <c r="P578" s="154">
        <v>405000</v>
      </c>
      <c r="Q578" s="154">
        <v>405415</v>
      </c>
      <c r="R578" s="154">
        <v>405780</v>
      </c>
      <c r="S578" s="154" t="s">
        <v>424</v>
      </c>
      <c r="T578" s="154" t="s">
        <v>424</v>
      </c>
      <c r="U578" s="154" t="s">
        <v>424</v>
      </c>
      <c r="V578" s="154" t="s">
        <v>424</v>
      </c>
      <c r="W578" s="154" t="s">
        <v>424</v>
      </c>
      <c r="X578" s="154" t="s">
        <v>424</v>
      </c>
      <c r="Y578" s="154" t="s">
        <v>424</v>
      </c>
      <c r="Z578" s="154" t="s">
        <v>424</v>
      </c>
      <c r="AA578" s="154" t="s">
        <v>424</v>
      </c>
      <c r="AB578" s="154" t="s">
        <v>424</v>
      </c>
      <c r="AC578" s="154" t="s">
        <v>424</v>
      </c>
      <c r="AD578" s="154" t="s">
        <v>424</v>
      </c>
      <c r="AE578" s="154" t="s">
        <v>424</v>
      </c>
      <c r="AF578" s="154" t="s">
        <v>424</v>
      </c>
      <c r="AG578" s="154" t="s">
        <v>424</v>
      </c>
      <c r="AH578" s="154" t="s">
        <v>424</v>
      </c>
      <c r="AI578" s="154" t="s">
        <v>424</v>
      </c>
      <c r="AJ578" s="154" t="s">
        <v>424</v>
      </c>
      <c r="AK578" s="154" t="s">
        <v>424</v>
      </c>
      <c r="AL578" s="154" t="s">
        <v>424</v>
      </c>
      <c r="AS578">
        <v>578</v>
      </c>
    </row>
    <row r="579" spans="1:46" hidden="1" x14ac:dyDescent="0.25">
      <c r="A579">
        <v>578</v>
      </c>
      <c r="B579">
        <v>2025</v>
      </c>
      <c r="C579">
        <v>9</v>
      </c>
      <c r="D579" t="s">
        <v>244</v>
      </c>
      <c r="E579">
        <v>31</v>
      </c>
      <c r="F579">
        <v>8</v>
      </c>
      <c r="G579" t="s">
        <v>537</v>
      </c>
      <c r="H579" s="154">
        <v>401920</v>
      </c>
      <c r="I579" s="154">
        <v>402575</v>
      </c>
      <c r="J579" s="154">
        <v>402835</v>
      </c>
      <c r="K579" s="154">
        <v>403321</v>
      </c>
      <c r="L579" s="154">
        <v>403610</v>
      </c>
      <c r="M579" s="154">
        <v>403895</v>
      </c>
      <c r="N579" s="154">
        <v>404150</v>
      </c>
      <c r="O579" s="154">
        <v>404530</v>
      </c>
      <c r="P579" s="154">
        <v>405400</v>
      </c>
      <c r="Q579" s="154">
        <v>405765</v>
      </c>
      <c r="R579" s="154">
        <v>406230</v>
      </c>
      <c r="S579" s="154" t="s">
        <v>424</v>
      </c>
      <c r="T579" s="154" t="s">
        <v>424</v>
      </c>
      <c r="U579" s="154" t="s">
        <v>424</v>
      </c>
      <c r="V579" s="154" t="s">
        <v>424</v>
      </c>
      <c r="W579" s="154" t="s">
        <v>424</v>
      </c>
      <c r="X579" s="154" t="s">
        <v>424</v>
      </c>
      <c r="Y579" s="154" t="s">
        <v>424</v>
      </c>
      <c r="Z579" s="154" t="s">
        <v>424</v>
      </c>
      <c r="AA579" s="154" t="s">
        <v>424</v>
      </c>
      <c r="AB579" s="154" t="s">
        <v>424</v>
      </c>
      <c r="AC579" s="154" t="s">
        <v>424</v>
      </c>
      <c r="AD579" s="154" t="s">
        <v>424</v>
      </c>
      <c r="AE579" s="154" t="s">
        <v>424</v>
      </c>
      <c r="AF579" s="154" t="s">
        <v>424</v>
      </c>
      <c r="AG579" s="154" t="s">
        <v>424</v>
      </c>
      <c r="AH579" s="154" t="s">
        <v>424</v>
      </c>
      <c r="AI579" s="154" t="s">
        <v>424</v>
      </c>
      <c r="AJ579" s="154" t="s">
        <v>424</v>
      </c>
      <c r="AK579" s="154" t="s">
        <v>424</v>
      </c>
      <c r="AL579" s="154" t="s">
        <v>424</v>
      </c>
      <c r="AP579" cm="1">
        <f t="array" ref="AP579">IF(AQ579="","",SUM(IFERROR(H579:AL579-H578:AL578,0))*AQ579/100)</f>
        <v>488.64</v>
      </c>
      <c r="AQ579">
        <f>_xlfn.XLOOKUP(D579,log_prices!M:M,log_prices!L:L,,0)</f>
        <v>12</v>
      </c>
      <c r="AS579">
        <v>579</v>
      </c>
      <c r="AT579" cm="1">
        <f t="array" ref="AT579">IF(AQ579="","",SUM(IFERROR(H579:AL579-H578:AL578,0)))</f>
        <v>4072</v>
      </c>
    </row>
    <row r="580" spans="1:46" hidden="1" x14ac:dyDescent="0.25">
      <c r="A580">
        <v>579</v>
      </c>
      <c r="B580">
        <v>2025</v>
      </c>
      <c r="C580">
        <v>9</v>
      </c>
      <c r="D580" t="s">
        <v>270</v>
      </c>
      <c r="E580">
        <v>31</v>
      </c>
      <c r="F580">
        <v>8</v>
      </c>
      <c r="G580" t="s">
        <v>536</v>
      </c>
      <c r="H580" s="154">
        <v>271123</v>
      </c>
      <c r="I580" s="154">
        <v>271201</v>
      </c>
      <c r="J580" s="154">
        <v>271288</v>
      </c>
      <c r="K580" s="154">
        <v>271323</v>
      </c>
      <c r="L580" s="154">
        <v>271414</v>
      </c>
      <c r="M580" s="154">
        <v>271507</v>
      </c>
      <c r="N580" s="154">
        <v>271585</v>
      </c>
      <c r="O580" s="154">
        <v>271673</v>
      </c>
      <c r="P580" s="154">
        <v>271758</v>
      </c>
      <c r="Q580" s="154">
        <v>271841</v>
      </c>
      <c r="R580" s="154">
        <v>271927</v>
      </c>
      <c r="S580" s="154">
        <v>272002</v>
      </c>
      <c r="T580" s="154">
        <v>272042</v>
      </c>
      <c r="U580" s="154" t="s">
        <v>424</v>
      </c>
      <c r="V580" s="154">
        <v>272128</v>
      </c>
      <c r="W580" s="154">
        <v>272221</v>
      </c>
      <c r="X580" s="154">
        <v>272319</v>
      </c>
      <c r="Y580" s="154">
        <v>272407</v>
      </c>
      <c r="Z580" s="154">
        <v>272506</v>
      </c>
      <c r="AA580" s="154">
        <v>272590</v>
      </c>
      <c r="AB580" s="154">
        <v>272664</v>
      </c>
      <c r="AC580" s="154">
        <v>272748</v>
      </c>
      <c r="AD580" s="154">
        <v>272839</v>
      </c>
      <c r="AE580" s="154">
        <v>272935</v>
      </c>
      <c r="AF580" s="154">
        <v>273024</v>
      </c>
      <c r="AG580" s="154">
        <v>273142</v>
      </c>
      <c r="AH580" s="154">
        <v>273245</v>
      </c>
      <c r="AI580" s="154">
        <v>273342</v>
      </c>
      <c r="AJ580" s="154">
        <v>273433</v>
      </c>
      <c r="AK580" s="154">
        <v>273539</v>
      </c>
      <c r="AL580" s="154" t="s">
        <v>424</v>
      </c>
      <c r="AS580">
        <v>580</v>
      </c>
    </row>
    <row r="581" spans="1:46" hidden="1" x14ac:dyDescent="0.25">
      <c r="A581">
        <v>580</v>
      </c>
      <c r="B581">
        <v>2025</v>
      </c>
      <c r="C581">
        <v>9</v>
      </c>
      <c r="D581" t="s">
        <v>270</v>
      </c>
      <c r="E581">
        <v>31</v>
      </c>
      <c r="F581">
        <v>8</v>
      </c>
      <c r="G581" t="s">
        <v>537</v>
      </c>
      <c r="H581" s="154">
        <v>271201</v>
      </c>
      <c r="I581" s="154">
        <v>271288</v>
      </c>
      <c r="J581" s="154">
        <v>271323</v>
      </c>
      <c r="K581" s="154">
        <v>271414</v>
      </c>
      <c r="L581" s="154">
        <v>271507</v>
      </c>
      <c r="M581" s="154">
        <v>271585</v>
      </c>
      <c r="N581" s="154">
        <v>271673</v>
      </c>
      <c r="O581" s="154">
        <v>271758</v>
      </c>
      <c r="P581" s="154">
        <v>271841</v>
      </c>
      <c r="Q581" s="154">
        <v>271927</v>
      </c>
      <c r="R581" s="154">
        <v>272002</v>
      </c>
      <c r="S581" s="154">
        <v>272042</v>
      </c>
      <c r="T581" s="154">
        <v>272128</v>
      </c>
      <c r="U581" s="154" t="s">
        <v>424</v>
      </c>
      <c r="V581" s="154">
        <v>272221</v>
      </c>
      <c r="W581" s="154">
        <v>272319</v>
      </c>
      <c r="X581" s="154">
        <v>272407</v>
      </c>
      <c r="Y581" s="154">
        <v>272506</v>
      </c>
      <c r="Z581" s="154">
        <v>272590</v>
      </c>
      <c r="AA581" s="154">
        <v>272664</v>
      </c>
      <c r="AB581" s="154">
        <v>272748</v>
      </c>
      <c r="AC581" s="154">
        <v>272839</v>
      </c>
      <c r="AD581" s="154">
        <v>272935</v>
      </c>
      <c r="AE581" s="154">
        <v>273024</v>
      </c>
      <c r="AF581" s="154">
        <v>273142</v>
      </c>
      <c r="AG581" s="154">
        <v>273245</v>
      </c>
      <c r="AH581" s="154">
        <v>273342</v>
      </c>
      <c r="AI581" s="154">
        <v>273433</v>
      </c>
      <c r="AJ581" s="154">
        <v>273539</v>
      </c>
      <c r="AK581" s="154">
        <v>273630</v>
      </c>
      <c r="AL581" s="154" t="s">
        <v>424</v>
      </c>
      <c r="AP581" cm="1">
        <f t="array" ref="AP581">IF(AQ581="","",SUM(IFERROR(H581:AL581-H580:AL580,0))*AQ581/100)</f>
        <v>376.05</v>
      </c>
      <c r="AQ581">
        <f>_xlfn.XLOOKUP(D581,log_prices!M:M,log_prices!L:L,,0)</f>
        <v>15</v>
      </c>
      <c r="AS581">
        <v>581</v>
      </c>
      <c r="AT581" cm="1">
        <f t="array" ref="AT581">IF(AQ581="","",SUM(IFERROR(H581:AL581-H580:AL580,0)))</f>
        <v>2507</v>
      </c>
    </row>
    <row r="582" spans="1:46" hidden="1" x14ac:dyDescent="0.25">
      <c r="A582">
        <v>581</v>
      </c>
      <c r="B582">
        <v>2025</v>
      </c>
      <c r="C582">
        <v>9</v>
      </c>
      <c r="D582" t="s">
        <v>248</v>
      </c>
      <c r="E582">
        <v>31</v>
      </c>
      <c r="F582">
        <v>8</v>
      </c>
      <c r="G582" t="s">
        <v>536</v>
      </c>
      <c r="H582" s="154">
        <v>368536</v>
      </c>
      <c r="I582" s="154">
        <v>368700</v>
      </c>
      <c r="J582" s="154">
        <v>368953</v>
      </c>
      <c r="K582" s="154">
        <v>369168</v>
      </c>
      <c r="L582" s="154">
        <v>369397</v>
      </c>
      <c r="M582" s="154">
        <v>369528</v>
      </c>
      <c r="N582" s="154">
        <v>369846</v>
      </c>
      <c r="O582" s="154">
        <v>370108</v>
      </c>
      <c r="P582" s="154">
        <v>370261</v>
      </c>
      <c r="Q582" s="154">
        <v>370412</v>
      </c>
      <c r="R582" s="154">
        <v>370605</v>
      </c>
      <c r="S582" s="154">
        <v>370678</v>
      </c>
      <c r="T582" s="154">
        <v>370807</v>
      </c>
      <c r="U582" s="154" t="s">
        <v>424</v>
      </c>
      <c r="V582" s="154">
        <v>371227</v>
      </c>
      <c r="W582" s="154">
        <v>371475</v>
      </c>
      <c r="X582" s="154">
        <v>371541</v>
      </c>
      <c r="Y582" s="154">
        <v>371691</v>
      </c>
      <c r="Z582" s="154">
        <v>371779</v>
      </c>
      <c r="AA582" s="154">
        <v>371928</v>
      </c>
      <c r="AB582" s="154">
        <v>372053</v>
      </c>
      <c r="AC582" s="154">
        <v>372308</v>
      </c>
      <c r="AD582" s="154">
        <v>372350</v>
      </c>
      <c r="AE582" s="154">
        <v>372613</v>
      </c>
      <c r="AF582" s="154">
        <v>372760</v>
      </c>
      <c r="AG582" s="154">
        <v>372799</v>
      </c>
      <c r="AH582" s="154">
        <v>372916</v>
      </c>
      <c r="AI582" s="154">
        <v>373030</v>
      </c>
      <c r="AJ582" s="154">
        <v>373285</v>
      </c>
      <c r="AK582" s="154">
        <v>373453</v>
      </c>
      <c r="AL582" s="154" t="s">
        <v>424</v>
      </c>
      <c r="AS582">
        <v>582</v>
      </c>
    </row>
    <row r="583" spans="1:46" hidden="1" x14ac:dyDescent="0.25">
      <c r="A583">
        <v>582</v>
      </c>
      <c r="B583">
        <v>2025</v>
      </c>
      <c r="C583">
        <v>9</v>
      </c>
      <c r="D583" t="s">
        <v>248</v>
      </c>
      <c r="E583">
        <v>31</v>
      </c>
      <c r="F583">
        <v>8</v>
      </c>
      <c r="G583" t="s">
        <v>537</v>
      </c>
      <c r="H583" s="154">
        <v>368675</v>
      </c>
      <c r="I583" s="154">
        <v>368864</v>
      </c>
      <c r="J583" s="154">
        <v>369109</v>
      </c>
      <c r="K583" s="154">
        <v>369397</v>
      </c>
      <c r="L583" s="154">
        <v>369527</v>
      </c>
      <c r="M583" s="154">
        <v>369722</v>
      </c>
      <c r="N583" s="154">
        <v>370092</v>
      </c>
      <c r="O583" s="154">
        <v>370261</v>
      </c>
      <c r="P583" s="154">
        <v>370403</v>
      </c>
      <c r="Q583" s="154">
        <v>370603</v>
      </c>
      <c r="R583" s="154">
        <v>370678</v>
      </c>
      <c r="S583" s="154">
        <v>370807</v>
      </c>
      <c r="T583" s="154">
        <v>371031</v>
      </c>
      <c r="U583" s="154" t="s">
        <v>424</v>
      </c>
      <c r="V583" s="154">
        <v>371475</v>
      </c>
      <c r="W583" s="154">
        <v>371541</v>
      </c>
      <c r="X583" s="154">
        <v>371657</v>
      </c>
      <c r="Y583" s="154">
        <v>371779</v>
      </c>
      <c r="Z583" s="154">
        <v>371832</v>
      </c>
      <c r="AA583" s="154">
        <v>372052</v>
      </c>
      <c r="AB583" s="154">
        <v>372203</v>
      </c>
      <c r="AC583" s="154">
        <v>372350</v>
      </c>
      <c r="AD583" s="154">
        <v>372508</v>
      </c>
      <c r="AE583" s="154">
        <v>372760</v>
      </c>
      <c r="AF583" s="154">
        <v>372798</v>
      </c>
      <c r="AG583" s="154">
        <v>372916</v>
      </c>
      <c r="AH583" s="154">
        <v>372979</v>
      </c>
      <c r="AI583" s="154">
        <v>373285</v>
      </c>
      <c r="AJ583" s="154">
        <v>373429</v>
      </c>
      <c r="AK583" s="154">
        <v>373523</v>
      </c>
      <c r="AL583" s="154" t="s">
        <v>424</v>
      </c>
      <c r="AP583" cm="1">
        <f t="array" ref="AP583">IF(AQ583="","",SUM(IFERROR(H583:AL583-H582:AL582,0))*AQ583/100)</f>
        <v>607.35</v>
      </c>
      <c r="AQ583">
        <f>_xlfn.XLOOKUP(D583,log_prices!M:M,log_prices!L:L,,0)</f>
        <v>15</v>
      </c>
      <c r="AS583">
        <v>583</v>
      </c>
      <c r="AT583" cm="1">
        <f t="array" ref="AT583">IF(AQ583="","",SUM(IFERROR(H583:AL583-H582:AL582,0)))</f>
        <v>4049</v>
      </c>
    </row>
    <row r="584" spans="1:46" hidden="1" x14ac:dyDescent="0.25">
      <c r="A584">
        <v>583</v>
      </c>
      <c r="B584">
        <v>2025</v>
      </c>
      <c r="C584">
        <v>9</v>
      </c>
      <c r="D584" t="s">
        <v>232</v>
      </c>
      <c r="E584">
        <v>31</v>
      </c>
      <c r="F584">
        <v>8</v>
      </c>
      <c r="G584" t="s">
        <v>536</v>
      </c>
      <c r="H584" s="154" t="s">
        <v>424</v>
      </c>
      <c r="I584" s="154" t="s">
        <v>424</v>
      </c>
      <c r="J584" s="154" t="s">
        <v>424</v>
      </c>
      <c r="K584" s="154" t="s">
        <v>424</v>
      </c>
      <c r="L584" s="154" t="s">
        <v>424</v>
      </c>
      <c r="M584" s="154" t="s">
        <v>424</v>
      </c>
      <c r="N584" s="154">
        <v>489566</v>
      </c>
      <c r="O584" s="154">
        <v>489566</v>
      </c>
      <c r="P584" s="154">
        <v>489566</v>
      </c>
      <c r="Q584" s="154">
        <v>489566</v>
      </c>
      <c r="R584" s="154">
        <v>489566</v>
      </c>
      <c r="S584" s="154">
        <v>489566</v>
      </c>
      <c r="T584" s="154">
        <v>489602</v>
      </c>
      <c r="U584" s="154">
        <v>489602</v>
      </c>
      <c r="V584" s="154">
        <v>489699</v>
      </c>
      <c r="W584" s="154">
        <v>489807</v>
      </c>
      <c r="X584" s="154">
        <v>489821</v>
      </c>
      <c r="Y584" s="154">
        <v>489840</v>
      </c>
      <c r="Z584" s="154">
        <v>489883</v>
      </c>
      <c r="AA584" s="154">
        <v>489982</v>
      </c>
      <c r="AB584" s="154">
        <v>490001</v>
      </c>
      <c r="AC584" s="154">
        <v>490023</v>
      </c>
      <c r="AD584" s="154">
        <v>490049</v>
      </c>
      <c r="AE584" s="154">
        <v>490081</v>
      </c>
      <c r="AF584" s="154">
        <v>490117</v>
      </c>
      <c r="AG584" s="154">
        <v>490244</v>
      </c>
      <c r="AH584" s="154">
        <v>490363</v>
      </c>
      <c r="AI584" s="154" t="s">
        <v>424</v>
      </c>
      <c r="AJ584" s="154">
        <v>490428</v>
      </c>
      <c r="AK584" s="154">
        <v>490490</v>
      </c>
      <c r="AL584" s="154" t="s">
        <v>424</v>
      </c>
      <c r="AS584">
        <v>584</v>
      </c>
    </row>
    <row r="585" spans="1:46" hidden="1" x14ac:dyDescent="0.25">
      <c r="A585">
        <v>584</v>
      </c>
      <c r="B585">
        <v>2025</v>
      </c>
      <c r="C585">
        <v>9</v>
      </c>
      <c r="D585" t="s">
        <v>232</v>
      </c>
      <c r="E585">
        <v>31</v>
      </c>
      <c r="F585">
        <v>8</v>
      </c>
      <c r="G585" t="s">
        <v>537</v>
      </c>
      <c r="H585" s="154" t="s">
        <v>424</v>
      </c>
      <c r="I585" s="154" t="s">
        <v>424</v>
      </c>
      <c r="J585" s="154" t="s">
        <v>424</v>
      </c>
      <c r="K585" s="154" t="s">
        <v>424</v>
      </c>
      <c r="L585" s="154" t="s">
        <v>424</v>
      </c>
      <c r="M585" s="154" t="s">
        <v>424</v>
      </c>
      <c r="N585" s="154">
        <v>489602</v>
      </c>
      <c r="O585" s="154">
        <v>489602</v>
      </c>
      <c r="P585" s="154">
        <v>489602</v>
      </c>
      <c r="Q585" s="154">
        <v>489602</v>
      </c>
      <c r="R585" s="154">
        <v>489602</v>
      </c>
      <c r="S585" s="154">
        <v>489602</v>
      </c>
      <c r="T585" s="154">
        <v>489699</v>
      </c>
      <c r="U585" s="154">
        <v>489699</v>
      </c>
      <c r="V585" s="154">
        <v>489807</v>
      </c>
      <c r="W585" s="154">
        <v>489821</v>
      </c>
      <c r="X585" s="154">
        <v>489840</v>
      </c>
      <c r="Y585" s="154">
        <v>489883</v>
      </c>
      <c r="Z585" s="154">
        <v>489982</v>
      </c>
      <c r="AA585" s="154">
        <v>490001</v>
      </c>
      <c r="AB585" s="154">
        <v>490023</v>
      </c>
      <c r="AC585" s="154">
        <v>490049</v>
      </c>
      <c r="AD585" s="154">
        <v>490081</v>
      </c>
      <c r="AE585" s="154">
        <v>490117</v>
      </c>
      <c r="AF585" s="154">
        <v>490244</v>
      </c>
      <c r="AG585" s="154">
        <v>490363</v>
      </c>
      <c r="AH585" s="154">
        <v>490401</v>
      </c>
      <c r="AI585" s="154" t="s">
        <v>424</v>
      </c>
      <c r="AJ585" s="154">
        <v>490488</v>
      </c>
      <c r="AK585" s="154">
        <v>490539</v>
      </c>
      <c r="AL585" s="154" t="s">
        <v>424</v>
      </c>
      <c r="AP585" cm="1">
        <f t="array" ref="AP585">IF(AQ585="","",SUM(IFERROR(ROUND((H585:AL585-H584:AL584)/100*AQ585,2),0)))</f>
        <v>183.14999999999998</v>
      </c>
      <c r="AQ585">
        <f>_xlfn.XLOOKUP(D585,log_prices!M:M,log_prices!L:L,,0)</f>
        <v>15</v>
      </c>
      <c r="AR585" t="s">
        <v>454</v>
      </c>
      <c r="AS585">
        <v>585</v>
      </c>
      <c r="AT585" cm="1">
        <f t="array" ref="AT585">IF(AQ585="","",SUM(IFERROR(H585:AL585-H584:AL584,0)))</f>
        <v>1221</v>
      </c>
    </row>
    <row r="586" spans="1:46" hidden="1" x14ac:dyDescent="0.25">
      <c r="A586">
        <v>585</v>
      </c>
      <c r="B586">
        <v>2025</v>
      </c>
      <c r="C586">
        <v>9</v>
      </c>
      <c r="D586" t="s">
        <v>263</v>
      </c>
      <c r="E586">
        <v>31</v>
      </c>
      <c r="F586">
        <v>8</v>
      </c>
      <c r="G586" t="s">
        <v>536</v>
      </c>
      <c r="H586" s="154">
        <v>328616</v>
      </c>
      <c r="I586" s="154">
        <v>328681</v>
      </c>
      <c r="J586" s="154">
        <v>328843</v>
      </c>
      <c r="K586" s="154">
        <v>328920</v>
      </c>
      <c r="L586" s="154">
        <v>328952</v>
      </c>
      <c r="M586" s="154">
        <v>329070</v>
      </c>
      <c r="N586" s="154">
        <v>329142</v>
      </c>
      <c r="O586" s="154">
        <v>329180</v>
      </c>
      <c r="P586" s="154">
        <v>329272</v>
      </c>
      <c r="Q586" s="154">
        <v>329347</v>
      </c>
      <c r="R586" s="154">
        <v>329406</v>
      </c>
      <c r="S586" s="154">
        <v>329491</v>
      </c>
      <c r="T586" s="154">
        <v>329549</v>
      </c>
      <c r="U586" s="154" t="s">
        <v>424</v>
      </c>
      <c r="V586" s="154">
        <v>329764</v>
      </c>
      <c r="W586" s="154">
        <v>329835</v>
      </c>
      <c r="X586" s="154">
        <v>329895</v>
      </c>
      <c r="Y586" s="154">
        <v>329964</v>
      </c>
      <c r="Z586" s="154">
        <v>330011</v>
      </c>
      <c r="AA586" s="154">
        <v>330168</v>
      </c>
      <c r="AB586" s="154">
        <v>330249</v>
      </c>
      <c r="AC586" s="154">
        <v>330300</v>
      </c>
      <c r="AD586" s="154">
        <v>330360</v>
      </c>
      <c r="AE586" s="154">
        <v>330410</v>
      </c>
      <c r="AF586" s="154">
        <v>330515</v>
      </c>
      <c r="AG586" s="154">
        <v>330606</v>
      </c>
      <c r="AH586" s="154">
        <v>330686</v>
      </c>
      <c r="AI586" s="154" t="s">
        <v>424</v>
      </c>
      <c r="AJ586" s="154">
        <v>330963</v>
      </c>
      <c r="AK586" s="154">
        <v>331038</v>
      </c>
      <c r="AL586" s="154" t="s">
        <v>424</v>
      </c>
      <c r="AS586">
        <v>586</v>
      </c>
    </row>
    <row r="587" spans="1:46" hidden="1" x14ac:dyDescent="0.25">
      <c r="A587">
        <v>586</v>
      </c>
      <c r="B587">
        <v>2025</v>
      </c>
      <c r="C587">
        <v>9</v>
      </c>
      <c r="D587" t="s">
        <v>263</v>
      </c>
      <c r="E587">
        <v>31</v>
      </c>
      <c r="F587">
        <v>8</v>
      </c>
      <c r="G587" t="s">
        <v>537</v>
      </c>
      <c r="H587" s="154">
        <v>328665</v>
      </c>
      <c r="I587" s="154">
        <v>328818</v>
      </c>
      <c r="J587" s="154">
        <v>328880</v>
      </c>
      <c r="K587" s="154">
        <v>328952</v>
      </c>
      <c r="L587" s="154">
        <v>329025</v>
      </c>
      <c r="M587" s="154">
        <v>329107</v>
      </c>
      <c r="N587" s="154">
        <v>329180</v>
      </c>
      <c r="O587" s="154">
        <v>329209</v>
      </c>
      <c r="P587" s="154">
        <v>329306</v>
      </c>
      <c r="Q587" s="154">
        <v>329381</v>
      </c>
      <c r="R587" s="154">
        <v>329451</v>
      </c>
      <c r="S587" s="154">
        <v>329519</v>
      </c>
      <c r="T587" s="154">
        <v>329585</v>
      </c>
      <c r="U587" s="154" t="s">
        <v>424</v>
      </c>
      <c r="V587" s="154">
        <v>329799</v>
      </c>
      <c r="W587" s="154">
        <v>329865</v>
      </c>
      <c r="X587" s="154">
        <v>329928</v>
      </c>
      <c r="Y587" s="154">
        <v>329994</v>
      </c>
      <c r="Z587" s="154">
        <v>330122</v>
      </c>
      <c r="AA587" s="154">
        <v>330196</v>
      </c>
      <c r="AB587" s="154">
        <v>330280</v>
      </c>
      <c r="AC587" s="154">
        <v>330328</v>
      </c>
      <c r="AD587" s="154">
        <v>330387</v>
      </c>
      <c r="AE587" s="154">
        <v>330454</v>
      </c>
      <c r="AF587" s="154">
        <v>330562</v>
      </c>
      <c r="AG587" s="154">
        <v>330639</v>
      </c>
      <c r="AH587" s="154">
        <v>330759</v>
      </c>
      <c r="AI587" s="154" t="s">
        <v>424</v>
      </c>
      <c r="AJ587" s="154">
        <v>331006</v>
      </c>
      <c r="AK587" s="154">
        <v>331088</v>
      </c>
      <c r="AL587" s="154" t="s">
        <v>424</v>
      </c>
      <c r="AP587" cm="1">
        <f t="array" ref="AP587">IF(AQ587="","",SUM(IFERROR(H587:AL587-H586:AL586,0))*AQ587/100)</f>
        <v>187.8</v>
      </c>
      <c r="AQ587">
        <f>_xlfn.XLOOKUP(D587,log_prices!M:M,log_prices!L:L,,0)</f>
        <v>15</v>
      </c>
      <c r="AS587">
        <v>587</v>
      </c>
      <c r="AT587" cm="1">
        <f t="array" ref="AT587">IF(AQ587="","",SUM(IFERROR(H587:AL587-H586:AL586,0)))</f>
        <v>1252</v>
      </c>
    </row>
    <row r="588" spans="1:46" hidden="1" x14ac:dyDescent="0.25">
      <c r="A588">
        <v>587</v>
      </c>
      <c r="B588">
        <v>2025</v>
      </c>
      <c r="C588">
        <v>9</v>
      </c>
      <c r="D588" t="s">
        <v>279</v>
      </c>
      <c r="E588">
        <v>31</v>
      </c>
      <c r="F588">
        <v>8</v>
      </c>
      <c r="G588" t="s">
        <v>536</v>
      </c>
      <c r="H588" s="154" t="s">
        <v>424</v>
      </c>
      <c r="I588" s="154" t="s">
        <v>424</v>
      </c>
      <c r="J588" s="154" t="s">
        <v>424</v>
      </c>
      <c r="K588" s="154" t="s">
        <v>424</v>
      </c>
      <c r="L588" s="154" t="s">
        <v>424</v>
      </c>
      <c r="M588" s="154" t="s">
        <v>424</v>
      </c>
      <c r="N588" s="154" t="s">
        <v>424</v>
      </c>
      <c r="O588" s="154" t="s">
        <v>424</v>
      </c>
      <c r="P588" s="154">
        <v>871596</v>
      </c>
      <c r="Q588" s="154">
        <v>871596</v>
      </c>
      <c r="R588" s="154">
        <v>871596</v>
      </c>
      <c r="S588" s="154">
        <v>871596</v>
      </c>
      <c r="T588" s="154">
        <v>871596</v>
      </c>
      <c r="U588" s="154">
        <v>871596</v>
      </c>
      <c r="V588" s="154">
        <v>871596</v>
      </c>
      <c r="W588" s="154">
        <v>871718</v>
      </c>
      <c r="X588" s="154">
        <v>871746</v>
      </c>
      <c r="Y588" s="154">
        <v>871783</v>
      </c>
      <c r="Z588" s="154">
        <v>871804</v>
      </c>
      <c r="AA588" s="154">
        <v>871840</v>
      </c>
      <c r="AB588" s="154">
        <v>871907</v>
      </c>
      <c r="AC588" s="154">
        <v>871008</v>
      </c>
      <c r="AD588" s="154">
        <v>872098</v>
      </c>
      <c r="AE588" s="154">
        <v>872180</v>
      </c>
      <c r="AF588" s="154">
        <v>872213</v>
      </c>
      <c r="AG588" s="154">
        <v>872257</v>
      </c>
      <c r="AH588" s="154">
        <v>872368</v>
      </c>
      <c r="AI588" s="154" t="s">
        <v>424</v>
      </c>
      <c r="AJ588" s="154">
        <v>872477</v>
      </c>
      <c r="AK588" s="154">
        <v>872545</v>
      </c>
      <c r="AL588" s="154" t="s">
        <v>424</v>
      </c>
      <c r="AS588">
        <v>588</v>
      </c>
    </row>
    <row r="589" spans="1:46" hidden="1" x14ac:dyDescent="0.25">
      <c r="A589">
        <v>588</v>
      </c>
      <c r="B589">
        <v>2025</v>
      </c>
      <c r="C589">
        <v>9</v>
      </c>
      <c r="D589" t="s">
        <v>279</v>
      </c>
      <c r="E589">
        <v>31</v>
      </c>
      <c r="F589">
        <v>8</v>
      </c>
      <c r="G589" t="s">
        <v>537</v>
      </c>
      <c r="H589" s="154" t="s">
        <v>424</v>
      </c>
      <c r="I589" s="154" t="s">
        <v>424</v>
      </c>
      <c r="J589" s="154" t="s">
        <v>424</v>
      </c>
      <c r="K589" s="154" t="s">
        <v>424</v>
      </c>
      <c r="L589" s="154" t="s">
        <v>424</v>
      </c>
      <c r="M589" s="154" t="s">
        <v>424</v>
      </c>
      <c r="N589" s="154" t="s">
        <v>424</v>
      </c>
      <c r="O589" s="154" t="s">
        <v>424</v>
      </c>
      <c r="P589" s="154">
        <v>871623</v>
      </c>
      <c r="Q589" s="154">
        <v>871623</v>
      </c>
      <c r="R589" s="154">
        <v>871623</v>
      </c>
      <c r="S589" s="154">
        <v>871623</v>
      </c>
      <c r="T589" s="154">
        <v>871623</v>
      </c>
      <c r="U589" s="154">
        <v>871623</v>
      </c>
      <c r="V589" s="154">
        <v>871623</v>
      </c>
      <c r="W589" s="154">
        <v>871746</v>
      </c>
      <c r="X589" s="154">
        <v>871783</v>
      </c>
      <c r="Y589" s="154">
        <v>871804</v>
      </c>
      <c r="Z589" s="154">
        <v>871829</v>
      </c>
      <c r="AA589" s="154">
        <v>871907</v>
      </c>
      <c r="AB589" s="154">
        <v>872008</v>
      </c>
      <c r="AC589" s="154">
        <v>871097</v>
      </c>
      <c r="AD589" s="154">
        <v>872180</v>
      </c>
      <c r="AE589" s="154">
        <v>872212</v>
      </c>
      <c r="AF589" s="154">
        <v>872257</v>
      </c>
      <c r="AG589" s="154">
        <v>872368</v>
      </c>
      <c r="AH589" s="154">
        <v>872437</v>
      </c>
      <c r="AI589" s="154" t="s">
        <v>424</v>
      </c>
      <c r="AJ589" s="154">
        <v>872545</v>
      </c>
      <c r="AK589" s="154">
        <v>872588</v>
      </c>
      <c r="AL589" s="154" t="s">
        <v>424</v>
      </c>
      <c r="AP589" cm="1">
        <f t="array" ref="AP589">IF(AQ589="","",SUM(IFERROR(H589:AL589-H588:AL588,0))*AQ589/100)</f>
        <v>150.9</v>
      </c>
      <c r="AQ589">
        <f>_xlfn.XLOOKUP(D589,log_prices!M:M,log_prices!L:L,,0)</f>
        <v>15</v>
      </c>
      <c r="AR589" t="s">
        <v>454</v>
      </c>
      <c r="AS589">
        <v>589</v>
      </c>
      <c r="AT589" cm="1">
        <f t="array" ref="AT589">IF(AQ589="","",SUM(IFERROR(H589:AL589-H588:AL588,0)))</f>
        <v>1006</v>
      </c>
    </row>
    <row r="590" spans="1:46" hidden="1" x14ac:dyDescent="0.25">
      <c r="A590">
        <v>589</v>
      </c>
      <c r="B590">
        <v>2025</v>
      </c>
      <c r="C590">
        <v>9</v>
      </c>
      <c r="D590" t="s">
        <v>260</v>
      </c>
      <c r="E590">
        <v>31</v>
      </c>
      <c r="F590">
        <v>8</v>
      </c>
      <c r="G590" t="s">
        <v>536</v>
      </c>
      <c r="H590" s="154">
        <v>805139</v>
      </c>
      <c r="I590" s="154">
        <v>805273</v>
      </c>
      <c r="J590" s="154">
        <v>805451</v>
      </c>
      <c r="K590" s="154">
        <v>805615</v>
      </c>
      <c r="L590" s="154">
        <v>805761</v>
      </c>
      <c r="M590" s="154">
        <v>805926</v>
      </c>
      <c r="N590" s="154">
        <v>805926</v>
      </c>
      <c r="O590" s="154">
        <v>806176</v>
      </c>
      <c r="P590" s="154">
        <v>806327</v>
      </c>
      <c r="Q590" s="154">
        <v>806478</v>
      </c>
      <c r="R590" s="154">
        <v>806637</v>
      </c>
      <c r="S590" s="154">
        <v>806799</v>
      </c>
      <c r="T590" s="154">
        <v>806962</v>
      </c>
      <c r="U590" s="154">
        <v>807113</v>
      </c>
      <c r="V590" s="154">
        <v>807175</v>
      </c>
      <c r="W590" s="154">
        <v>807334</v>
      </c>
      <c r="X590" s="154">
        <v>807448</v>
      </c>
      <c r="Y590" s="154">
        <v>807645</v>
      </c>
      <c r="Z590" s="154">
        <v>807921</v>
      </c>
      <c r="AA590" s="154">
        <v>808210</v>
      </c>
      <c r="AB590" s="154">
        <v>808350</v>
      </c>
      <c r="AC590" s="154">
        <v>808500</v>
      </c>
      <c r="AD590" s="154">
        <v>808703</v>
      </c>
      <c r="AE590" s="154">
        <v>809009</v>
      </c>
      <c r="AF590" s="154">
        <v>809157</v>
      </c>
      <c r="AG590" s="154">
        <v>809329</v>
      </c>
      <c r="AH590" s="154">
        <v>809504</v>
      </c>
      <c r="AI590" s="154">
        <v>809550</v>
      </c>
      <c r="AJ590" s="154">
        <v>809653</v>
      </c>
      <c r="AK590" s="154">
        <v>809855</v>
      </c>
      <c r="AL590" s="154" t="s">
        <v>424</v>
      </c>
      <c r="AS590">
        <v>590</v>
      </c>
    </row>
    <row r="591" spans="1:46" hidden="1" x14ac:dyDescent="0.25">
      <c r="A591">
        <v>590</v>
      </c>
      <c r="B591">
        <v>2025</v>
      </c>
      <c r="C591">
        <v>9</v>
      </c>
      <c r="D591" t="s">
        <v>260</v>
      </c>
      <c r="E591">
        <v>31</v>
      </c>
      <c r="F591">
        <v>8</v>
      </c>
      <c r="G591" t="s">
        <v>537</v>
      </c>
      <c r="H591" s="154">
        <v>805273</v>
      </c>
      <c r="I591" s="154">
        <v>805451</v>
      </c>
      <c r="J591" s="154">
        <v>805615</v>
      </c>
      <c r="K591" s="154">
        <v>805761</v>
      </c>
      <c r="L591" s="154">
        <v>805926</v>
      </c>
      <c r="M591" s="154">
        <v>806105</v>
      </c>
      <c r="N591" s="154">
        <v>806105</v>
      </c>
      <c r="O591" s="154">
        <v>806327</v>
      </c>
      <c r="P591" s="154">
        <v>806478</v>
      </c>
      <c r="Q591" s="154">
        <v>806637</v>
      </c>
      <c r="R591" s="154">
        <v>806799</v>
      </c>
      <c r="S591" s="154">
        <v>806962</v>
      </c>
      <c r="T591" s="154">
        <v>807113</v>
      </c>
      <c r="U591" s="154">
        <v>807175</v>
      </c>
      <c r="V591" s="154">
        <v>807334</v>
      </c>
      <c r="W591" s="154">
        <v>807448</v>
      </c>
      <c r="X591" s="154">
        <v>807645</v>
      </c>
      <c r="Y591" s="154">
        <v>807921</v>
      </c>
      <c r="Z591" s="154">
        <v>808210</v>
      </c>
      <c r="AA591" s="154">
        <v>808350</v>
      </c>
      <c r="AB591" s="154">
        <v>808500</v>
      </c>
      <c r="AC591" s="154">
        <v>808703</v>
      </c>
      <c r="AD591" s="154">
        <v>809009</v>
      </c>
      <c r="AE591" s="154">
        <v>809157</v>
      </c>
      <c r="AF591" s="154">
        <v>809329</v>
      </c>
      <c r="AG591" s="154">
        <v>809504</v>
      </c>
      <c r="AH591" s="154">
        <v>809550</v>
      </c>
      <c r="AI591" s="154">
        <v>809653</v>
      </c>
      <c r="AJ591" s="154">
        <v>809855</v>
      </c>
      <c r="AK591" s="154">
        <v>810034</v>
      </c>
      <c r="AL591" s="154" t="s">
        <v>424</v>
      </c>
      <c r="AP591" cm="1">
        <f t="array" ref="AP591">IF(AQ591="","",SUM(IFERROR(H591:AL591-H590:AL590,0))*AQ591/100)</f>
        <v>900.54</v>
      </c>
      <c r="AQ591">
        <f>_xlfn.XLOOKUP(D591,log_prices!M:M,log_prices!L:L,,0)</f>
        <v>18</v>
      </c>
      <c r="AS591">
        <v>591</v>
      </c>
      <c r="AT591" cm="1">
        <f t="array" ref="AT591">IF(AQ591="","",SUM(IFERROR(H591:AL591-H590:AL590,0)))</f>
        <v>5003</v>
      </c>
    </row>
    <row r="592" spans="1:46" hidden="1" x14ac:dyDescent="0.25">
      <c r="A592">
        <v>591</v>
      </c>
      <c r="B592">
        <v>2025</v>
      </c>
      <c r="C592">
        <v>9</v>
      </c>
      <c r="D592" t="s">
        <v>272</v>
      </c>
      <c r="E592">
        <v>31</v>
      </c>
      <c r="F592">
        <v>8</v>
      </c>
      <c r="G592" t="s">
        <v>536</v>
      </c>
      <c r="H592" s="154">
        <v>280128</v>
      </c>
      <c r="I592" s="154">
        <v>280210</v>
      </c>
      <c r="J592" s="154">
        <v>280269</v>
      </c>
      <c r="K592" s="154">
        <v>280307</v>
      </c>
      <c r="L592" s="154">
        <v>280408</v>
      </c>
      <c r="M592" s="154">
        <v>280554</v>
      </c>
      <c r="N592" s="154">
        <v>280671</v>
      </c>
      <c r="O592" s="154">
        <v>280706</v>
      </c>
      <c r="P592" s="154">
        <v>280734</v>
      </c>
      <c r="Q592" s="154">
        <v>280784</v>
      </c>
      <c r="R592" s="154">
        <v>280963</v>
      </c>
      <c r="S592" s="154">
        <v>281054</v>
      </c>
      <c r="T592" s="154">
        <v>281211</v>
      </c>
      <c r="U592" s="154" t="s">
        <v>424</v>
      </c>
      <c r="V592" s="154">
        <v>281743</v>
      </c>
      <c r="W592" s="154">
        <v>281779</v>
      </c>
      <c r="X592" s="154">
        <v>281957</v>
      </c>
      <c r="Y592" s="154">
        <v>282118</v>
      </c>
      <c r="Z592" s="154">
        <v>282181</v>
      </c>
      <c r="AA592" s="154">
        <v>282223</v>
      </c>
      <c r="AB592" s="154">
        <v>282237</v>
      </c>
      <c r="AC592" s="154">
        <v>282454</v>
      </c>
      <c r="AD592" s="154">
        <v>282498</v>
      </c>
      <c r="AE592" s="154">
        <v>282518</v>
      </c>
      <c r="AF592" s="154">
        <v>282557</v>
      </c>
      <c r="AG592" s="154">
        <v>282647</v>
      </c>
      <c r="AH592" s="154">
        <v>282767</v>
      </c>
      <c r="AI592" s="154">
        <v>282831</v>
      </c>
      <c r="AJ592" s="154">
        <v>282848</v>
      </c>
      <c r="AK592" s="154">
        <v>282943</v>
      </c>
      <c r="AL592" s="154" t="s">
        <v>424</v>
      </c>
      <c r="AS592">
        <v>592</v>
      </c>
    </row>
    <row r="593" spans="1:46" hidden="1" x14ac:dyDescent="0.25">
      <c r="A593">
        <v>592</v>
      </c>
      <c r="B593">
        <v>2025</v>
      </c>
      <c r="C593">
        <v>9</v>
      </c>
      <c r="D593" t="s">
        <v>272</v>
      </c>
      <c r="E593">
        <v>31</v>
      </c>
      <c r="F593">
        <v>8</v>
      </c>
      <c r="G593" t="s">
        <v>537</v>
      </c>
      <c r="H593" s="154">
        <v>280210</v>
      </c>
      <c r="I593" s="154">
        <v>280269</v>
      </c>
      <c r="J593" s="154">
        <v>280307</v>
      </c>
      <c r="K593" s="154">
        <v>280408</v>
      </c>
      <c r="L593" s="154">
        <v>280554</v>
      </c>
      <c r="M593" s="154">
        <v>280671</v>
      </c>
      <c r="N593" s="154">
        <v>280706</v>
      </c>
      <c r="O593" s="154">
        <v>280734</v>
      </c>
      <c r="P593" s="154">
        <v>280784</v>
      </c>
      <c r="Q593" s="154">
        <v>280926</v>
      </c>
      <c r="R593" s="154">
        <v>281052</v>
      </c>
      <c r="S593" s="154">
        <v>281074</v>
      </c>
      <c r="T593" s="154">
        <v>281344</v>
      </c>
      <c r="U593" s="154" t="s">
        <v>424</v>
      </c>
      <c r="V593" s="154">
        <v>281779</v>
      </c>
      <c r="W593" s="154">
        <v>281837</v>
      </c>
      <c r="X593" s="154">
        <v>282103</v>
      </c>
      <c r="Y593" s="154">
        <v>282181</v>
      </c>
      <c r="Z593" s="154">
        <v>282221</v>
      </c>
      <c r="AA593" s="154">
        <v>282236</v>
      </c>
      <c r="AB593" s="154">
        <v>282267</v>
      </c>
      <c r="AC593" s="154">
        <v>282498</v>
      </c>
      <c r="AD593" s="154">
        <v>282518</v>
      </c>
      <c r="AE593" s="154">
        <v>282557</v>
      </c>
      <c r="AF593" s="154">
        <v>282647</v>
      </c>
      <c r="AG593" s="154">
        <v>282767</v>
      </c>
      <c r="AH593" s="154">
        <v>282831</v>
      </c>
      <c r="AI593" s="154">
        <v>282848</v>
      </c>
      <c r="AJ593" s="154">
        <v>282936</v>
      </c>
      <c r="AK593" s="154">
        <v>282998</v>
      </c>
      <c r="AL593" s="154" t="s">
        <v>424</v>
      </c>
      <c r="AP593" cm="1">
        <f t="array" ref="AP593">IF(AQ593="","",SUM(IFERROR(H593:AL593-H592:AL592,0))*AQ593/100)</f>
        <v>294.45</v>
      </c>
      <c r="AQ593">
        <f>_xlfn.XLOOKUP(D593,log_prices!M:M,log_prices!L:L,,0)</f>
        <v>15</v>
      </c>
      <c r="AS593">
        <v>593</v>
      </c>
      <c r="AT593" cm="1">
        <f t="array" ref="AT593">IF(AQ593="","",SUM(IFERROR(H593:AL593-H592:AL592,0)))</f>
        <v>1963</v>
      </c>
    </row>
    <row r="594" spans="1:46" hidden="1" x14ac:dyDescent="0.25">
      <c r="A594">
        <v>593</v>
      </c>
      <c r="B594">
        <v>2025</v>
      </c>
      <c r="C594">
        <v>9</v>
      </c>
      <c r="D594" t="s">
        <v>268</v>
      </c>
      <c r="E594">
        <v>31</v>
      </c>
      <c r="F594">
        <v>8</v>
      </c>
      <c r="G594" t="s">
        <v>536</v>
      </c>
      <c r="H594" s="154">
        <v>27910</v>
      </c>
      <c r="I594" s="154">
        <v>27923</v>
      </c>
      <c r="J594" s="154">
        <v>27934</v>
      </c>
      <c r="K594" s="154">
        <v>27946</v>
      </c>
      <c r="L594" s="154">
        <v>27955</v>
      </c>
      <c r="M594" s="154">
        <v>27964</v>
      </c>
      <c r="N594" s="154">
        <v>27976</v>
      </c>
      <c r="O594" s="154">
        <v>27980</v>
      </c>
      <c r="P594" s="154">
        <v>27995</v>
      </c>
      <c r="Q594" s="154">
        <v>28010</v>
      </c>
      <c r="R594" s="154">
        <v>28020</v>
      </c>
      <c r="S594" s="154">
        <v>28040</v>
      </c>
      <c r="T594" s="154">
        <v>28066</v>
      </c>
      <c r="U594" s="154">
        <v>28150</v>
      </c>
      <c r="V594" s="154">
        <v>28220</v>
      </c>
      <c r="W594" s="154">
        <v>28310</v>
      </c>
      <c r="X594" s="154">
        <v>28330</v>
      </c>
      <c r="Y594" s="154">
        <v>28340</v>
      </c>
      <c r="Z594" s="154">
        <v>28355</v>
      </c>
      <c r="AA594" s="154">
        <v>28375</v>
      </c>
      <c r="AB594" s="154">
        <v>28481</v>
      </c>
      <c r="AC594" s="154">
        <v>28497</v>
      </c>
      <c r="AD594" s="154">
        <v>28508</v>
      </c>
      <c r="AE594" s="154">
        <v>28520</v>
      </c>
      <c r="AF594" s="154">
        <v>28540</v>
      </c>
      <c r="AG594" s="154">
        <v>28589</v>
      </c>
      <c r="AH594" s="154">
        <v>28604</v>
      </c>
      <c r="AI594" s="154">
        <v>28630</v>
      </c>
      <c r="AJ594" s="154">
        <v>28670</v>
      </c>
      <c r="AK594" s="154">
        <v>28725</v>
      </c>
      <c r="AL594" s="154" t="s">
        <v>424</v>
      </c>
      <c r="AS594">
        <v>594</v>
      </c>
    </row>
    <row r="595" spans="1:46" hidden="1" x14ac:dyDescent="0.25">
      <c r="A595">
        <v>594</v>
      </c>
      <c r="B595">
        <v>2025</v>
      </c>
      <c r="C595">
        <v>9</v>
      </c>
      <c r="D595" t="s">
        <v>268</v>
      </c>
      <c r="E595">
        <v>31</v>
      </c>
      <c r="F595">
        <v>8</v>
      </c>
      <c r="G595" t="s">
        <v>537</v>
      </c>
      <c r="H595" s="154">
        <v>27923</v>
      </c>
      <c r="I595" s="154">
        <v>27934</v>
      </c>
      <c r="J595" s="154">
        <v>27946</v>
      </c>
      <c r="K595" s="154">
        <v>27955</v>
      </c>
      <c r="L595" s="154">
        <v>27964</v>
      </c>
      <c r="M595" s="154">
        <v>27976</v>
      </c>
      <c r="N595" s="154">
        <v>27980</v>
      </c>
      <c r="O595" s="154">
        <v>27995</v>
      </c>
      <c r="P595" s="154">
        <v>28010</v>
      </c>
      <c r="Q595" s="154">
        <v>28020</v>
      </c>
      <c r="R595" s="154">
        <v>28040</v>
      </c>
      <c r="S595" s="154">
        <v>28066</v>
      </c>
      <c r="T595" s="154">
        <v>28150</v>
      </c>
      <c r="U595" s="154">
        <v>28220</v>
      </c>
      <c r="V595" s="154">
        <v>28310</v>
      </c>
      <c r="W595" s="154">
        <v>28330</v>
      </c>
      <c r="X595" s="154">
        <v>28340</v>
      </c>
      <c r="Y595" s="154">
        <v>28355</v>
      </c>
      <c r="Z595" s="154">
        <v>28375</v>
      </c>
      <c r="AA595" s="154">
        <v>28481</v>
      </c>
      <c r="AB595" s="154">
        <v>28497</v>
      </c>
      <c r="AC595" s="154">
        <v>28508</v>
      </c>
      <c r="AD595" s="154">
        <v>28520</v>
      </c>
      <c r="AE595" s="154">
        <v>28540</v>
      </c>
      <c r="AF595" s="154">
        <v>28589</v>
      </c>
      <c r="AG595" s="154">
        <v>28604</v>
      </c>
      <c r="AH595" s="154">
        <v>28630</v>
      </c>
      <c r="AI595" s="154">
        <v>28670</v>
      </c>
      <c r="AJ595" s="154">
        <v>28725</v>
      </c>
      <c r="AK595" s="154">
        <v>28793</v>
      </c>
      <c r="AL595" s="154" t="s">
        <v>424</v>
      </c>
      <c r="AP595" cm="1">
        <f t="array" ref="AP595">IF(AQ595="","",SUM(IFERROR(H595:AL595-H594:AL594,0))*AQ595/100)</f>
        <v>132.44999999999999</v>
      </c>
      <c r="AQ595">
        <f>_xlfn.XLOOKUP(D595,log_prices!M:M,log_prices!L:L,,0)</f>
        <v>15</v>
      </c>
      <c r="AS595">
        <v>595</v>
      </c>
      <c r="AT595" cm="1">
        <f t="array" ref="AT595">IF(AQ595="","",SUM(IFERROR(H595:AL595-H594:AL594,0)))</f>
        <v>883</v>
      </c>
    </row>
    <row r="596" spans="1:46" hidden="1" x14ac:dyDescent="0.25">
      <c r="A596">
        <v>595</v>
      </c>
      <c r="B596">
        <v>2025</v>
      </c>
      <c r="C596">
        <v>9</v>
      </c>
      <c r="D596" t="s">
        <v>267</v>
      </c>
      <c r="E596">
        <v>31</v>
      </c>
      <c r="F596">
        <v>8</v>
      </c>
      <c r="G596" t="s">
        <v>536</v>
      </c>
      <c r="H596" s="154">
        <v>333649</v>
      </c>
      <c r="I596" s="154">
        <v>333815</v>
      </c>
      <c r="J596" s="154">
        <v>334046</v>
      </c>
      <c r="K596" s="154">
        <v>334274</v>
      </c>
      <c r="L596" s="154">
        <v>334440</v>
      </c>
      <c r="M596" s="154">
        <v>334615</v>
      </c>
      <c r="N596" s="154">
        <v>334779</v>
      </c>
      <c r="O596" s="154">
        <v>335002</v>
      </c>
      <c r="P596" s="154">
        <v>335191</v>
      </c>
      <c r="Q596" s="154">
        <v>335414</v>
      </c>
      <c r="R596" s="154">
        <v>335654</v>
      </c>
      <c r="S596" s="154">
        <v>335937</v>
      </c>
      <c r="T596" s="154">
        <v>336206</v>
      </c>
      <c r="U596" s="154">
        <v>336364</v>
      </c>
      <c r="V596" s="154">
        <v>336502</v>
      </c>
      <c r="W596" s="154">
        <v>336669</v>
      </c>
      <c r="X596" s="154">
        <v>336965</v>
      </c>
      <c r="Y596" s="154">
        <v>337225</v>
      </c>
      <c r="Z596" s="154">
        <v>337456</v>
      </c>
      <c r="AA596" s="154">
        <v>337630</v>
      </c>
      <c r="AB596" s="154">
        <v>337792</v>
      </c>
      <c r="AC596" s="154">
        <v>338135</v>
      </c>
      <c r="AD596" s="154">
        <v>338329</v>
      </c>
      <c r="AE596" s="154">
        <v>338569</v>
      </c>
      <c r="AF596" s="154">
        <v>338885</v>
      </c>
      <c r="AG596" s="154">
        <v>339054</v>
      </c>
      <c r="AH596" s="154">
        <v>339272</v>
      </c>
      <c r="AI596" s="154">
        <v>339502</v>
      </c>
      <c r="AJ596" s="154">
        <v>339748</v>
      </c>
      <c r="AK596" s="154">
        <v>339984</v>
      </c>
      <c r="AL596" s="154" t="s">
        <v>424</v>
      </c>
      <c r="AS596">
        <v>596</v>
      </c>
    </row>
    <row r="597" spans="1:46" hidden="1" x14ac:dyDescent="0.25">
      <c r="A597">
        <v>596</v>
      </c>
      <c r="B597">
        <v>2025</v>
      </c>
      <c r="C597">
        <v>9</v>
      </c>
      <c r="D597" t="s">
        <v>267</v>
      </c>
      <c r="E597">
        <v>31</v>
      </c>
      <c r="F597">
        <v>8</v>
      </c>
      <c r="G597" t="s">
        <v>537</v>
      </c>
      <c r="H597" s="154">
        <v>333815</v>
      </c>
      <c r="I597" s="154">
        <v>334046</v>
      </c>
      <c r="J597" s="154">
        <v>334274</v>
      </c>
      <c r="K597" s="154">
        <v>334440</v>
      </c>
      <c r="L597" s="154">
        <v>334615</v>
      </c>
      <c r="M597" s="154">
        <v>334779</v>
      </c>
      <c r="N597" s="154">
        <v>335002</v>
      </c>
      <c r="O597" s="154">
        <v>335191</v>
      </c>
      <c r="P597" s="154">
        <v>335414</v>
      </c>
      <c r="Q597" s="154">
        <v>335654</v>
      </c>
      <c r="R597" s="154">
        <v>335836</v>
      </c>
      <c r="S597" s="154">
        <v>336176</v>
      </c>
      <c r="T597" s="154">
        <v>336364</v>
      </c>
      <c r="U597" s="154">
        <v>336444</v>
      </c>
      <c r="V597" s="154">
        <v>336669</v>
      </c>
      <c r="W597" s="154">
        <v>336907</v>
      </c>
      <c r="X597" s="154">
        <v>337225</v>
      </c>
      <c r="Y597" s="154">
        <v>337456</v>
      </c>
      <c r="Z597" s="154">
        <v>337630</v>
      </c>
      <c r="AA597" s="154">
        <v>337792</v>
      </c>
      <c r="AB597" s="154">
        <v>338044</v>
      </c>
      <c r="AC597" s="154">
        <v>338329</v>
      </c>
      <c r="AD597" s="154">
        <v>338569</v>
      </c>
      <c r="AE597" s="154">
        <v>338846</v>
      </c>
      <c r="AF597" s="154">
        <v>339054</v>
      </c>
      <c r="AG597" s="154">
        <v>339272</v>
      </c>
      <c r="AH597" s="154">
        <v>339502</v>
      </c>
      <c r="AI597" s="154">
        <v>339708</v>
      </c>
      <c r="AJ597" s="154">
        <v>339984</v>
      </c>
      <c r="AK597" s="154">
        <v>340193</v>
      </c>
      <c r="AL597" s="154" t="s">
        <v>424</v>
      </c>
      <c r="AP597" cm="1">
        <f t="array" ref="AP597">IF(AQ597="","",SUM(IFERROR(H597:AL597-H596:AL596,0))*AQ597/100)</f>
        <v>919.05</v>
      </c>
      <c r="AQ597">
        <f>_xlfn.XLOOKUP(D597,log_prices!M:M,log_prices!L:L,,0)</f>
        <v>15</v>
      </c>
      <c r="AS597">
        <v>597</v>
      </c>
      <c r="AT597" cm="1">
        <f t="array" ref="AT597">IF(AQ597="","",SUM(IFERROR(H597:AL597-H596:AL596,0)))</f>
        <v>6127</v>
      </c>
    </row>
    <row r="598" spans="1:46" hidden="1" x14ac:dyDescent="0.25">
      <c r="A598">
        <v>597</v>
      </c>
      <c r="B598">
        <v>2025</v>
      </c>
      <c r="C598">
        <v>9</v>
      </c>
      <c r="D598" t="s">
        <v>234</v>
      </c>
      <c r="E598">
        <v>31</v>
      </c>
      <c r="F598">
        <v>8</v>
      </c>
      <c r="G598" t="s">
        <v>536</v>
      </c>
      <c r="H598" s="154" t="s">
        <v>424</v>
      </c>
      <c r="I598" s="154" t="s">
        <v>424</v>
      </c>
      <c r="J598" s="154" t="s">
        <v>424</v>
      </c>
      <c r="K598" s="154" t="s">
        <v>424</v>
      </c>
      <c r="L598" s="154" t="s">
        <v>424</v>
      </c>
      <c r="M598" s="154">
        <v>689196</v>
      </c>
      <c r="N598" s="154">
        <v>689196</v>
      </c>
      <c r="O598" s="154">
        <v>689196</v>
      </c>
      <c r="P598" s="154">
        <v>689196</v>
      </c>
      <c r="Q598" s="154">
        <v>689196</v>
      </c>
      <c r="R598" s="154">
        <v>689196</v>
      </c>
      <c r="S598" s="154">
        <v>689212</v>
      </c>
      <c r="T598" s="154">
        <v>689216</v>
      </c>
      <c r="U598" s="154">
        <v>689216</v>
      </c>
      <c r="V598" s="154">
        <v>689321</v>
      </c>
      <c r="W598" s="154">
        <v>689416</v>
      </c>
      <c r="X598" s="154">
        <v>689453</v>
      </c>
      <c r="Y598" s="154">
        <v>689468</v>
      </c>
      <c r="Z598" s="154">
        <v>689503</v>
      </c>
      <c r="AA598" s="154">
        <v>689544</v>
      </c>
      <c r="AB598" s="154">
        <v>689565</v>
      </c>
      <c r="AC598" s="154">
        <v>689571</v>
      </c>
      <c r="AD598" s="154">
        <v>689592</v>
      </c>
      <c r="AE598" s="154">
        <v>689651</v>
      </c>
      <c r="AF598" s="154">
        <v>689702</v>
      </c>
      <c r="AG598" s="154">
        <v>689745</v>
      </c>
      <c r="AH598" s="154">
        <v>689814</v>
      </c>
      <c r="AI598" s="154" t="s">
        <v>424</v>
      </c>
      <c r="AJ598" s="154">
        <v>689883</v>
      </c>
      <c r="AK598" s="154">
        <v>689944</v>
      </c>
      <c r="AL598" s="154" t="s">
        <v>424</v>
      </c>
      <c r="AS598">
        <v>598</v>
      </c>
    </row>
    <row r="599" spans="1:46" hidden="1" x14ac:dyDescent="0.25">
      <c r="A599">
        <v>598</v>
      </c>
      <c r="B599">
        <v>2025</v>
      </c>
      <c r="C599">
        <v>9</v>
      </c>
      <c r="D599" t="s">
        <v>234</v>
      </c>
      <c r="E599">
        <v>31</v>
      </c>
      <c r="F599">
        <v>8</v>
      </c>
      <c r="G599" t="s">
        <v>537</v>
      </c>
      <c r="H599" s="154" t="s">
        <v>424</v>
      </c>
      <c r="I599" s="154" t="s">
        <v>424</v>
      </c>
      <c r="J599" s="154" t="s">
        <v>424</v>
      </c>
      <c r="K599" s="154" t="s">
        <v>424</v>
      </c>
      <c r="L599" s="154" t="s">
        <v>424</v>
      </c>
      <c r="M599" s="154">
        <v>689211</v>
      </c>
      <c r="N599" s="154">
        <v>689211</v>
      </c>
      <c r="O599" s="154">
        <v>689211</v>
      </c>
      <c r="P599" s="154">
        <v>689211</v>
      </c>
      <c r="Q599" s="154">
        <v>689211</v>
      </c>
      <c r="R599" s="154">
        <v>689211</v>
      </c>
      <c r="S599" s="154">
        <v>689216</v>
      </c>
      <c r="T599" s="154">
        <v>689233</v>
      </c>
      <c r="U599" s="154">
        <v>689233</v>
      </c>
      <c r="V599" s="154">
        <v>689416</v>
      </c>
      <c r="W599" s="154">
        <v>689452</v>
      </c>
      <c r="X599" s="154">
        <v>689468</v>
      </c>
      <c r="Y599" s="154">
        <v>689503</v>
      </c>
      <c r="Z599" s="154">
        <v>689544</v>
      </c>
      <c r="AA599" s="154">
        <v>689565</v>
      </c>
      <c r="AB599" s="154">
        <v>689571</v>
      </c>
      <c r="AC599" s="154">
        <v>689592</v>
      </c>
      <c r="AD599" s="154">
        <v>689650</v>
      </c>
      <c r="AE599" s="154">
        <v>689701</v>
      </c>
      <c r="AF599" s="154">
        <v>689745</v>
      </c>
      <c r="AG599" s="154">
        <v>689814</v>
      </c>
      <c r="AH599" s="154">
        <v>689859</v>
      </c>
      <c r="AI599" s="154" t="s">
        <v>424</v>
      </c>
      <c r="AJ599" s="154">
        <v>689931</v>
      </c>
      <c r="AK599" s="154">
        <v>689988</v>
      </c>
      <c r="AL599" s="154" t="s">
        <v>424</v>
      </c>
      <c r="AP599" cm="1">
        <f t="array" ref="AP599">IF(AQ599="","",SUM(IFERROR(H599:AL599-H598:AL598,0))*AQ599/100)</f>
        <v>113.25</v>
      </c>
      <c r="AQ599">
        <f>_xlfn.XLOOKUP(D599,log_prices!M:M,log_prices!L:L,,0)</f>
        <v>15</v>
      </c>
      <c r="AS599">
        <v>599</v>
      </c>
      <c r="AT599" cm="1">
        <f t="array" ref="AT599">IF(AQ599="","",SUM(IFERROR(H599:AL599-H598:AL598,0)))</f>
        <v>755</v>
      </c>
    </row>
    <row r="600" spans="1:46" hidden="1" x14ac:dyDescent="0.25">
      <c r="A600">
        <v>599</v>
      </c>
      <c r="B600">
        <v>2025</v>
      </c>
      <c r="C600">
        <v>9</v>
      </c>
      <c r="D600" t="s">
        <v>278</v>
      </c>
      <c r="E600">
        <v>31</v>
      </c>
      <c r="F600">
        <v>8</v>
      </c>
      <c r="G600" t="s">
        <v>536</v>
      </c>
      <c r="H600" s="154" t="s">
        <v>424</v>
      </c>
      <c r="I600" s="154" t="s">
        <v>424</v>
      </c>
      <c r="J600" s="154" t="s">
        <v>424</v>
      </c>
      <c r="K600" s="154" t="s">
        <v>424</v>
      </c>
      <c r="L600" s="154" t="s">
        <v>424</v>
      </c>
      <c r="M600" s="154">
        <v>961995</v>
      </c>
      <c r="N600" s="154">
        <v>961995</v>
      </c>
      <c r="O600" s="154">
        <v>961995</v>
      </c>
      <c r="P600" s="154">
        <v>962250</v>
      </c>
      <c r="Q600" s="154">
        <v>962557</v>
      </c>
      <c r="R600" s="154">
        <v>962943</v>
      </c>
      <c r="S600" s="154">
        <v>963477</v>
      </c>
      <c r="T600" s="154">
        <v>963738</v>
      </c>
      <c r="U600" s="154">
        <v>964197</v>
      </c>
      <c r="V600" s="154">
        <v>964582</v>
      </c>
      <c r="W600" s="154">
        <v>964904</v>
      </c>
      <c r="X600" s="154">
        <v>965301</v>
      </c>
      <c r="Y600" s="154">
        <v>965583</v>
      </c>
      <c r="Z600" s="154">
        <v>966046</v>
      </c>
      <c r="AA600" s="154">
        <v>966411</v>
      </c>
      <c r="AB600" s="154">
        <v>966740</v>
      </c>
      <c r="AC600" s="154">
        <v>966961</v>
      </c>
      <c r="AD600" s="154">
        <v>967469</v>
      </c>
      <c r="AE600" s="154">
        <v>967681</v>
      </c>
      <c r="AF600" s="154">
        <v>967911</v>
      </c>
      <c r="AG600" s="154">
        <v>968258</v>
      </c>
      <c r="AH600" s="154">
        <v>968582</v>
      </c>
      <c r="AI600" s="154">
        <v>969071</v>
      </c>
      <c r="AJ600" s="154">
        <v>969203</v>
      </c>
      <c r="AK600" s="154">
        <v>969706</v>
      </c>
      <c r="AL600" s="154" t="s">
        <v>424</v>
      </c>
      <c r="AS600">
        <v>600</v>
      </c>
    </row>
    <row r="601" spans="1:46" hidden="1" x14ac:dyDescent="0.25">
      <c r="A601">
        <v>600</v>
      </c>
      <c r="B601">
        <v>2025</v>
      </c>
      <c r="C601">
        <v>9</v>
      </c>
      <c r="D601" t="s">
        <v>278</v>
      </c>
      <c r="E601">
        <v>31</v>
      </c>
      <c r="F601">
        <v>8</v>
      </c>
      <c r="G601" t="s">
        <v>537</v>
      </c>
      <c r="H601" s="154" t="s">
        <v>424</v>
      </c>
      <c r="I601" s="154" t="s">
        <v>424</v>
      </c>
      <c r="J601" s="154" t="s">
        <v>424</v>
      </c>
      <c r="K601" s="154" t="s">
        <v>424</v>
      </c>
      <c r="L601" s="154" t="s">
        <v>424</v>
      </c>
      <c r="M601" s="154">
        <v>962250</v>
      </c>
      <c r="N601" s="154">
        <v>962250</v>
      </c>
      <c r="O601" s="154">
        <v>962250</v>
      </c>
      <c r="P601" s="154">
        <v>962557</v>
      </c>
      <c r="Q601" s="154">
        <v>962943</v>
      </c>
      <c r="R601" s="154">
        <v>963211</v>
      </c>
      <c r="S601" s="154">
        <v>963738</v>
      </c>
      <c r="T601" s="154">
        <v>964038</v>
      </c>
      <c r="U601" s="154">
        <v>964580</v>
      </c>
      <c r="V601" s="154">
        <v>964900</v>
      </c>
      <c r="W601" s="154">
        <v>965301</v>
      </c>
      <c r="X601" s="154">
        <v>965579</v>
      </c>
      <c r="Y601" s="154">
        <v>966044</v>
      </c>
      <c r="Z601" s="154">
        <v>966410</v>
      </c>
      <c r="AA601" s="154">
        <v>966736</v>
      </c>
      <c r="AB601" s="154">
        <v>966956</v>
      </c>
      <c r="AC601" s="154">
        <v>967469</v>
      </c>
      <c r="AD601" s="154">
        <v>967681</v>
      </c>
      <c r="AE601" s="154">
        <v>967911</v>
      </c>
      <c r="AF601" s="154">
        <v>968248</v>
      </c>
      <c r="AG601" s="154">
        <v>968582</v>
      </c>
      <c r="AH601" s="154">
        <v>969071</v>
      </c>
      <c r="AI601" s="154">
        <v>969203</v>
      </c>
      <c r="AJ601" s="154">
        <v>969700</v>
      </c>
      <c r="AK601" s="154">
        <v>969919</v>
      </c>
      <c r="AL601" s="154" t="s">
        <v>424</v>
      </c>
      <c r="AP601" cm="1">
        <f t="array" ref="AP601">IF(AQ601="","",SUM(IFERROR(H601:AL601-H600:AL600,0))*AQ601/100)</f>
        <v>956.52</v>
      </c>
      <c r="AQ601">
        <f>_xlfn.XLOOKUP(D601,log_prices!M:M,log_prices!L:L,,0)</f>
        <v>12</v>
      </c>
      <c r="AS601">
        <v>601</v>
      </c>
      <c r="AT601" cm="1">
        <f t="array" ref="AT601">IF(AQ601="","",SUM(IFERROR(H601:AL601-H600:AL600,0)))</f>
        <v>7971</v>
      </c>
    </row>
    <row r="602" spans="1:46" hidden="1" x14ac:dyDescent="0.25">
      <c r="A602">
        <v>601</v>
      </c>
      <c r="B602">
        <v>2025</v>
      </c>
      <c r="C602">
        <v>9</v>
      </c>
      <c r="D602" t="s">
        <v>455</v>
      </c>
      <c r="E602">
        <v>31</v>
      </c>
      <c r="F602">
        <v>8</v>
      </c>
      <c r="G602" t="s">
        <v>534</v>
      </c>
      <c r="H602" s="154" t="s">
        <v>424</v>
      </c>
      <c r="I602" s="154" t="s">
        <v>424</v>
      </c>
      <c r="J602" s="154" t="s">
        <v>424</v>
      </c>
      <c r="K602" s="154" t="s">
        <v>424</v>
      </c>
      <c r="L602" s="154" t="s">
        <v>424</v>
      </c>
      <c r="M602" s="154" t="s">
        <v>424</v>
      </c>
      <c r="N602" s="154" t="s">
        <v>424</v>
      </c>
      <c r="O602" s="154" t="s">
        <v>424</v>
      </c>
      <c r="P602" s="154" t="s">
        <v>424</v>
      </c>
      <c r="Q602" s="154" t="s">
        <v>424</v>
      </c>
      <c r="R602" s="154" t="s">
        <v>424</v>
      </c>
      <c r="S602" s="154" t="s">
        <v>424</v>
      </c>
      <c r="T602" s="154" t="s">
        <v>424</v>
      </c>
      <c r="U602" s="154" t="s">
        <v>424</v>
      </c>
      <c r="V602" s="154" t="s">
        <v>424</v>
      </c>
      <c r="W602" s="154" t="s">
        <v>424</v>
      </c>
      <c r="X602" s="154" t="s">
        <v>424</v>
      </c>
      <c r="Y602" s="154" t="s">
        <v>424</v>
      </c>
      <c r="Z602" s="154" t="s">
        <v>424</v>
      </c>
      <c r="AA602" s="154" t="s">
        <v>424</v>
      </c>
      <c r="AB602" s="154" t="s">
        <v>424</v>
      </c>
      <c r="AC602" s="154" t="s">
        <v>424</v>
      </c>
      <c r="AD602" s="154" t="s">
        <v>424</v>
      </c>
      <c r="AE602" s="154" t="s">
        <v>424</v>
      </c>
      <c r="AF602" s="154" t="s">
        <v>424</v>
      </c>
      <c r="AG602" s="154" t="s">
        <v>424</v>
      </c>
      <c r="AH602" s="154" t="s">
        <v>424</v>
      </c>
      <c r="AI602" s="154" t="s">
        <v>424</v>
      </c>
      <c r="AJ602" s="154" t="s">
        <v>479</v>
      </c>
      <c r="AK602" s="154" t="s">
        <v>479</v>
      </c>
      <c r="AL602" s="154" t="s">
        <v>424</v>
      </c>
      <c r="AS602">
        <v>602</v>
      </c>
    </row>
    <row r="603" spans="1:46" hidden="1" x14ac:dyDescent="0.25">
      <c r="A603">
        <v>602</v>
      </c>
      <c r="B603">
        <v>2025</v>
      </c>
      <c r="C603">
        <v>9</v>
      </c>
      <c r="D603" t="s">
        <v>455</v>
      </c>
      <c r="E603">
        <v>31</v>
      </c>
      <c r="F603">
        <v>8</v>
      </c>
      <c r="G603" t="s">
        <v>535</v>
      </c>
      <c r="H603" s="154" t="s">
        <v>424</v>
      </c>
      <c r="I603" s="154" t="s">
        <v>424</v>
      </c>
      <c r="J603" s="154" t="s">
        <v>424</v>
      </c>
      <c r="K603" s="154" t="s">
        <v>424</v>
      </c>
      <c r="L603" s="154" t="s">
        <v>424</v>
      </c>
      <c r="M603" s="154" t="s">
        <v>424</v>
      </c>
      <c r="N603" s="154" t="s">
        <v>424</v>
      </c>
      <c r="O603" s="154" t="s">
        <v>424</v>
      </c>
      <c r="P603" s="154" t="s">
        <v>424</v>
      </c>
      <c r="Q603" s="154" t="s">
        <v>424</v>
      </c>
      <c r="R603" s="154" t="s">
        <v>424</v>
      </c>
      <c r="S603" s="154" t="s">
        <v>424</v>
      </c>
      <c r="T603" s="154" t="s">
        <v>424</v>
      </c>
      <c r="U603" s="154" t="s">
        <v>424</v>
      </c>
      <c r="V603" s="154" t="s">
        <v>424</v>
      </c>
      <c r="W603" s="154" t="s">
        <v>424</v>
      </c>
      <c r="X603" s="154" t="s">
        <v>424</v>
      </c>
      <c r="Y603" s="154" t="s">
        <v>424</v>
      </c>
      <c r="Z603" s="154" t="s">
        <v>424</v>
      </c>
      <c r="AA603" s="154" t="s">
        <v>424</v>
      </c>
      <c r="AB603" s="154" t="s">
        <v>424</v>
      </c>
      <c r="AC603" s="154" t="s">
        <v>424</v>
      </c>
      <c r="AD603" s="154" t="s">
        <v>424</v>
      </c>
      <c r="AE603" s="154" t="s">
        <v>424</v>
      </c>
      <c r="AF603" s="154" t="s">
        <v>424</v>
      </c>
      <c r="AG603" s="154" t="s">
        <v>424</v>
      </c>
      <c r="AH603" s="154" t="s">
        <v>424</v>
      </c>
      <c r="AI603" s="154" t="s">
        <v>424</v>
      </c>
      <c r="AJ603" s="154" t="s">
        <v>480</v>
      </c>
      <c r="AK603" s="154" t="s">
        <v>480</v>
      </c>
      <c r="AL603" s="154" t="s">
        <v>424</v>
      </c>
      <c r="AM603" cm="1">
        <f t="array" ref="AM603">SUM(_xlfn.LET(_xlpm.r,((IFERROR(H603:AL603-H602:AL602,0))*24)/10,IF(_xlpm.r&gt;1,1,_xlpm.r)))</f>
        <v>2</v>
      </c>
      <c r="AO603" cm="1">
        <f t="array" ref="AO603">SUM(IFERROR(MOD((H603:AL603-H602:AL602)*24,11),""))</f>
        <v>0</v>
      </c>
      <c r="AS603">
        <v>603</v>
      </c>
    </row>
    <row r="604" spans="1:46" hidden="1" x14ac:dyDescent="0.25">
      <c r="A604">
        <v>603</v>
      </c>
      <c r="B604">
        <v>2025</v>
      </c>
      <c r="C604">
        <v>10</v>
      </c>
      <c r="D604" t="s">
        <v>259</v>
      </c>
      <c r="E604">
        <v>31</v>
      </c>
      <c r="F604">
        <v>9</v>
      </c>
      <c r="G604" t="s">
        <v>534</v>
      </c>
      <c r="H604" s="154" t="s">
        <v>481</v>
      </c>
      <c r="I604" s="154" t="s">
        <v>481</v>
      </c>
      <c r="J604" s="154" t="s">
        <v>481</v>
      </c>
      <c r="K604" s="154" t="s">
        <v>481</v>
      </c>
      <c r="L604" s="154" t="s">
        <v>481</v>
      </c>
      <c r="M604" s="154" t="s">
        <v>481</v>
      </c>
      <c r="N604" s="154" t="s">
        <v>481</v>
      </c>
      <c r="O604" s="154" t="s">
        <v>481</v>
      </c>
      <c r="P604" s="154" t="s">
        <v>481</v>
      </c>
      <c r="Q604" s="154" t="s">
        <v>481</v>
      </c>
      <c r="R604" s="154" t="s">
        <v>481</v>
      </c>
      <c r="S604" s="154" t="s">
        <v>481</v>
      </c>
      <c r="T604" s="154" t="s">
        <v>481</v>
      </c>
      <c r="U604" s="154" t="s">
        <v>481</v>
      </c>
      <c r="V604" s="154" t="s">
        <v>481</v>
      </c>
      <c r="W604" s="154" t="s">
        <v>481</v>
      </c>
      <c r="X604" s="154" t="s">
        <v>481</v>
      </c>
      <c r="Y604" s="154" t="s">
        <v>481</v>
      </c>
      <c r="Z604" s="154" t="s">
        <v>481</v>
      </c>
      <c r="AA604" s="154" t="s">
        <v>481</v>
      </c>
      <c r="AB604" s="154" t="s">
        <v>481</v>
      </c>
      <c r="AC604" s="154" t="s">
        <v>481</v>
      </c>
      <c r="AD604" s="154" t="s">
        <v>481</v>
      </c>
      <c r="AE604" s="154" t="s">
        <v>481</v>
      </c>
      <c r="AF604" s="154" t="s">
        <v>481</v>
      </c>
      <c r="AG604" s="154" t="s">
        <v>481</v>
      </c>
      <c r="AH604" s="154" t="s">
        <v>481</v>
      </c>
      <c r="AI604" s="154" t="s">
        <v>481</v>
      </c>
      <c r="AJ604" s="154" t="s">
        <v>481</v>
      </c>
      <c r="AK604" s="154" t="s">
        <v>481</v>
      </c>
      <c r="AL604" s="154" t="s">
        <v>481</v>
      </c>
      <c r="AS604">
        <v>604</v>
      </c>
    </row>
    <row r="605" spans="1:46" hidden="1" x14ac:dyDescent="0.25">
      <c r="A605">
        <v>604</v>
      </c>
      <c r="B605">
        <v>2025</v>
      </c>
      <c r="C605">
        <v>10</v>
      </c>
      <c r="D605" t="s">
        <v>259</v>
      </c>
      <c r="E605">
        <v>31</v>
      </c>
      <c r="F605">
        <v>9</v>
      </c>
      <c r="G605" t="s">
        <v>535</v>
      </c>
      <c r="H605" s="154">
        <v>0.77083333333333326</v>
      </c>
      <c r="I605" s="154">
        <v>0.85416666666666663</v>
      </c>
      <c r="J605" s="154">
        <v>0.8125</v>
      </c>
      <c r="K605" s="154">
        <v>0.77083333333333326</v>
      </c>
      <c r="L605" s="154">
        <v>0.77083333333333326</v>
      </c>
      <c r="M605" s="154">
        <v>0.8125</v>
      </c>
      <c r="N605" s="154">
        <v>0.77083333333333326</v>
      </c>
      <c r="O605" s="154">
        <v>0.77083333333333326</v>
      </c>
      <c r="P605" s="154">
        <v>0.8125</v>
      </c>
      <c r="Q605" s="154">
        <v>0.77083333333333326</v>
      </c>
      <c r="R605" s="154">
        <v>0.77083333333333326</v>
      </c>
      <c r="S605" s="154">
        <v>0.77083333333333326</v>
      </c>
      <c r="T605" s="154">
        <v>0.85416666666666663</v>
      </c>
      <c r="U605" s="154">
        <v>0.8125</v>
      </c>
      <c r="V605" s="154">
        <v>0.85416666666666663</v>
      </c>
      <c r="W605" s="154">
        <v>0.8125</v>
      </c>
      <c r="X605" s="154">
        <v>0.77083333333333326</v>
      </c>
      <c r="Y605" s="154">
        <v>0.85416666666666663</v>
      </c>
      <c r="Z605" s="154">
        <v>0.77083333333333326</v>
      </c>
      <c r="AA605" s="154">
        <v>0.85416666666666663</v>
      </c>
      <c r="AB605" s="154">
        <v>0.8125</v>
      </c>
      <c r="AC605" s="154">
        <v>0.85416666666666663</v>
      </c>
      <c r="AD605" s="154">
        <v>0.85416666666666663</v>
      </c>
      <c r="AE605" s="154">
        <v>0.8125</v>
      </c>
      <c r="AF605" s="154">
        <v>0.8125</v>
      </c>
      <c r="AG605" s="154">
        <v>0.77083333333333326</v>
      </c>
      <c r="AH605" s="154">
        <v>0.85416666666666663</v>
      </c>
      <c r="AI605" s="154">
        <v>0.77083333333333326</v>
      </c>
      <c r="AJ605" s="154">
        <v>0.77083333333333326</v>
      </c>
      <c r="AK605" s="154">
        <v>0.8125</v>
      </c>
      <c r="AL605" s="154">
        <v>0.77083333333333326</v>
      </c>
      <c r="AM605" cm="1">
        <f t="array" ref="AM605">SUM(_xlfn.LET(_xlpm.r,((IFERROR(H605:AL605-H604:AL604,0))*24)/10,IF(_xlpm.r&gt;1,1,_xlpm.r)))</f>
        <v>31</v>
      </c>
      <c r="AO605" cm="1">
        <f t="array" ref="AO605">SUM(IFERROR(MOD((H605:AL605-H604:AL604)*24,11),""))</f>
        <v>87</v>
      </c>
      <c r="AS605">
        <v>605</v>
      </c>
    </row>
    <row r="606" spans="1:46" hidden="1" x14ac:dyDescent="0.25">
      <c r="A606">
        <v>605</v>
      </c>
      <c r="B606">
        <v>2025</v>
      </c>
      <c r="C606">
        <v>10</v>
      </c>
      <c r="D606" t="s">
        <v>284</v>
      </c>
      <c r="E606">
        <v>31</v>
      </c>
      <c r="F606">
        <v>9</v>
      </c>
      <c r="G606" t="s">
        <v>534</v>
      </c>
      <c r="H606" s="154" t="s">
        <v>424</v>
      </c>
      <c r="I606" s="154" t="s">
        <v>424</v>
      </c>
      <c r="J606" s="154" t="s">
        <v>424</v>
      </c>
      <c r="K606" s="154" t="s">
        <v>424</v>
      </c>
      <c r="L606" s="154" t="s">
        <v>424</v>
      </c>
      <c r="M606" s="154" t="s">
        <v>424</v>
      </c>
      <c r="N606" s="154" t="s">
        <v>424</v>
      </c>
      <c r="O606" s="154" t="s">
        <v>424</v>
      </c>
      <c r="P606" s="154" t="s">
        <v>424</v>
      </c>
      <c r="Q606" s="154" t="s">
        <v>424</v>
      </c>
      <c r="R606" s="154" t="s">
        <v>424</v>
      </c>
      <c r="S606" s="154" t="s">
        <v>424</v>
      </c>
      <c r="T606" s="154" t="s">
        <v>424</v>
      </c>
      <c r="U606" s="154" t="s">
        <v>424</v>
      </c>
      <c r="V606" s="154" t="s">
        <v>424</v>
      </c>
      <c r="W606" s="154" t="s">
        <v>424</v>
      </c>
      <c r="X606" s="154" t="s">
        <v>424</v>
      </c>
      <c r="Y606" s="154" t="s">
        <v>424</v>
      </c>
      <c r="Z606" s="154" t="s">
        <v>424</v>
      </c>
      <c r="AA606" s="154" t="s">
        <v>424</v>
      </c>
      <c r="AB606" s="154" t="s">
        <v>424</v>
      </c>
      <c r="AC606" s="154" t="s">
        <v>424</v>
      </c>
      <c r="AD606" s="154" t="s">
        <v>424</v>
      </c>
      <c r="AE606" s="154" t="s">
        <v>424</v>
      </c>
      <c r="AF606" s="154" t="s">
        <v>424</v>
      </c>
      <c r="AG606" s="154" t="s">
        <v>424</v>
      </c>
      <c r="AH606" s="154" t="s">
        <v>424</v>
      </c>
      <c r="AI606" s="154" t="s">
        <v>424</v>
      </c>
      <c r="AJ606" s="154" t="s">
        <v>424</v>
      </c>
      <c r="AK606" s="154" t="s">
        <v>479</v>
      </c>
      <c r="AL606" s="154" t="s">
        <v>424</v>
      </c>
      <c r="AS606">
        <v>606</v>
      </c>
    </row>
    <row r="607" spans="1:46" hidden="1" x14ac:dyDescent="0.25">
      <c r="A607">
        <v>606</v>
      </c>
      <c r="B607">
        <v>2025</v>
      </c>
      <c r="C607">
        <v>10</v>
      </c>
      <c r="D607" t="s">
        <v>284</v>
      </c>
      <c r="E607">
        <v>31</v>
      </c>
      <c r="F607">
        <v>9</v>
      </c>
      <c r="G607" t="s">
        <v>535</v>
      </c>
      <c r="H607" s="154" t="s">
        <v>424</v>
      </c>
      <c r="I607" s="154" t="s">
        <v>424</v>
      </c>
      <c r="J607" s="154" t="s">
        <v>424</v>
      </c>
      <c r="K607" s="154" t="s">
        <v>424</v>
      </c>
      <c r="L607" s="154" t="s">
        <v>424</v>
      </c>
      <c r="M607" s="154" t="s">
        <v>424</v>
      </c>
      <c r="N607" s="154" t="s">
        <v>424</v>
      </c>
      <c r="O607" s="154" t="s">
        <v>424</v>
      </c>
      <c r="P607" s="154" t="s">
        <v>424</v>
      </c>
      <c r="Q607" s="154" t="s">
        <v>424</v>
      </c>
      <c r="R607" s="154" t="s">
        <v>424</v>
      </c>
      <c r="S607" s="154" t="s">
        <v>424</v>
      </c>
      <c r="T607" s="154" t="s">
        <v>424</v>
      </c>
      <c r="U607" s="154" t="s">
        <v>424</v>
      </c>
      <c r="V607" s="154" t="s">
        <v>424</v>
      </c>
      <c r="W607" s="154" t="s">
        <v>424</v>
      </c>
      <c r="X607" s="154" t="s">
        <v>424</v>
      </c>
      <c r="Y607" s="154" t="s">
        <v>424</v>
      </c>
      <c r="Z607" s="154" t="s">
        <v>424</v>
      </c>
      <c r="AA607" s="154" t="s">
        <v>424</v>
      </c>
      <c r="AB607" s="154" t="s">
        <v>424</v>
      </c>
      <c r="AC607" s="154" t="s">
        <v>424</v>
      </c>
      <c r="AD607" s="154" t="s">
        <v>424</v>
      </c>
      <c r="AE607" s="154" t="s">
        <v>424</v>
      </c>
      <c r="AF607" s="154" t="s">
        <v>424</v>
      </c>
      <c r="AG607" s="154" t="s">
        <v>424</v>
      </c>
      <c r="AH607" s="154" t="s">
        <v>424</v>
      </c>
      <c r="AI607" s="154" t="s">
        <v>424</v>
      </c>
      <c r="AJ607" s="154" t="s">
        <v>424</v>
      </c>
      <c r="AK607" s="154">
        <v>0.75</v>
      </c>
      <c r="AL607" s="154" t="s">
        <v>424</v>
      </c>
      <c r="AM607" cm="1">
        <f t="array" ref="AM607">SUM(_xlfn.LET(_xlpm.r,((IFERROR(H607:AL607-H606:AL606,0))*24)/10,IF(_xlpm.r&gt;1,1,_xlpm.r)))</f>
        <v>1</v>
      </c>
      <c r="AO607" cm="1">
        <f t="array" ref="AO607">SUM(IFERROR(MOD((H607:AL607-H606:AL606)*24,11),""))</f>
        <v>0</v>
      </c>
      <c r="AS607">
        <v>607</v>
      </c>
    </row>
    <row r="608" spans="1:46" hidden="1" x14ac:dyDescent="0.25">
      <c r="A608">
        <v>607</v>
      </c>
      <c r="B608">
        <v>2025</v>
      </c>
      <c r="C608">
        <v>10</v>
      </c>
      <c r="D608" t="s">
        <v>280</v>
      </c>
      <c r="E608">
        <v>31</v>
      </c>
      <c r="F608">
        <v>9</v>
      </c>
      <c r="G608" t="s">
        <v>534</v>
      </c>
      <c r="H608" s="154" t="s">
        <v>486</v>
      </c>
      <c r="I608" s="154" t="s">
        <v>486</v>
      </c>
      <c r="J608" s="154" t="s">
        <v>486</v>
      </c>
      <c r="K608" s="154" t="s">
        <v>486</v>
      </c>
      <c r="L608" s="154" t="s">
        <v>486</v>
      </c>
      <c r="M608" s="154" t="s">
        <v>486</v>
      </c>
      <c r="N608" s="154" t="s">
        <v>486</v>
      </c>
      <c r="O608" s="154" t="s">
        <v>486</v>
      </c>
      <c r="P608" s="154" t="s">
        <v>486</v>
      </c>
      <c r="Q608" s="154" t="s">
        <v>486</v>
      </c>
      <c r="R608" s="154" t="s">
        <v>486</v>
      </c>
      <c r="S608" s="154" t="s">
        <v>486</v>
      </c>
      <c r="T608" s="154" t="s">
        <v>486</v>
      </c>
      <c r="U608" s="154" t="s">
        <v>486</v>
      </c>
      <c r="V608" s="154" t="s">
        <v>486</v>
      </c>
      <c r="W608" s="154" t="s">
        <v>486</v>
      </c>
      <c r="X608" s="154" t="s">
        <v>486</v>
      </c>
      <c r="Y608" s="154" t="s">
        <v>486</v>
      </c>
      <c r="Z608" s="154" t="s">
        <v>486</v>
      </c>
      <c r="AA608" s="154" t="s">
        <v>486</v>
      </c>
      <c r="AB608" s="154" t="s">
        <v>486</v>
      </c>
      <c r="AC608" s="154" t="s">
        <v>486</v>
      </c>
      <c r="AD608" s="154" t="s">
        <v>486</v>
      </c>
      <c r="AE608" s="154" t="s">
        <v>486</v>
      </c>
      <c r="AF608" s="154" t="s">
        <v>486</v>
      </c>
      <c r="AG608" s="154" t="s">
        <v>486</v>
      </c>
      <c r="AH608" s="154" t="s">
        <v>486</v>
      </c>
      <c r="AI608" s="154" t="s">
        <v>486</v>
      </c>
      <c r="AJ608" s="154" t="s">
        <v>424</v>
      </c>
      <c r="AK608" s="154" t="s">
        <v>424</v>
      </c>
      <c r="AL608" s="154" t="s">
        <v>486</v>
      </c>
      <c r="AS608">
        <v>608</v>
      </c>
    </row>
    <row r="609" spans="1:45" hidden="1" x14ac:dyDescent="0.25">
      <c r="A609">
        <v>608</v>
      </c>
      <c r="B609">
        <v>2025</v>
      </c>
      <c r="C609">
        <v>10</v>
      </c>
      <c r="D609" t="s">
        <v>280</v>
      </c>
      <c r="E609">
        <v>31</v>
      </c>
      <c r="F609">
        <v>9</v>
      </c>
      <c r="G609" t="s">
        <v>535</v>
      </c>
      <c r="H609" s="154">
        <v>0.79166666666666674</v>
      </c>
      <c r="I609" s="154">
        <v>0.79166666666666674</v>
      </c>
      <c r="J609" s="154">
        <v>0.79166666666666674</v>
      </c>
      <c r="K609" s="154">
        <v>0.79166666666666674</v>
      </c>
      <c r="L609" s="154">
        <v>0.79166666666666674</v>
      </c>
      <c r="M609" s="154">
        <v>0.79166666666666674</v>
      </c>
      <c r="N609" s="154">
        <v>0.79166666666666674</v>
      </c>
      <c r="O609" s="154">
        <v>0.79166666666666674</v>
      </c>
      <c r="P609" s="154">
        <v>0.79166666666666674</v>
      </c>
      <c r="Q609" s="154">
        <v>0.79166666666666674</v>
      </c>
      <c r="R609" s="154">
        <v>0.79166666666666674</v>
      </c>
      <c r="S609" s="154">
        <v>0.79166666666666674</v>
      </c>
      <c r="T609" s="154">
        <v>0.79166666666666674</v>
      </c>
      <c r="U609" s="154">
        <v>0.79166666666666674</v>
      </c>
      <c r="V609" s="154">
        <v>0.79166666666666674</v>
      </c>
      <c r="W609" s="154">
        <v>0.79166666666666674</v>
      </c>
      <c r="X609" s="154">
        <v>0.79166666666666674</v>
      </c>
      <c r="Y609" s="154">
        <v>0.79166666666666674</v>
      </c>
      <c r="Z609" s="154">
        <v>0.79166666666666674</v>
      </c>
      <c r="AA609" s="154">
        <v>0.79166666666666674</v>
      </c>
      <c r="AB609" s="154">
        <v>0.79166666666666674</v>
      </c>
      <c r="AC609" s="154">
        <v>0.79166666666666674</v>
      </c>
      <c r="AD609" s="154">
        <v>0.79166666666666674</v>
      </c>
      <c r="AE609" s="154">
        <v>0.79166666666666674</v>
      </c>
      <c r="AF609" s="154">
        <v>0.79166666666666674</v>
      </c>
      <c r="AG609" s="154">
        <v>0.79166666666666674</v>
      </c>
      <c r="AH609" s="154">
        <v>0.79166666666666674</v>
      </c>
      <c r="AI609" s="154">
        <v>0.79166666666666674</v>
      </c>
      <c r="AJ609" s="154" t="s">
        <v>424</v>
      </c>
      <c r="AK609" s="154" t="s">
        <v>424</v>
      </c>
      <c r="AL609" s="154">
        <v>0.79166666666666674</v>
      </c>
      <c r="AM609" cm="1">
        <f t="array" ref="AM609">SUM(_xlfn.LET(_xlpm.r,((IFERROR(H609:AL609-H608:AL608,0))*24)/10,IF(_xlpm.r&gt;1,1,_xlpm.r)))</f>
        <v>29</v>
      </c>
      <c r="AO609" cm="1">
        <f t="array" ref="AO609">SUM(IFERROR(MOD((H609:AL609-H608:AL608)*24,11),""))</f>
        <v>87</v>
      </c>
      <c r="AS609">
        <v>609</v>
      </c>
    </row>
    <row r="610" spans="1:45" hidden="1" x14ac:dyDescent="0.25">
      <c r="A610">
        <v>609</v>
      </c>
      <c r="B610">
        <v>2025</v>
      </c>
      <c r="C610">
        <v>10</v>
      </c>
      <c r="D610" t="s">
        <v>269</v>
      </c>
      <c r="E610">
        <v>31</v>
      </c>
      <c r="F610">
        <v>9</v>
      </c>
      <c r="G610" t="s">
        <v>534</v>
      </c>
      <c r="H610" s="154" t="s">
        <v>479</v>
      </c>
      <c r="I610" s="154" t="s">
        <v>479</v>
      </c>
      <c r="J610" s="154" t="s">
        <v>479</v>
      </c>
      <c r="K610" s="154" t="s">
        <v>479</v>
      </c>
      <c r="L610" s="154" t="s">
        <v>479</v>
      </c>
      <c r="M610" s="154" t="s">
        <v>479</v>
      </c>
      <c r="N610" s="154" t="s">
        <v>479</v>
      </c>
      <c r="O610" s="154" t="s">
        <v>479</v>
      </c>
      <c r="P610" s="154" t="s">
        <v>479</v>
      </c>
      <c r="Q610" s="154" t="s">
        <v>479</v>
      </c>
      <c r="R610" s="154" t="s">
        <v>479</v>
      </c>
      <c r="S610" s="154" t="s">
        <v>479</v>
      </c>
      <c r="T610" s="154" t="s">
        <v>479</v>
      </c>
      <c r="U610" s="154" t="s">
        <v>479</v>
      </c>
      <c r="V610" s="154" t="s">
        <v>479</v>
      </c>
      <c r="W610" s="154" t="s">
        <v>479</v>
      </c>
      <c r="X610" s="154" t="s">
        <v>479</v>
      </c>
      <c r="Y610" s="154" t="s">
        <v>479</v>
      </c>
      <c r="Z610" s="154" t="s">
        <v>479</v>
      </c>
      <c r="AA610" s="154" t="s">
        <v>479</v>
      </c>
      <c r="AB610" s="154" t="s">
        <v>479</v>
      </c>
      <c r="AC610" s="154" t="s">
        <v>479</v>
      </c>
      <c r="AD610" s="154" t="s">
        <v>479</v>
      </c>
      <c r="AE610" s="154" t="s">
        <v>479</v>
      </c>
      <c r="AF610" s="154" t="s">
        <v>479</v>
      </c>
      <c r="AG610" s="154" t="s">
        <v>479</v>
      </c>
      <c r="AH610" s="154" t="s">
        <v>479</v>
      </c>
      <c r="AI610" s="154" t="s">
        <v>479</v>
      </c>
      <c r="AJ610" s="154" t="s">
        <v>479</v>
      </c>
      <c r="AK610" s="154" t="s">
        <v>479</v>
      </c>
      <c r="AL610" s="154" t="s">
        <v>479</v>
      </c>
      <c r="AS610">
        <v>610</v>
      </c>
    </row>
    <row r="611" spans="1:45" hidden="1" x14ac:dyDescent="0.25">
      <c r="A611">
        <v>610</v>
      </c>
      <c r="B611">
        <v>2025</v>
      </c>
      <c r="C611">
        <v>10</v>
      </c>
      <c r="D611" t="s">
        <v>269</v>
      </c>
      <c r="E611">
        <v>31</v>
      </c>
      <c r="F611">
        <v>9</v>
      </c>
      <c r="G611" t="s">
        <v>535</v>
      </c>
      <c r="H611" s="154">
        <v>0.75</v>
      </c>
      <c r="I611" s="154">
        <v>0.875</v>
      </c>
      <c r="J611" s="154">
        <v>0.83333333333333326</v>
      </c>
      <c r="K611" s="154">
        <v>0.875</v>
      </c>
      <c r="L611" s="154">
        <v>0.75</v>
      </c>
      <c r="M611" s="154">
        <v>0.75</v>
      </c>
      <c r="N611" s="154">
        <v>0.75</v>
      </c>
      <c r="O611" s="154">
        <v>0.75</v>
      </c>
      <c r="P611" s="154">
        <v>0.75</v>
      </c>
      <c r="Q611" s="154">
        <v>0.75</v>
      </c>
      <c r="R611" s="154">
        <v>0.95833333333333326</v>
      </c>
      <c r="S611" s="154">
        <v>0.75</v>
      </c>
      <c r="T611" s="154">
        <v>0.75</v>
      </c>
      <c r="U611" s="154">
        <v>0.75</v>
      </c>
      <c r="V611" s="154">
        <v>0.75</v>
      </c>
      <c r="W611" s="154">
        <v>0.75</v>
      </c>
      <c r="X611" s="154">
        <v>0.83333333333333326</v>
      </c>
      <c r="Y611" s="154">
        <v>0.75</v>
      </c>
      <c r="Z611" s="154">
        <v>0.75</v>
      </c>
      <c r="AA611" s="154">
        <v>0.83333333333333326</v>
      </c>
      <c r="AB611" s="154">
        <v>0.75</v>
      </c>
      <c r="AC611" s="154">
        <v>0.91666666666666674</v>
      </c>
      <c r="AD611" s="154">
        <v>0.91666666666666674</v>
      </c>
      <c r="AE611" s="154">
        <v>0.83333333333333326</v>
      </c>
      <c r="AF611" s="154">
        <v>0.75</v>
      </c>
      <c r="AG611" s="154">
        <v>0.75</v>
      </c>
      <c r="AH611" s="154">
        <v>0.83333333333333326</v>
      </c>
      <c r="AI611" s="154">
        <v>0.75</v>
      </c>
      <c r="AJ611" s="154">
        <v>0.75</v>
      </c>
      <c r="AK611" s="154">
        <v>0.75</v>
      </c>
      <c r="AL611" s="154">
        <v>0.75</v>
      </c>
      <c r="AM611" cm="1">
        <f t="array" ref="AM611">SUM(_xlfn.LET(_xlpm.r,((IFERROR(H611:AL611-H610:AL610,0))*24)/10,IF(_xlpm.r&gt;1,1,_xlpm.r)))</f>
        <v>31</v>
      </c>
      <c r="AO611" cm="1">
        <f t="array" ref="AO611">SUM(IFERROR(MOD((H611:AL611-H610:AL610)*24,11),""))</f>
        <v>28.999999999999975</v>
      </c>
      <c r="AS611">
        <v>611</v>
      </c>
    </row>
    <row r="612" spans="1:45" hidden="1" x14ac:dyDescent="0.25">
      <c r="A612">
        <v>611</v>
      </c>
      <c r="B612">
        <v>2025</v>
      </c>
      <c r="C612">
        <v>10</v>
      </c>
      <c r="D612" t="s">
        <v>258</v>
      </c>
      <c r="E612">
        <v>31</v>
      </c>
      <c r="F612">
        <v>9</v>
      </c>
      <c r="G612" t="s">
        <v>534</v>
      </c>
      <c r="H612" s="154" t="s">
        <v>479</v>
      </c>
      <c r="I612" s="154" t="s">
        <v>479</v>
      </c>
      <c r="J612" s="154" t="s">
        <v>479</v>
      </c>
      <c r="K612" s="154" t="s">
        <v>479</v>
      </c>
      <c r="L612" s="154" t="s">
        <v>479</v>
      </c>
      <c r="M612" s="154" t="s">
        <v>479</v>
      </c>
      <c r="N612" s="154" t="s">
        <v>479</v>
      </c>
      <c r="O612" s="154" t="s">
        <v>479</v>
      </c>
      <c r="P612" s="154" t="s">
        <v>479</v>
      </c>
      <c r="Q612" s="154" t="s">
        <v>479</v>
      </c>
      <c r="R612" s="154" t="s">
        <v>479</v>
      </c>
      <c r="S612" s="154" t="s">
        <v>479</v>
      </c>
      <c r="T612" s="154" t="s">
        <v>479</v>
      </c>
      <c r="U612" s="154" t="s">
        <v>479</v>
      </c>
      <c r="V612" s="154" t="s">
        <v>479</v>
      </c>
      <c r="W612" s="154" t="s">
        <v>479</v>
      </c>
      <c r="X612" s="154" t="s">
        <v>479</v>
      </c>
      <c r="Y612" s="154" t="s">
        <v>424</v>
      </c>
      <c r="Z612" s="154" t="s">
        <v>424</v>
      </c>
      <c r="AA612" s="154" t="s">
        <v>424</v>
      </c>
      <c r="AB612" s="154" t="s">
        <v>424</v>
      </c>
      <c r="AC612" s="154" t="s">
        <v>424</v>
      </c>
      <c r="AD612" s="154" t="s">
        <v>424</v>
      </c>
      <c r="AE612" s="154" t="s">
        <v>424</v>
      </c>
      <c r="AF612" s="154" t="s">
        <v>424</v>
      </c>
      <c r="AG612" s="154" t="s">
        <v>424</v>
      </c>
      <c r="AH612" s="154" t="s">
        <v>424</v>
      </c>
      <c r="AI612" s="154" t="s">
        <v>424</v>
      </c>
      <c r="AJ612" s="154" t="s">
        <v>424</v>
      </c>
      <c r="AK612" s="154" t="s">
        <v>424</v>
      </c>
      <c r="AL612" s="154" t="s">
        <v>424</v>
      </c>
      <c r="AS612">
        <v>612</v>
      </c>
    </row>
    <row r="613" spans="1:45" hidden="1" x14ac:dyDescent="0.25">
      <c r="A613">
        <v>612</v>
      </c>
      <c r="B613">
        <v>2025</v>
      </c>
      <c r="C613">
        <v>10</v>
      </c>
      <c r="D613" t="s">
        <v>258</v>
      </c>
      <c r="E613">
        <v>31</v>
      </c>
      <c r="F613">
        <v>9</v>
      </c>
      <c r="G613" t="s">
        <v>535</v>
      </c>
      <c r="H613" s="154">
        <v>0.83333333333333326</v>
      </c>
      <c r="I613" s="154">
        <v>0.83333333333333326</v>
      </c>
      <c r="J613" s="154">
        <v>0.83333333333333326</v>
      </c>
      <c r="K613" s="154">
        <v>0.875</v>
      </c>
      <c r="L613" s="154">
        <v>0.83333333333333326</v>
      </c>
      <c r="M613" s="154">
        <v>0.875</v>
      </c>
      <c r="N613" s="154">
        <v>0.83333333333333326</v>
      </c>
      <c r="O613" s="154">
        <v>0.83333333333333326</v>
      </c>
      <c r="P613" s="154">
        <v>0.83333333333333326</v>
      </c>
      <c r="Q613" s="154">
        <v>0.83333333333333326</v>
      </c>
      <c r="R613" s="154">
        <v>0.83333333333333326</v>
      </c>
      <c r="S613" s="154">
        <v>0.83333333333333326</v>
      </c>
      <c r="T613" s="154">
        <v>0.83333333333333326</v>
      </c>
      <c r="U613" s="154">
        <v>0.83333333333333326</v>
      </c>
      <c r="V613" s="154">
        <v>0.83333333333333326</v>
      </c>
      <c r="W613" s="154">
        <v>0.83333333333333326</v>
      </c>
      <c r="X613" s="154">
        <v>0.83333333333333326</v>
      </c>
      <c r="Y613" s="154" t="s">
        <v>424</v>
      </c>
      <c r="Z613" s="154" t="s">
        <v>424</v>
      </c>
      <c r="AA613" s="154" t="s">
        <v>424</v>
      </c>
      <c r="AB613" s="154" t="s">
        <v>424</v>
      </c>
      <c r="AC613" s="154" t="s">
        <v>424</v>
      </c>
      <c r="AD613" s="154" t="s">
        <v>424</v>
      </c>
      <c r="AE613" s="154" t="s">
        <v>424</v>
      </c>
      <c r="AF613" s="154" t="s">
        <v>424</v>
      </c>
      <c r="AG613" s="154" t="s">
        <v>424</v>
      </c>
      <c r="AH613" s="154" t="s">
        <v>424</v>
      </c>
      <c r="AI613" s="154" t="s">
        <v>424</v>
      </c>
      <c r="AJ613" s="154" t="s">
        <v>424</v>
      </c>
      <c r="AK613" s="154" t="s">
        <v>424</v>
      </c>
      <c r="AL613" s="154" t="s">
        <v>424</v>
      </c>
      <c r="AM613" cm="1">
        <f t="array" ref="AM613">SUM(_xlfn.LET(_xlpm.r,((IFERROR(H613:AL613-H612:AL612,0))*24)/10,IF(_xlpm.r&gt;1,1,_xlpm.r)))</f>
        <v>17</v>
      </c>
      <c r="AO613" cm="1">
        <f t="array" ref="AO613">SUM(IFERROR(MOD((H613:AL613-H612:AL612)*24,11),""))</f>
        <v>35.999999999999943</v>
      </c>
      <c r="AS613">
        <v>613</v>
      </c>
    </row>
    <row r="614" spans="1:45" hidden="1" x14ac:dyDescent="0.25">
      <c r="A614">
        <v>613</v>
      </c>
      <c r="B614">
        <v>2025</v>
      </c>
      <c r="C614">
        <v>10</v>
      </c>
      <c r="D614" t="s">
        <v>257</v>
      </c>
      <c r="E614">
        <v>31</v>
      </c>
      <c r="F614">
        <v>9</v>
      </c>
      <c r="G614" t="s">
        <v>534</v>
      </c>
      <c r="H614" s="154" t="s">
        <v>481</v>
      </c>
      <c r="I614" s="154" t="s">
        <v>481</v>
      </c>
      <c r="J614" s="154" t="s">
        <v>481</v>
      </c>
      <c r="K614" s="154" t="s">
        <v>481</v>
      </c>
      <c r="L614" s="154" t="s">
        <v>481</v>
      </c>
      <c r="M614" s="154" t="s">
        <v>481</v>
      </c>
      <c r="N614" s="154" t="s">
        <v>481</v>
      </c>
      <c r="O614" s="154" t="s">
        <v>481</v>
      </c>
      <c r="P614" s="154" t="s">
        <v>481</v>
      </c>
      <c r="Q614" s="154" t="s">
        <v>481</v>
      </c>
      <c r="R614" s="154" t="s">
        <v>481</v>
      </c>
      <c r="S614" s="154" t="s">
        <v>481</v>
      </c>
      <c r="T614" s="154" t="s">
        <v>481</v>
      </c>
      <c r="U614" s="154" t="s">
        <v>481</v>
      </c>
      <c r="V614" s="154" t="s">
        <v>481</v>
      </c>
      <c r="W614" s="154" t="s">
        <v>481</v>
      </c>
      <c r="X614" s="154" t="s">
        <v>481</v>
      </c>
      <c r="Y614" s="154" t="s">
        <v>481</v>
      </c>
      <c r="Z614" s="154" t="s">
        <v>481</v>
      </c>
      <c r="AA614" s="154" t="s">
        <v>481</v>
      </c>
      <c r="AB614" s="154" t="s">
        <v>481</v>
      </c>
      <c r="AC614" s="154" t="s">
        <v>481</v>
      </c>
      <c r="AD614" s="154" t="s">
        <v>481</v>
      </c>
      <c r="AE614" s="154" t="s">
        <v>481</v>
      </c>
      <c r="AF614" s="154" t="s">
        <v>424</v>
      </c>
      <c r="AG614" s="154" t="s">
        <v>424</v>
      </c>
      <c r="AH614" s="154" t="s">
        <v>424</v>
      </c>
      <c r="AI614" s="154" t="s">
        <v>424</v>
      </c>
      <c r="AJ614" s="154" t="s">
        <v>424</v>
      </c>
      <c r="AK614" s="154" t="s">
        <v>424</v>
      </c>
      <c r="AL614" s="154" t="s">
        <v>424</v>
      </c>
      <c r="AS614">
        <v>614</v>
      </c>
    </row>
    <row r="615" spans="1:45" hidden="1" x14ac:dyDescent="0.25">
      <c r="A615">
        <v>614</v>
      </c>
      <c r="B615">
        <v>2025</v>
      </c>
      <c r="C615">
        <v>10</v>
      </c>
      <c r="D615" t="s">
        <v>257</v>
      </c>
      <c r="E615">
        <v>31</v>
      </c>
      <c r="F615">
        <v>9</v>
      </c>
      <c r="G615" t="s">
        <v>535</v>
      </c>
      <c r="H615" s="154">
        <v>0.8125</v>
      </c>
      <c r="I615" s="154">
        <v>0.8125</v>
      </c>
      <c r="J615" s="154">
        <v>0.8125</v>
      </c>
      <c r="K615" s="154">
        <v>0.8125</v>
      </c>
      <c r="L615" s="154">
        <v>0.8125</v>
      </c>
      <c r="M615" s="154">
        <v>0.8125</v>
      </c>
      <c r="N615" s="154">
        <v>0.8125</v>
      </c>
      <c r="O615" s="154">
        <v>0.8125</v>
      </c>
      <c r="P615" s="154">
        <v>0.8125</v>
      </c>
      <c r="Q615" s="154">
        <v>0.8125</v>
      </c>
      <c r="R615" s="154">
        <v>0.8125</v>
      </c>
      <c r="S615" s="154">
        <v>0.8125</v>
      </c>
      <c r="T615" s="154">
        <v>0.8125</v>
      </c>
      <c r="U615" s="154">
        <v>0.8125</v>
      </c>
      <c r="V615" s="154">
        <v>0.8125</v>
      </c>
      <c r="W615" s="154">
        <v>0.8125</v>
      </c>
      <c r="X615" s="154">
        <v>0.8125</v>
      </c>
      <c r="Y615" s="154">
        <v>0.8125</v>
      </c>
      <c r="Z615" s="154">
        <v>0.8125</v>
      </c>
      <c r="AA615" s="154">
        <v>0.8125</v>
      </c>
      <c r="AB615" s="154">
        <v>0.8125</v>
      </c>
      <c r="AC615" s="154">
        <v>0.8125</v>
      </c>
      <c r="AD615" s="154">
        <v>0.8125</v>
      </c>
      <c r="AE615" s="154">
        <v>0.8125</v>
      </c>
      <c r="AF615" s="154" t="s">
        <v>424</v>
      </c>
      <c r="AG615" s="154" t="s">
        <v>424</v>
      </c>
      <c r="AH615" s="154" t="s">
        <v>424</v>
      </c>
      <c r="AI615" s="154" t="s">
        <v>424</v>
      </c>
      <c r="AJ615" s="154" t="s">
        <v>424</v>
      </c>
      <c r="AK615" s="154" t="s">
        <v>424</v>
      </c>
      <c r="AL615" s="154" t="s">
        <v>424</v>
      </c>
      <c r="AM615" cm="1">
        <f t="array" ref="AM615">SUM(_xlfn.LET(_xlpm.r,((IFERROR(H615:AL615-H614:AL614,0))*24)/10,IF(_xlpm.r&gt;1,1,_xlpm.r)))</f>
        <v>24</v>
      </c>
      <c r="AO615" cm="1">
        <f t="array" ref="AO615">SUM(IFERROR(MOD((H615:AL615-H614:AL614)*24,11),""))</f>
        <v>72</v>
      </c>
      <c r="AS615">
        <v>615</v>
      </c>
    </row>
    <row r="616" spans="1:45" hidden="1" x14ac:dyDescent="0.25">
      <c r="A616">
        <v>615</v>
      </c>
      <c r="B616">
        <v>2025</v>
      </c>
      <c r="C616">
        <v>10</v>
      </c>
      <c r="D616" t="s">
        <v>266</v>
      </c>
      <c r="E616">
        <v>31</v>
      </c>
      <c r="F616">
        <v>9</v>
      </c>
      <c r="G616" t="s">
        <v>534</v>
      </c>
      <c r="H616" s="154" t="s">
        <v>486</v>
      </c>
      <c r="I616" s="154" t="s">
        <v>486</v>
      </c>
      <c r="J616" s="154" t="s">
        <v>486</v>
      </c>
      <c r="K616" s="154" t="s">
        <v>486</v>
      </c>
      <c r="L616" s="154" t="s">
        <v>486</v>
      </c>
      <c r="M616" s="154" t="s">
        <v>486</v>
      </c>
      <c r="N616" s="154" t="s">
        <v>486</v>
      </c>
      <c r="O616" s="154" t="s">
        <v>486</v>
      </c>
      <c r="P616" s="154" t="s">
        <v>486</v>
      </c>
      <c r="Q616" s="154" t="s">
        <v>486</v>
      </c>
      <c r="R616" s="154" t="s">
        <v>486</v>
      </c>
      <c r="S616" s="154" t="s">
        <v>486</v>
      </c>
      <c r="T616" s="154" t="s">
        <v>486</v>
      </c>
      <c r="U616" s="154" t="s">
        <v>486</v>
      </c>
      <c r="V616" s="154" t="s">
        <v>486</v>
      </c>
      <c r="W616" s="154" t="s">
        <v>486</v>
      </c>
      <c r="X616" s="154" t="s">
        <v>486</v>
      </c>
      <c r="Y616" s="154" t="s">
        <v>486</v>
      </c>
      <c r="Z616" s="154" t="s">
        <v>424</v>
      </c>
      <c r="AA616" s="154" t="s">
        <v>486</v>
      </c>
      <c r="AB616" s="154" t="s">
        <v>486</v>
      </c>
      <c r="AC616" s="154" t="s">
        <v>486</v>
      </c>
      <c r="AD616" s="154" t="s">
        <v>486</v>
      </c>
      <c r="AE616" s="154" t="s">
        <v>486</v>
      </c>
      <c r="AF616" s="154" t="s">
        <v>486</v>
      </c>
      <c r="AG616" s="154" t="s">
        <v>486</v>
      </c>
      <c r="AH616" s="154" t="s">
        <v>486</v>
      </c>
      <c r="AI616" s="154" t="s">
        <v>486</v>
      </c>
      <c r="AJ616" s="154" t="s">
        <v>486</v>
      </c>
      <c r="AK616" s="154" t="s">
        <v>486</v>
      </c>
      <c r="AL616" s="154" t="s">
        <v>486</v>
      </c>
      <c r="AS616">
        <v>616</v>
      </c>
    </row>
    <row r="617" spans="1:45" hidden="1" x14ac:dyDescent="0.25">
      <c r="A617">
        <v>616</v>
      </c>
      <c r="B617">
        <v>2025</v>
      </c>
      <c r="C617">
        <v>10</v>
      </c>
      <c r="D617" t="s">
        <v>266</v>
      </c>
      <c r="E617">
        <v>31</v>
      </c>
      <c r="F617">
        <v>9</v>
      </c>
      <c r="G617" t="s">
        <v>535</v>
      </c>
      <c r="H617" s="154">
        <v>0.79166666666666674</v>
      </c>
      <c r="I617" s="154">
        <v>0.79166666666666674</v>
      </c>
      <c r="J617" s="154">
        <v>0.79166666666666674</v>
      </c>
      <c r="K617" s="154">
        <v>0.79166666666666674</v>
      </c>
      <c r="L617" s="154">
        <v>0.79166666666666674</v>
      </c>
      <c r="M617" s="154">
        <v>0.79166666666666674</v>
      </c>
      <c r="N617" s="154">
        <v>0.79166666666666674</v>
      </c>
      <c r="O617" s="154">
        <v>0.79166666666666674</v>
      </c>
      <c r="P617" s="154">
        <v>0.79166666666666674</v>
      </c>
      <c r="Q617" s="154">
        <v>0.79166666666666674</v>
      </c>
      <c r="R617" s="154">
        <v>0.79166666666666674</v>
      </c>
      <c r="S617" s="154">
        <v>0.79166666666666674</v>
      </c>
      <c r="T617" s="154">
        <v>0.79166666666666674</v>
      </c>
      <c r="U617" s="154">
        <v>0.79166666666666674</v>
      </c>
      <c r="V617" s="154">
        <v>0.79166666666666674</v>
      </c>
      <c r="W617" s="154">
        <v>0.79166666666666674</v>
      </c>
      <c r="X617" s="154">
        <v>0.79166666666666674</v>
      </c>
      <c r="Y617" s="154">
        <v>0.79166666666666674</v>
      </c>
      <c r="Z617" s="154" t="s">
        <v>424</v>
      </c>
      <c r="AA617" s="154">
        <v>0.79166666666666674</v>
      </c>
      <c r="AB617" s="154">
        <v>0.79166666666666674</v>
      </c>
      <c r="AC617" s="154">
        <v>0.79166666666666674</v>
      </c>
      <c r="AD617" s="154">
        <v>0.79166666666666674</v>
      </c>
      <c r="AE617" s="154">
        <v>0.79166666666666674</v>
      </c>
      <c r="AF617" s="154">
        <v>0.79166666666666674</v>
      </c>
      <c r="AG617" s="154">
        <v>0.79166666666666674</v>
      </c>
      <c r="AH617" s="154">
        <v>0.79166666666666674</v>
      </c>
      <c r="AI617" s="154">
        <v>0.79166666666666674</v>
      </c>
      <c r="AJ617" s="154">
        <v>0.79166666666666674</v>
      </c>
      <c r="AK617" s="154">
        <v>0.79166666666666674</v>
      </c>
      <c r="AL617" s="154">
        <v>0.79166666666666674</v>
      </c>
      <c r="AM617" cm="1">
        <f t="array" ref="AM617">SUM(_xlfn.LET(_xlpm.r,((IFERROR(H617:AL617-H616:AL616,0))*24)/10,IF(_xlpm.r&gt;1,1,_xlpm.r)))</f>
        <v>30</v>
      </c>
      <c r="AO617" cm="1">
        <f t="array" ref="AO617">SUM(IFERROR(MOD((H617:AL617-H616:AL616)*24,11),""))</f>
        <v>90</v>
      </c>
      <c r="AS617">
        <v>617</v>
      </c>
    </row>
    <row r="618" spans="1:45" hidden="1" x14ac:dyDescent="0.25">
      <c r="A618">
        <v>617</v>
      </c>
      <c r="B618">
        <v>2025</v>
      </c>
      <c r="C618">
        <v>10</v>
      </c>
      <c r="D618" t="s">
        <v>275</v>
      </c>
      <c r="E618">
        <v>31</v>
      </c>
      <c r="F618">
        <v>9</v>
      </c>
      <c r="G618" t="s">
        <v>534</v>
      </c>
      <c r="H618" s="154" t="s">
        <v>479</v>
      </c>
      <c r="I618" s="154" t="s">
        <v>479</v>
      </c>
      <c r="J618" s="154" t="s">
        <v>479</v>
      </c>
      <c r="K618" s="154" t="s">
        <v>479</v>
      </c>
      <c r="L618" s="154" t="s">
        <v>479</v>
      </c>
      <c r="M618" s="154" t="s">
        <v>479</v>
      </c>
      <c r="N618" s="154" t="s">
        <v>479</v>
      </c>
      <c r="O618" s="154" t="s">
        <v>479</v>
      </c>
      <c r="P618" s="154" t="s">
        <v>479</v>
      </c>
      <c r="Q618" s="154" t="s">
        <v>479</v>
      </c>
      <c r="R618" s="154" t="s">
        <v>479</v>
      </c>
      <c r="S618" s="154" t="s">
        <v>479</v>
      </c>
      <c r="T618" s="154" t="s">
        <v>479</v>
      </c>
      <c r="U618" s="154" t="s">
        <v>479</v>
      </c>
      <c r="V618" s="154" t="s">
        <v>479</v>
      </c>
      <c r="W618" s="154" t="s">
        <v>479</v>
      </c>
      <c r="X618" s="154" t="s">
        <v>479</v>
      </c>
      <c r="Y618" s="154" t="s">
        <v>479</v>
      </c>
      <c r="Z618" s="154" t="s">
        <v>479</v>
      </c>
      <c r="AA618" s="154" t="s">
        <v>479</v>
      </c>
      <c r="AB618" s="154" t="s">
        <v>479</v>
      </c>
      <c r="AC618" s="154" t="s">
        <v>479</v>
      </c>
      <c r="AD618" s="154" t="s">
        <v>479</v>
      </c>
      <c r="AE618" s="154" t="s">
        <v>479</v>
      </c>
      <c r="AF618" s="154" t="s">
        <v>479</v>
      </c>
      <c r="AG618" s="154" t="s">
        <v>479</v>
      </c>
      <c r="AH618" s="154" t="s">
        <v>479</v>
      </c>
      <c r="AI618" s="154" t="s">
        <v>479</v>
      </c>
      <c r="AJ618" s="154" t="s">
        <v>479</v>
      </c>
      <c r="AK618" s="154" t="s">
        <v>479</v>
      </c>
      <c r="AL618" s="154" t="s">
        <v>479</v>
      </c>
      <c r="AS618">
        <v>618</v>
      </c>
    </row>
    <row r="619" spans="1:45" hidden="1" x14ac:dyDescent="0.25">
      <c r="A619">
        <v>618</v>
      </c>
      <c r="B619">
        <v>2025</v>
      </c>
      <c r="C619">
        <v>10</v>
      </c>
      <c r="D619" t="s">
        <v>275</v>
      </c>
      <c r="E619">
        <v>31</v>
      </c>
      <c r="F619">
        <v>9</v>
      </c>
      <c r="G619" t="s">
        <v>535</v>
      </c>
      <c r="H619" s="154">
        <v>0.83333333333333326</v>
      </c>
      <c r="I619" s="154">
        <v>0.83333333333333326</v>
      </c>
      <c r="J619" s="154">
        <v>0.83333333333333326</v>
      </c>
      <c r="K619" s="154">
        <v>0.83333333333333326</v>
      </c>
      <c r="L619" s="154">
        <v>0.83333333333333326</v>
      </c>
      <c r="M619" s="154">
        <v>0.83333333333333326</v>
      </c>
      <c r="N619" s="154">
        <v>0.83333333333333326</v>
      </c>
      <c r="O619" s="154">
        <v>0.83333333333333326</v>
      </c>
      <c r="P619" s="154">
        <v>0.83333333333333326</v>
      </c>
      <c r="Q619" s="154">
        <v>0.83333333333333326</v>
      </c>
      <c r="R619" s="154">
        <v>0.83333333333333326</v>
      </c>
      <c r="S619" s="154">
        <v>0.83333333333333326</v>
      </c>
      <c r="T619" s="154">
        <v>0.83333333333333326</v>
      </c>
      <c r="U619" s="154">
        <v>0.83333333333333326</v>
      </c>
      <c r="V619" s="154">
        <v>0.83333333333333326</v>
      </c>
      <c r="W619" s="154">
        <v>0.83333333333333326</v>
      </c>
      <c r="X619" s="154">
        <v>0.83333333333333326</v>
      </c>
      <c r="Y619" s="154">
        <v>0.83333333333333326</v>
      </c>
      <c r="Z619" s="154">
        <v>0.83333333333333326</v>
      </c>
      <c r="AA619" s="154">
        <v>0.83333333333333326</v>
      </c>
      <c r="AB619" s="154">
        <v>0.83333333333333326</v>
      </c>
      <c r="AC619" s="154">
        <v>0.83333333333333326</v>
      </c>
      <c r="AD619" s="154">
        <v>0.83333333333333326</v>
      </c>
      <c r="AE619" s="154">
        <v>0.83333333333333326</v>
      </c>
      <c r="AF619" s="154">
        <v>0.83333333333333326</v>
      </c>
      <c r="AG619" s="154">
        <v>0.83333333333333326</v>
      </c>
      <c r="AH619" s="154">
        <v>0.83333333333333326</v>
      </c>
      <c r="AI619" s="154">
        <v>0.83333333333333326</v>
      </c>
      <c r="AJ619" s="154">
        <v>0.83333333333333326</v>
      </c>
      <c r="AK619" s="154">
        <v>0.83333333333333326</v>
      </c>
      <c r="AL619" s="154">
        <v>0.91666666666666674</v>
      </c>
      <c r="AM619" cm="1">
        <f t="array" ref="AM619">SUM(_xlfn.LET(_xlpm.r,((IFERROR(H619:AL619-H618:AL618,0))*24)/10,IF(_xlpm.r&gt;1,1,_xlpm.r)))</f>
        <v>31</v>
      </c>
      <c r="AO619" cm="1">
        <f t="array" ref="AO619">SUM(IFERROR(MOD((H619:AL619-H618:AL618)*24,11),""))</f>
        <v>63.999999999999943</v>
      </c>
      <c r="AS619">
        <v>619</v>
      </c>
    </row>
    <row r="620" spans="1:45" hidden="1" x14ac:dyDescent="0.25">
      <c r="A620">
        <v>619</v>
      </c>
      <c r="B620">
        <v>2025</v>
      </c>
      <c r="C620">
        <v>10</v>
      </c>
      <c r="D620" t="s">
        <v>282</v>
      </c>
      <c r="E620">
        <v>31</v>
      </c>
      <c r="F620">
        <v>9</v>
      </c>
      <c r="G620" t="s">
        <v>534</v>
      </c>
      <c r="H620" s="154" t="s">
        <v>424</v>
      </c>
      <c r="I620" s="154" t="s">
        <v>424</v>
      </c>
      <c r="J620" s="154" t="s">
        <v>424</v>
      </c>
      <c r="K620" s="154" t="s">
        <v>424</v>
      </c>
      <c r="L620" s="154" t="s">
        <v>424</v>
      </c>
      <c r="M620" s="154" t="s">
        <v>424</v>
      </c>
      <c r="N620" s="154" t="s">
        <v>424</v>
      </c>
      <c r="O620" s="154" t="s">
        <v>424</v>
      </c>
      <c r="P620" s="154" t="s">
        <v>424</v>
      </c>
      <c r="Q620" s="154" t="s">
        <v>424</v>
      </c>
      <c r="R620" s="154" t="s">
        <v>424</v>
      </c>
      <c r="S620" s="154" t="s">
        <v>424</v>
      </c>
      <c r="T620" s="154" t="s">
        <v>479</v>
      </c>
      <c r="U620" s="154" t="s">
        <v>479</v>
      </c>
      <c r="V620" s="154" t="s">
        <v>479</v>
      </c>
      <c r="W620" s="154" t="s">
        <v>479</v>
      </c>
      <c r="X620" s="154" t="s">
        <v>479</v>
      </c>
      <c r="Y620" s="154" t="s">
        <v>479</v>
      </c>
      <c r="Z620" s="154" t="s">
        <v>479</v>
      </c>
      <c r="AA620" s="154" t="s">
        <v>479</v>
      </c>
      <c r="AB620" s="154" t="s">
        <v>479</v>
      </c>
      <c r="AC620" s="154" t="s">
        <v>479</v>
      </c>
      <c r="AD620" s="154" t="s">
        <v>479</v>
      </c>
      <c r="AE620" s="154" t="s">
        <v>479</v>
      </c>
      <c r="AF620" s="154" t="s">
        <v>479</v>
      </c>
      <c r="AG620" s="154" t="s">
        <v>479</v>
      </c>
      <c r="AH620" s="154" t="s">
        <v>479</v>
      </c>
      <c r="AI620" s="154" t="s">
        <v>479</v>
      </c>
      <c r="AJ620" s="154" t="s">
        <v>479</v>
      </c>
      <c r="AK620" s="154" t="s">
        <v>479</v>
      </c>
      <c r="AL620" s="154" t="s">
        <v>479</v>
      </c>
      <c r="AS620">
        <v>620</v>
      </c>
    </row>
    <row r="621" spans="1:45" hidden="1" x14ac:dyDescent="0.25">
      <c r="A621">
        <v>620</v>
      </c>
      <c r="B621">
        <v>2025</v>
      </c>
      <c r="C621">
        <v>10</v>
      </c>
      <c r="D621" t="s">
        <v>282</v>
      </c>
      <c r="E621">
        <v>31</v>
      </c>
      <c r="F621">
        <v>9</v>
      </c>
      <c r="G621" t="s">
        <v>535</v>
      </c>
      <c r="H621" s="154" t="s">
        <v>424</v>
      </c>
      <c r="I621" s="154" t="s">
        <v>424</v>
      </c>
      <c r="J621" s="154" t="s">
        <v>424</v>
      </c>
      <c r="K621" s="154" t="s">
        <v>424</v>
      </c>
      <c r="L621" s="154" t="s">
        <v>424</v>
      </c>
      <c r="M621" s="154" t="s">
        <v>424</v>
      </c>
      <c r="N621" s="154" t="s">
        <v>424</v>
      </c>
      <c r="O621" s="154" t="s">
        <v>424</v>
      </c>
      <c r="P621" s="154" t="s">
        <v>424</v>
      </c>
      <c r="Q621" s="154" t="s">
        <v>424</v>
      </c>
      <c r="R621" s="154" t="s">
        <v>424</v>
      </c>
      <c r="S621" s="154" t="s">
        <v>424</v>
      </c>
      <c r="T621" s="154">
        <v>0.83333333333333326</v>
      </c>
      <c r="U621" s="154">
        <v>0.83333333333333326</v>
      </c>
      <c r="V621" s="154">
        <v>0.83333333333333326</v>
      </c>
      <c r="W621" s="154">
        <v>0.83333333333333326</v>
      </c>
      <c r="X621" s="154">
        <v>0.83333333333333326</v>
      </c>
      <c r="Y621" s="154">
        <v>0.83333333333333326</v>
      </c>
      <c r="Z621" s="154">
        <v>0.83333333333333326</v>
      </c>
      <c r="AA621" s="154">
        <v>0.83333333333333326</v>
      </c>
      <c r="AB621" s="154">
        <v>0.83333333333333326</v>
      </c>
      <c r="AC621" s="154">
        <v>0.91666666666666674</v>
      </c>
      <c r="AD621" s="154">
        <v>0.83333333333333326</v>
      </c>
      <c r="AE621" s="154">
        <v>0.91666666666666674</v>
      </c>
      <c r="AF621" s="154">
        <v>0.83333333333333326</v>
      </c>
      <c r="AG621" s="154">
        <v>0.83333333333333326</v>
      </c>
      <c r="AH621" s="154">
        <v>0.875</v>
      </c>
      <c r="AI621" s="154">
        <v>0.83333333333333326</v>
      </c>
      <c r="AJ621" s="154">
        <v>0.83333333333333326</v>
      </c>
      <c r="AK621" s="154">
        <v>0.83333333333333326</v>
      </c>
      <c r="AL621" s="154">
        <v>0.91666666666666674</v>
      </c>
      <c r="AM621" cm="1">
        <f t="array" ref="AM621">SUM(_xlfn.LET(_xlpm.r,((IFERROR(H621:AL621-H620:AL620,0))*24)/10,IF(_xlpm.r&gt;1,1,_xlpm.r)))</f>
        <v>19</v>
      </c>
      <c r="AO621" cm="1">
        <f t="array" ref="AO621">SUM(IFERROR(MOD((H621:AL621-H620:AL620)*24,11),""))</f>
        <v>44.999999999999957</v>
      </c>
      <c r="AS621">
        <v>621</v>
      </c>
    </row>
    <row r="622" spans="1:45" hidden="1" x14ac:dyDescent="0.25">
      <c r="A622">
        <v>621</v>
      </c>
      <c r="B622">
        <v>2025</v>
      </c>
      <c r="C622">
        <v>10</v>
      </c>
      <c r="D622" t="s">
        <v>285</v>
      </c>
      <c r="E622">
        <v>31</v>
      </c>
      <c r="F622">
        <v>9</v>
      </c>
      <c r="G622" t="s">
        <v>534</v>
      </c>
      <c r="H622" s="154" t="s">
        <v>424</v>
      </c>
      <c r="I622" s="154" t="s">
        <v>424</v>
      </c>
      <c r="J622" s="154" t="s">
        <v>424</v>
      </c>
      <c r="K622" s="154" t="s">
        <v>424</v>
      </c>
      <c r="L622" s="154" t="s">
        <v>424</v>
      </c>
      <c r="M622" s="154" t="s">
        <v>424</v>
      </c>
      <c r="N622" s="154" t="s">
        <v>424</v>
      </c>
      <c r="O622" s="154" t="s">
        <v>424</v>
      </c>
      <c r="P622" s="154" t="s">
        <v>424</v>
      </c>
      <c r="Q622" s="154" t="s">
        <v>424</v>
      </c>
      <c r="R622" s="154" t="s">
        <v>424</v>
      </c>
      <c r="S622" s="154" t="s">
        <v>424</v>
      </c>
      <c r="T622" s="154" t="s">
        <v>424</v>
      </c>
      <c r="U622" s="154" t="s">
        <v>424</v>
      </c>
      <c r="V622" s="154" t="s">
        <v>424</v>
      </c>
      <c r="W622" s="154" t="s">
        <v>424</v>
      </c>
      <c r="X622" s="154" t="s">
        <v>424</v>
      </c>
      <c r="Y622" s="154" t="s">
        <v>424</v>
      </c>
      <c r="Z622" s="154" t="s">
        <v>424</v>
      </c>
      <c r="AA622" s="154" t="s">
        <v>424</v>
      </c>
      <c r="AB622" s="154" t="s">
        <v>424</v>
      </c>
      <c r="AC622" s="154" t="s">
        <v>424</v>
      </c>
      <c r="AD622" s="154" t="s">
        <v>424</v>
      </c>
      <c r="AE622" s="154" t="s">
        <v>424</v>
      </c>
      <c r="AF622" s="154" t="s">
        <v>424</v>
      </c>
      <c r="AG622" s="154" t="s">
        <v>424</v>
      </c>
      <c r="AH622" s="154" t="s">
        <v>424</v>
      </c>
      <c r="AI622" s="154" t="s">
        <v>424</v>
      </c>
      <c r="AJ622" s="154" t="s">
        <v>424</v>
      </c>
      <c r="AK622" s="154" t="s">
        <v>479</v>
      </c>
      <c r="AL622" s="154" t="s">
        <v>479</v>
      </c>
      <c r="AS622">
        <v>622</v>
      </c>
    </row>
    <row r="623" spans="1:45" hidden="1" x14ac:dyDescent="0.25">
      <c r="A623">
        <v>622</v>
      </c>
      <c r="B623">
        <v>2025</v>
      </c>
      <c r="C623">
        <v>10</v>
      </c>
      <c r="D623" t="s">
        <v>285</v>
      </c>
      <c r="E623">
        <v>31</v>
      </c>
      <c r="F623">
        <v>9</v>
      </c>
      <c r="G623" t="s">
        <v>535</v>
      </c>
      <c r="H623" s="154" t="s">
        <v>424</v>
      </c>
      <c r="I623" s="154" t="s">
        <v>424</v>
      </c>
      <c r="J623" s="154" t="s">
        <v>424</v>
      </c>
      <c r="K623" s="154" t="s">
        <v>424</v>
      </c>
      <c r="L623" s="154" t="s">
        <v>424</v>
      </c>
      <c r="M623" s="154" t="s">
        <v>424</v>
      </c>
      <c r="N623" s="154" t="s">
        <v>424</v>
      </c>
      <c r="O623" s="154" t="s">
        <v>424</v>
      </c>
      <c r="P623" s="154" t="s">
        <v>424</v>
      </c>
      <c r="Q623" s="154" t="s">
        <v>424</v>
      </c>
      <c r="R623" s="154" t="s">
        <v>424</v>
      </c>
      <c r="S623" s="154" t="s">
        <v>424</v>
      </c>
      <c r="T623" s="154" t="s">
        <v>424</v>
      </c>
      <c r="U623" s="154" t="s">
        <v>424</v>
      </c>
      <c r="V623" s="154" t="s">
        <v>424</v>
      </c>
      <c r="W623" s="154" t="s">
        <v>424</v>
      </c>
      <c r="X623" s="154" t="s">
        <v>424</v>
      </c>
      <c r="Y623" s="154" t="s">
        <v>424</v>
      </c>
      <c r="Z623" s="154" t="s">
        <v>424</v>
      </c>
      <c r="AA623" s="154" t="s">
        <v>424</v>
      </c>
      <c r="AB623" s="154" t="s">
        <v>424</v>
      </c>
      <c r="AC623" s="154" t="s">
        <v>424</v>
      </c>
      <c r="AD623" s="154" t="s">
        <v>424</v>
      </c>
      <c r="AE623" s="154" t="s">
        <v>424</v>
      </c>
      <c r="AF623" s="154" t="s">
        <v>424</v>
      </c>
      <c r="AG623" s="154" t="s">
        <v>424</v>
      </c>
      <c r="AH623" s="154" t="s">
        <v>424</v>
      </c>
      <c r="AI623" s="154" t="s">
        <v>424</v>
      </c>
      <c r="AJ623" s="154" t="s">
        <v>424</v>
      </c>
      <c r="AK623" s="154">
        <v>0.75</v>
      </c>
      <c r="AL623" s="154">
        <v>0.75</v>
      </c>
      <c r="AM623" cm="1">
        <f t="array" ref="AM623">SUM(_xlfn.LET(_xlpm.r,((IFERROR(H623:AL623-H622:AL622,0))*24)/10,IF(_xlpm.r&gt;1,1,_xlpm.r)))</f>
        <v>2</v>
      </c>
      <c r="AO623" cm="1">
        <f t="array" ref="AO623">SUM(IFERROR(MOD((H623:AL623-H622:AL622)*24,11),""))</f>
        <v>0</v>
      </c>
      <c r="AS623">
        <v>623</v>
      </c>
    </row>
    <row r="624" spans="1:45" hidden="1" x14ac:dyDescent="0.25">
      <c r="A624">
        <v>623</v>
      </c>
      <c r="B624">
        <v>2025</v>
      </c>
      <c r="C624">
        <v>10</v>
      </c>
      <c r="D624" t="s">
        <v>265</v>
      </c>
      <c r="E624">
        <v>31</v>
      </c>
      <c r="F624">
        <v>9</v>
      </c>
      <c r="G624" t="s">
        <v>534</v>
      </c>
      <c r="H624" s="154" t="s">
        <v>479</v>
      </c>
      <c r="I624" s="154" t="s">
        <v>479</v>
      </c>
      <c r="J624" s="154" t="s">
        <v>479</v>
      </c>
      <c r="K624" s="154" t="s">
        <v>479</v>
      </c>
      <c r="L624" s="154" t="s">
        <v>479</v>
      </c>
      <c r="M624" s="154" t="s">
        <v>479</v>
      </c>
      <c r="N624" s="154" t="s">
        <v>479</v>
      </c>
      <c r="O624" s="154" t="s">
        <v>479</v>
      </c>
      <c r="P624" s="154" t="s">
        <v>479</v>
      </c>
      <c r="Q624" s="154" t="s">
        <v>479</v>
      </c>
      <c r="R624" s="154" t="s">
        <v>479</v>
      </c>
      <c r="S624" s="154" t="s">
        <v>479</v>
      </c>
      <c r="T624" s="154" t="s">
        <v>479</v>
      </c>
      <c r="U624" s="154" t="s">
        <v>479</v>
      </c>
      <c r="V624" s="154" t="s">
        <v>479</v>
      </c>
      <c r="W624" s="154" t="s">
        <v>479</v>
      </c>
      <c r="X624" s="154" t="s">
        <v>479</v>
      </c>
      <c r="Y624" s="154" t="s">
        <v>479</v>
      </c>
      <c r="Z624" s="154" t="s">
        <v>479</v>
      </c>
      <c r="AA624" s="154" t="s">
        <v>479</v>
      </c>
      <c r="AB624" s="154" t="s">
        <v>479</v>
      </c>
      <c r="AC624" s="154" t="s">
        <v>479</v>
      </c>
      <c r="AD624" s="154" t="s">
        <v>479</v>
      </c>
      <c r="AE624" s="154" t="s">
        <v>479</v>
      </c>
      <c r="AF624" s="154" t="s">
        <v>479</v>
      </c>
      <c r="AG624" s="154" t="s">
        <v>424</v>
      </c>
      <c r="AH624" s="154" t="s">
        <v>479</v>
      </c>
      <c r="AI624" s="154" t="s">
        <v>479</v>
      </c>
      <c r="AJ624" s="154" t="s">
        <v>479</v>
      </c>
      <c r="AK624" s="154" t="s">
        <v>479</v>
      </c>
      <c r="AL624" s="154" t="s">
        <v>479</v>
      </c>
      <c r="AS624">
        <v>624</v>
      </c>
    </row>
    <row r="625" spans="1:45" hidden="1" x14ac:dyDescent="0.25">
      <c r="A625">
        <v>624</v>
      </c>
      <c r="B625">
        <v>2025</v>
      </c>
      <c r="C625">
        <v>10</v>
      </c>
      <c r="D625" t="s">
        <v>265</v>
      </c>
      <c r="E625">
        <v>31</v>
      </c>
      <c r="F625">
        <v>9</v>
      </c>
      <c r="G625" t="s">
        <v>535</v>
      </c>
      <c r="H625" s="154">
        <v>1</v>
      </c>
      <c r="I625" s="154">
        <v>0.79166666666666674</v>
      </c>
      <c r="J625" s="154">
        <v>1</v>
      </c>
      <c r="K625" s="154">
        <v>0.83333333333333326</v>
      </c>
      <c r="L625" s="154">
        <v>0.75</v>
      </c>
      <c r="M625" s="154">
        <v>0.79166666666666674</v>
      </c>
      <c r="N625" s="154">
        <v>1</v>
      </c>
      <c r="O625" s="154">
        <v>1</v>
      </c>
      <c r="P625" s="154">
        <v>0.79166666666666674</v>
      </c>
      <c r="Q625" s="154">
        <v>1</v>
      </c>
      <c r="R625" s="154">
        <v>0.83333333333333326</v>
      </c>
      <c r="S625" s="154">
        <v>0.75</v>
      </c>
      <c r="T625" s="154">
        <v>0.79166666666666674</v>
      </c>
      <c r="U625" s="154">
        <v>0.91666666666666674</v>
      </c>
      <c r="V625" s="154">
        <v>0.79166666666666674</v>
      </c>
      <c r="W625" s="154">
        <v>0.95833333333333326</v>
      </c>
      <c r="X625" s="154">
        <v>0.75</v>
      </c>
      <c r="Y625" s="154">
        <v>0.91666666666666674</v>
      </c>
      <c r="Z625" s="154">
        <v>0.75</v>
      </c>
      <c r="AA625" s="154">
        <v>0.83333333333333326</v>
      </c>
      <c r="AB625" s="154">
        <v>1</v>
      </c>
      <c r="AC625" s="154">
        <v>1</v>
      </c>
      <c r="AD625" s="154">
        <v>0.875</v>
      </c>
      <c r="AE625" s="154">
        <v>0.75</v>
      </c>
      <c r="AF625" s="154">
        <v>1</v>
      </c>
      <c r="AG625" s="154" t="s">
        <v>424</v>
      </c>
      <c r="AH625" s="154">
        <v>0.83333333333333326</v>
      </c>
      <c r="AI625" s="154">
        <v>1</v>
      </c>
      <c r="AJ625" s="154">
        <v>0.75</v>
      </c>
      <c r="AK625" s="154">
        <v>1</v>
      </c>
      <c r="AL625" s="154">
        <v>0.75</v>
      </c>
      <c r="AM625" cm="1">
        <f t="array" ref="AM625">SUM(_xlfn.LET(_xlpm.r,((IFERROR(H625:AL625-H624:AL624,0))*24)/10,IF(_xlpm.r&gt;1,1,_xlpm.r)))</f>
        <v>30</v>
      </c>
      <c r="AO625" cm="1">
        <f t="array" ref="AO625">SUM(IFERROR(MOD((H625:AL625-H624:AL624)*24,11),""))</f>
        <v>89</v>
      </c>
      <c r="AS625">
        <v>625</v>
      </c>
    </row>
    <row r="626" spans="1:45" hidden="1" x14ac:dyDescent="0.25">
      <c r="A626">
        <v>625</v>
      </c>
      <c r="B626">
        <v>2025</v>
      </c>
      <c r="C626">
        <v>10</v>
      </c>
      <c r="D626" t="s">
        <v>261</v>
      </c>
      <c r="E626">
        <v>31</v>
      </c>
      <c r="F626">
        <v>9</v>
      </c>
      <c r="G626" t="s">
        <v>534</v>
      </c>
      <c r="H626" s="154">
        <v>0.29166666666666669</v>
      </c>
      <c r="I626" s="154">
        <v>0.29166666666666669</v>
      </c>
      <c r="J626" s="154">
        <v>0.29166666666666669</v>
      </c>
      <c r="K626" s="154">
        <v>0.29166666666666669</v>
      </c>
      <c r="L626" s="154">
        <v>0.29166666666666669</v>
      </c>
      <c r="M626" s="154">
        <v>0.29166666666666669</v>
      </c>
      <c r="N626" s="154">
        <v>0.29166666666666669</v>
      </c>
      <c r="O626" s="154">
        <v>0.29166666666666669</v>
      </c>
      <c r="P626" s="154">
        <v>0.29166666666666669</v>
      </c>
      <c r="Q626" s="154">
        <v>0.29166666666666669</v>
      </c>
      <c r="R626" s="154">
        <v>0.29166666666666669</v>
      </c>
      <c r="S626" s="154">
        <v>0.29166666666666669</v>
      </c>
      <c r="T626" s="154">
        <v>0.29166666666666669</v>
      </c>
      <c r="U626" s="154">
        <v>0.29166666666666669</v>
      </c>
      <c r="V626" s="154">
        <v>0.29166666666666669</v>
      </c>
      <c r="W626" s="154">
        <v>0.29166666666666669</v>
      </c>
      <c r="X626" s="154">
        <v>0.29166666666666669</v>
      </c>
      <c r="Y626" s="154">
        <v>0.29166666666666669</v>
      </c>
      <c r="Z626" s="154">
        <v>0.29166666666666669</v>
      </c>
      <c r="AA626" s="154">
        <v>0.29166666666666669</v>
      </c>
      <c r="AB626" s="154">
        <v>0.29166666666666669</v>
      </c>
      <c r="AC626" s="154">
        <v>0.29166666666666669</v>
      </c>
      <c r="AD626" s="154">
        <v>0.29166666666666669</v>
      </c>
      <c r="AE626" s="154">
        <v>0.29166666666666669</v>
      </c>
      <c r="AF626" s="154">
        <v>0.29166666666666669</v>
      </c>
      <c r="AG626" s="154">
        <v>0.29166666666666669</v>
      </c>
      <c r="AH626" s="154">
        <v>0.29166666666666669</v>
      </c>
      <c r="AI626" s="154">
        <v>0.29166666666666669</v>
      </c>
      <c r="AJ626" s="154">
        <v>0.29166666666666669</v>
      </c>
      <c r="AK626" s="154">
        <v>0.29166666666666669</v>
      </c>
      <c r="AL626" s="154" t="s">
        <v>424</v>
      </c>
      <c r="AS626">
        <v>626</v>
      </c>
    </row>
    <row r="627" spans="1:45" hidden="1" x14ac:dyDescent="0.25">
      <c r="A627">
        <v>626</v>
      </c>
      <c r="B627">
        <v>2025</v>
      </c>
      <c r="C627">
        <v>10</v>
      </c>
      <c r="D627" t="s">
        <v>261</v>
      </c>
      <c r="E627">
        <v>31</v>
      </c>
      <c r="F627">
        <v>9</v>
      </c>
      <c r="G627" t="s">
        <v>535</v>
      </c>
      <c r="H627" s="154">
        <v>0.75</v>
      </c>
      <c r="I627" s="154">
        <v>0.75</v>
      </c>
      <c r="J627" s="154">
        <v>0.75</v>
      </c>
      <c r="K627" s="154">
        <v>0.75</v>
      </c>
      <c r="L627" s="154">
        <v>0.75</v>
      </c>
      <c r="M627" s="154">
        <v>0.75</v>
      </c>
      <c r="N627" s="154">
        <v>0.75</v>
      </c>
      <c r="O627" s="154">
        <v>0.75</v>
      </c>
      <c r="P627" s="154">
        <v>0.75</v>
      </c>
      <c r="Q627" s="154">
        <v>0.75</v>
      </c>
      <c r="R627" s="154">
        <v>0.75</v>
      </c>
      <c r="S627" s="154">
        <v>0.75</v>
      </c>
      <c r="T627" s="154">
        <v>0.75</v>
      </c>
      <c r="U627" s="154">
        <v>0.75</v>
      </c>
      <c r="V627" s="154">
        <v>0.75</v>
      </c>
      <c r="W627" s="154">
        <v>0.75</v>
      </c>
      <c r="X627" s="154">
        <v>0.75</v>
      </c>
      <c r="Y627" s="154">
        <v>0.75</v>
      </c>
      <c r="Z627" s="154">
        <v>0.75</v>
      </c>
      <c r="AA627" s="154">
        <v>0.75</v>
      </c>
      <c r="AB627" s="154">
        <v>0.75</v>
      </c>
      <c r="AC627" s="154">
        <v>0.75</v>
      </c>
      <c r="AD627" s="154">
        <v>0.75</v>
      </c>
      <c r="AE627" s="154">
        <v>0.75</v>
      </c>
      <c r="AF627" s="154">
        <v>0.75</v>
      </c>
      <c r="AG627" s="154">
        <v>0.75</v>
      </c>
      <c r="AH627" s="154">
        <v>0.75</v>
      </c>
      <c r="AI627" s="154">
        <v>0.75</v>
      </c>
      <c r="AJ627" s="154">
        <v>0.75</v>
      </c>
      <c r="AK627" s="154">
        <v>0.75</v>
      </c>
      <c r="AL627" s="154" t="s">
        <v>424</v>
      </c>
      <c r="AM627" cm="1">
        <f t="array" ref="AM627">SUM(_xlfn.LET(_xlpm.r,((IFERROR(H627:AL627-H626:AL626,0))*24)/10,IF(_xlpm.r&gt;1,1,_xlpm.r)))</f>
        <v>30</v>
      </c>
      <c r="AO627" cm="1">
        <f t="array" ref="AO627">SUM(IFERROR(MOD((H627:AL627-H626:AL626)*24,11),""))</f>
        <v>0</v>
      </c>
      <c r="AS627">
        <v>627</v>
      </c>
    </row>
    <row r="628" spans="1:45" hidden="1" x14ac:dyDescent="0.25">
      <c r="A628">
        <v>627</v>
      </c>
      <c r="B628">
        <v>2025</v>
      </c>
      <c r="C628">
        <v>10</v>
      </c>
      <c r="D628" t="s">
        <v>286</v>
      </c>
      <c r="E628">
        <v>31</v>
      </c>
      <c r="F628">
        <v>9</v>
      </c>
      <c r="G628" t="s">
        <v>534</v>
      </c>
      <c r="H628" s="154" t="s">
        <v>424</v>
      </c>
      <c r="I628" s="154" t="s">
        <v>424</v>
      </c>
      <c r="J628" s="154" t="s">
        <v>424</v>
      </c>
      <c r="K628" s="154" t="s">
        <v>424</v>
      </c>
      <c r="L628" s="154" t="s">
        <v>424</v>
      </c>
      <c r="M628" s="154" t="s">
        <v>424</v>
      </c>
      <c r="N628" s="154" t="s">
        <v>424</v>
      </c>
      <c r="O628" s="154" t="s">
        <v>424</v>
      </c>
      <c r="P628" s="154" t="s">
        <v>424</v>
      </c>
      <c r="Q628" s="154" t="s">
        <v>424</v>
      </c>
      <c r="R628" s="154" t="s">
        <v>424</v>
      </c>
      <c r="S628" s="154" t="s">
        <v>424</v>
      </c>
      <c r="T628" s="154" t="s">
        <v>424</v>
      </c>
      <c r="U628" s="154" t="s">
        <v>424</v>
      </c>
      <c r="V628" s="154" t="s">
        <v>424</v>
      </c>
      <c r="W628" s="154" t="s">
        <v>424</v>
      </c>
      <c r="X628" s="154" t="s">
        <v>424</v>
      </c>
      <c r="Y628" s="154" t="s">
        <v>424</v>
      </c>
      <c r="Z628" s="154" t="s">
        <v>424</v>
      </c>
      <c r="AA628" s="154" t="s">
        <v>424</v>
      </c>
      <c r="AB628" s="154" t="s">
        <v>424</v>
      </c>
      <c r="AC628" s="154" t="s">
        <v>424</v>
      </c>
      <c r="AD628" s="154" t="s">
        <v>424</v>
      </c>
      <c r="AE628" s="154" t="s">
        <v>424</v>
      </c>
      <c r="AF628" s="154" t="s">
        <v>479</v>
      </c>
      <c r="AG628" s="154" t="s">
        <v>479</v>
      </c>
      <c r="AH628" s="154" t="s">
        <v>479</v>
      </c>
      <c r="AI628" s="154" t="s">
        <v>479</v>
      </c>
      <c r="AJ628" s="154" t="s">
        <v>479</v>
      </c>
      <c r="AK628" s="154" t="s">
        <v>479</v>
      </c>
      <c r="AL628" s="154" t="s">
        <v>479</v>
      </c>
      <c r="AS628">
        <v>628</v>
      </c>
    </row>
    <row r="629" spans="1:45" hidden="1" x14ac:dyDescent="0.25">
      <c r="A629">
        <v>628</v>
      </c>
      <c r="B629">
        <v>2025</v>
      </c>
      <c r="C629">
        <v>10</v>
      </c>
      <c r="D629" t="s">
        <v>286</v>
      </c>
      <c r="E629">
        <v>31</v>
      </c>
      <c r="F629">
        <v>9</v>
      </c>
      <c r="G629" t="s">
        <v>535</v>
      </c>
      <c r="H629" s="154" t="s">
        <v>424</v>
      </c>
      <c r="I629" s="154" t="s">
        <v>424</v>
      </c>
      <c r="J629" s="154" t="s">
        <v>424</v>
      </c>
      <c r="K629" s="154" t="s">
        <v>424</v>
      </c>
      <c r="L629" s="154" t="s">
        <v>424</v>
      </c>
      <c r="M629" s="154" t="s">
        <v>424</v>
      </c>
      <c r="N629" s="154" t="s">
        <v>424</v>
      </c>
      <c r="O629" s="154" t="s">
        <v>424</v>
      </c>
      <c r="P629" s="154" t="s">
        <v>424</v>
      </c>
      <c r="Q629" s="154" t="s">
        <v>424</v>
      </c>
      <c r="R629" s="154" t="s">
        <v>424</v>
      </c>
      <c r="S629" s="154" t="s">
        <v>424</v>
      </c>
      <c r="T629" s="154" t="s">
        <v>424</v>
      </c>
      <c r="U629" s="154" t="s">
        <v>424</v>
      </c>
      <c r="V629" s="154" t="s">
        <v>424</v>
      </c>
      <c r="W629" s="154" t="s">
        <v>424</v>
      </c>
      <c r="X629" s="154" t="s">
        <v>424</v>
      </c>
      <c r="Y629" s="154" t="s">
        <v>424</v>
      </c>
      <c r="Z629" s="154" t="s">
        <v>424</v>
      </c>
      <c r="AA629" s="154" t="s">
        <v>424</v>
      </c>
      <c r="AB629" s="154" t="s">
        <v>424</v>
      </c>
      <c r="AC629" s="154" t="s">
        <v>424</v>
      </c>
      <c r="AD629" s="154" t="s">
        <v>424</v>
      </c>
      <c r="AE629" s="154" t="s">
        <v>424</v>
      </c>
      <c r="AF629" s="154">
        <v>0.75</v>
      </c>
      <c r="AG629" s="154">
        <v>0.75</v>
      </c>
      <c r="AH629" s="154">
        <v>0.75</v>
      </c>
      <c r="AI629" s="154">
        <v>0.75</v>
      </c>
      <c r="AJ629" s="154">
        <v>0.75</v>
      </c>
      <c r="AK629" s="154">
        <v>0.75</v>
      </c>
      <c r="AL629" s="154">
        <v>0.75</v>
      </c>
      <c r="AM629" cm="1">
        <f t="array" ref="AM629">SUM(_xlfn.LET(_xlpm.r,((IFERROR(H629:AL629-H628:AL628,0))*24)/10,IF(_xlpm.r&gt;1,1,_xlpm.r)))</f>
        <v>7</v>
      </c>
      <c r="AO629" cm="1">
        <f t="array" ref="AO629">SUM(IFERROR(MOD((H629:AL629-H628:AL628)*24,11),""))</f>
        <v>0</v>
      </c>
      <c r="AS629">
        <v>629</v>
      </c>
    </row>
    <row r="630" spans="1:45" hidden="1" x14ac:dyDescent="0.25">
      <c r="A630">
        <v>629</v>
      </c>
      <c r="B630">
        <v>2025</v>
      </c>
      <c r="C630">
        <v>10</v>
      </c>
      <c r="D630" t="s">
        <v>255</v>
      </c>
      <c r="E630">
        <v>31</v>
      </c>
      <c r="F630">
        <v>9</v>
      </c>
      <c r="G630" t="s">
        <v>534</v>
      </c>
      <c r="H630" s="154" t="s">
        <v>479</v>
      </c>
      <c r="I630" s="154" t="s">
        <v>479</v>
      </c>
      <c r="J630" s="154" t="s">
        <v>479</v>
      </c>
      <c r="K630" s="154" t="s">
        <v>479</v>
      </c>
      <c r="L630" s="154" t="s">
        <v>479</v>
      </c>
      <c r="M630" s="154" t="s">
        <v>479</v>
      </c>
      <c r="N630" s="154" t="s">
        <v>479</v>
      </c>
      <c r="O630" s="154" t="s">
        <v>479</v>
      </c>
      <c r="P630" s="154" t="s">
        <v>479</v>
      </c>
      <c r="Q630" s="154" t="s">
        <v>479</v>
      </c>
      <c r="R630" s="154" t="s">
        <v>479</v>
      </c>
      <c r="S630" s="154" t="s">
        <v>479</v>
      </c>
      <c r="T630" s="154" t="s">
        <v>479</v>
      </c>
      <c r="U630" s="154" t="s">
        <v>479</v>
      </c>
      <c r="V630" s="154" t="s">
        <v>479</v>
      </c>
      <c r="W630" s="154" t="s">
        <v>479</v>
      </c>
      <c r="X630" s="154" t="s">
        <v>479</v>
      </c>
      <c r="Y630" s="154" t="s">
        <v>479</v>
      </c>
      <c r="Z630" s="154" t="s">
        <v>479</v>
      </c>
      <c r="AA630" s="154" t="s">
        <v>479</v>
      </c>
      <c r="AB630" s="154" t="s">
        <v>479</v>
      </c>
      <c r="AC630" s="154" t="s">
        <v>479</v>
      </c>
      <c r="AD630" s="154" t="s">
        <v>479</v>
      </c>
      <c r="AE630" s="154" t="s">
        <v>479</v>
      </c>
      <c r="AF630" s="154" t="s">
        <v>479</v>
      </c>
      <c r="AG630" s="154" t="s">
        <v>479</v>
      </c>
      <c r="AH630" s="154" t="s">
        <v>479</v>
      </c>
      <c r="AI630" s="154" t="s">
        <v>479</v>
      </c>
      <c r="AJ630" s="154" t="s">
        <v>479</v>
      </c>
      <c r="AK630" s="154" t="s">
        <v>479</v>
      </c>
      <c r="AL630" s="154" t="s">
        <v>479</v>
      </c>
      <c r="AS630">
        <v>630</v>
      </c>
    </row>
    <row r="631" spans="1:45" hidden="1" x14ac:dyDescent="0.25">
      <c r="A631">
        <v>630</v>
      </c>
      <c r="B631">
        <v>2025</v>
      </c>
      <c r="C631">
        <v>10</v>
      </c>
      <c r="D631" t="s">
        <v>255</v>
      </c>
      <c r="E631">
        <v>31</v>
      </c>
      <c r="F631">
        <v>9</v>
      </c>
      <c r="G631" t="s">
        <v>535</v>
      </c>
      <c r="H631" s="154">
        <v>0.25</v>
      </c>
      <c r="I631" s="154">
        <v>0.25</v>
      </c>
      <c r="J631" s="154">
        <v>0.25</v>
      </c>
      <c r="K631" s="154">
        <v>0.25</v>
      </c>
      <c r="L631" s="154">
        <v>0.25</v>
      </c>
      <c r="M631" s="154">
        <v>0.25</v>
      </c>
      <c r="N631" s="154">
        <v>0.25</v>
      </c>
      <c r="O631" s="154">
        <v>0.25</v>
      </c>
      <c r="P631" s="154">
        <v>0.25</v>
      </c>
      <c r="Q631" s="154">
        <v>0.25</v>
      </c>
      <c r="R631" s="154">
        <v>0.25</v>
      </c>
      <c r="S631" s="154">
        <v>0.25</v>
      </c>
      <c r="T631" s="154">
        <v>0.25</v>
      </c>
      <c r="U631" s="154">
        <v>0.25</v>
      </c>
      <c r="V631" s="154">
        <v>0.25</v>
      </c>
      <c r="W631" s="154">
        <v>0.25</v>
      </c>
      <c r="X631" s="154">
        <v>0.25</v>
      </c>
      <c r="Y631" s="154">
        <v>0.25</v>
      </c>
      <c r="Z631" s="154">
        <v>0.25</v>
      </c>
      <c r="AA631" s="154">
        <v>0.25</v>
      </c>
      <c r="AB631" s="154">
        <v>0.25</v>
      </c>
      <c r="AC631" s="154">
        <v>0.25</v>
      </c>
      <c r="AD631" s="154">
        <v>0.25</v>
      </c>
      <c r="AE631" s="154">
        <v>0.25</v>
      </c>
      <c r="AF631" s="154">
        <v>0.25</v>
      </c>
      <c r="AG631" s="154">
        <v>0.25</v>
      </c>
      <c r="AH631" s="154">
        <v>0.25</v>
      </c>
      <c r="AI631" s="154">
        <v>0.25</v>
      </c>
      <c r="AJ631" s="154">
        <v>0.25</v>
      </c>
      <c r="AK631" s="154">
        <v>0.25</v>
      </c>
      <c r="AL631" s="154">
        <v>0.25</v>
      </c>
      <c r="AM631" cm="1">
        <f t="array" ref="AM631">_xlfn.LET(_xlpm.r,IFERROR((H631:AL631-H630:AL630)*24,""),SUM(IF(_xlpm.r="",0,IF(_xlpm.r=-1,0,1))))</f>
        <v>0</v>
      </c>
      <c r="AN631" cm="1">
        <f t="array" ref="AN631">_xlfn.LET(_xlpm.r,IFERROR((H631:AL631-H630:AL630)*24,""),SUM(IF(_xlpm.r="",0,IF(_xlpm.r=-1,1,0))))</f>
        <v>31</v>
      </c>
      <c r="AO631" cm="1">
        <f t="array" ref="AO631">_xlfn.LET(_xlpm.r,SUM(IFERROR(MOD((H631:AL631-H630:AL630)*24,11),"")),_xlpm.r-AN631*10)</f>
        <v>0</v>
      </c>
      <c r="AS631">
        <v>631</v>
      </c>
    </row>
    <row r="632" spans="1:45" hidden="1" x14ac:dyDescent="0.25">
      <c r="A632">
        <v>631</v>
      </c>
      <c r="B632">
        <v>2025</v>
      </c>
      <c r="C632">
        <v>10</v>
      </c>
      <c r="D632" t="s">
        <v>277</v>
      </c>
      <c r="E632">
        <v>31</v>
      </c>
      <c r="F632">
        <v>9</v>
      </c>
      <c r="G632" t="s">
        <v>534</v>
      </c>
      <c r="H632" s="154" t="s">
        <v>510</v>
      </c>
      <c r="I632" s="154" t="s">
        <v>510</v>
      </c>
      <c r="J632" s="154" t="s">
        <v>510</v>
      </c>
      <c r="K632" s="154" t="s">
        <v>510</v>
      </c>
      <c r="L632" s="154" t="s">
        <v>424</v>
      </c>
      <c r="M632" s="154" t="s">
        <v>510</v>
      </c>
      <c r="N632" s="154" t="s">
        <v>510</v>
      </c>
      <c r="O632" s="154" t="s">
        <v>510</v>
      </c>
      <c r="P632" s="154" t="s">
        <v>510</v>
      </c>
      <c r="Q632" s="154" t="s">
        <v>510</v>
      </c>
      <c r="R632" s="154" t="s">
        <v>510</v>
      </c>
      <c r="S632" s="154" t="s">
        <v>510</v>
      </c>
      <c r="T632" s="154" t="s">
        <v>510</v>
      </c>
      <c r="U632" s="154" t="s">
        <v>510</v>
      </c>
      <c r="V632" s="154" t="s">
        <v>510</v>
      </c>
      <c r="W632" s="154" t="s">
        <v>510</v>
      </c>
      <c r="X632" s="154" t="s">
        <v>510</v>
      </c>
      <c r="Y632" s="154" t="s">
        <v>510</v>
      </c>
      <c r="Z632" s="154" t="s">
        <v>510</v>
      </c>
      <c r="AA632" s="154" t="s">
        <v>510</v>
      </c>
      <c r="AB632" s="154" t="s">
        <v>510</v>
      </c>
      <c r="AC632" s="154" t="s">
        <v>510</v>
      </c>
      <c r="AD632" s="154" t="s">
        <v>510</v>
      </c>
      <c r="AE632" s="154" t="s">
        <v>510</v>
      </c>
      <c r="AF632" s="154" t="s">
        <v>510</v>
      </c>
      <c r="AG632" s="154" t="s">
        <v>510</v>
      </c>
      <c r="AH632" s="154" t="s">
        <v>510</v>
      </c>
      <c r="AI632" s="154" t="s">
        <v>510</v>
      </c>
      <c r="AJ632" s="154" t="s">
        <v>510</v>
      </c>
      <c r="AK632" s="154" t="s">
        <v>510</v>
      </c>
      <c r="AL632" s="154" t="s">
        <v>510</v>
      </c>
      <c r="AS632">
        <v>632</v>
      </c>
    </row>
    <row r="633" spans="1:45" hidden="1" x14ac:dyDescent="0.25">
      <c r="A633">
        <v>632</v>
      </c>
      <c r="B633">
        <v>2025</v>
      </c>
      <c r="C633">
        <v>10</v>
      </c>
      <c r="D633" t="s">
        <v>277</v>
      </c>
      <c r="E633">
        <v>31</v>
      </c>
      <c r="F633">
        <v>9</v>
      </c>
      <c r="G633" t="s">
        <v>535</v>
      </c>
      <c r="H633" s="154">
        <v>0.70833333333333326</v>
      </c>
      <c r="I633" s="154">
        <v>0.70833333333333326</v>
      </c>
      <c r="J633" s="154">
        <v>0.70833333333333326</v>
      </c>
      <c r="K633" s="154">
        <v>0.70833333333333326</v>
      </c>
      <c r="L633" s="154" t="s">
        <v>424</v>
      </c>
      <c r="M633" s="154">
        <v>0.70833333333333326</v>
      </c>
      <c r="N633" s="154">
        <v>0.70833333333333326</v>
      </c>
      <c r="O633" s="154">
        <v>0.70833333333333326</v>
      </c>
      <c r="P633" s="154">
        <v>0.70833333333333326</v>
      </c>
      <c r="Q633" s="154">
        <v>0.70833333333333326</v>
      </c>
      <c r="R633" s="154">
        <v>0.70833333333333326</v>
      </c>
      <c r="S633" s="154">
        <v>0.70833333333333326</v>
      </c>
      <c r="T633" s="154">
        <v>0.70833333333333326</v>
      </c>
      <c r="U633" s="154">
        <v>0.70833333333333326</v>
      </c>
      <c r="V633" s="154">
        <v>0.70833333333333326</v>
      </c>
      <c r="W633" s="154">
        <v>0.70833333333333326</v>
      </c>
      <c r="X633" s="154">
        <v>0.70833333333333326</v>
      </c>
      <c r="Y633" s="154">
        <v>0.70833333333333326</v>
      </c>
      <c r="Z633" s="154">
        <v>0.70833333333333326</v>
      </c>
      <c r="AA633" s="154">
        <v>0.70833333333333326</v>
      </c>
      <c r="AB633" s="154">
        <v>0.70833333333333326</v>
      </c>
      <c r="AC633" s="154">
        <v>0.70833333333333326</v>
      </c>
      <c r="AD633" s="154">
        <v>0.70833333333333326</v>
      </c>
      <c r="AE633" s="154">
        <v>0.70833333333333326</v>
      </c>
      <c r="AF633" s="154">
        <v>0.70833333333333326</v>
      </c>
      <c r="AG633" s="154">
        <v>0.70833333333333326</v>
      </c>
      <c r="AH633" s="154">
        <v>0.70833333333333326</v>
      </c>
      <c r="AI633" s="154">
        <v>0.70833333333333326</v>
      </c>
      <c r="AJ633" s="154">
        <v>0.70833333333333326</v>
      </c>
      <c r="AK633" s="154">
        <v>0.70833333333333326</v>
      </c>
      <c r="AL633" s="154">
        <v>0.70833333333333326</v>
      </c>
      <c r="AM633" cm="1">
        <f t="array" ref="AM633">SUM(_xlfn.LET(_xlpm.r,((IFERROR(H633:AL633-H632:AL632,0))*24)/10,IF(_xlpm.r&gt;1,1,_xlpm.r)))</f>
        <v>30</v>
      </c>
      <c r="AS633">
        <v>633</v>
      </c>
    </row>
    <row r="634" spans="1:45" hidden="1" x14ac:dyDescent="0.25">
      <c r="A634">
        <v>633</v>
      </c>
      <c r="B634">
        <v>2025</v>
      </c>
      <c r="C634">
        <v>10</v>
      </c>
      <c r="D634" t="s">
        <v>276</v>
      </c>
      <c r="E634">
        <v>31</v>
      </c>
      <c r="F634">
        <v>9</v>
      </c>
      <c r="G634" t="s">
        <v>534</v>
      </c>
      <c r="H634" s="154" t="s">
        <v>479</v>
      </c>
      <c r="I634" s="154" t="s">
        <v>479</v>
      </c>
      <c r="J634" s="154" t="s">
        <v>479</v>
      </c>
      <c r="K634" s="154" t="s">
        <v>479</v>
      </c>
      <c r="L634" s="154" t="s">
        <v>424</v>
      </c>
      <c r="M634" s="154" t="s">
        <v>479</v>
      </c>
      <c r="N634" s="154" t="s">
        <v>479</v>
      </c>
      <c r="O634" s="154" t="s">
        <v>479</v>
      </c>
      <c r="P634" s="154" t="s">
        <v>479</v>
      </c>
      <c r="Q634" s="154" t="s">
        <v>479</v>
      </c>
      <c r="R634" s="154" t="s">
        <v>479</v>
      </c>
      <c r="S634" s="154" t="s">
        <v>424</v>
      </c>
      <c r="T634" s="154" t="s">
        <v>479</v>
      </c>
      <c r="U634" s="154" t="s">
        <v>479</v>
      </c>
      <c r="V634" s="154" t="s">
        <v>479</v>
      </c>
      <c r="W634" s="154" t="s">
        <v>479</v>
      </c>
      <c r="X634" s="154" t="s">
        <v>479</v>
      </c>
      <c r="Y634" s="154" t="s">
        <v>479</v>
      </c>
      <c r="Z634" s="154" t="s">
        <v>479</v>
      </c>
      <c r="AA634" s="154" t="s">
        <v>479</v>
      </c>
      <c r="AB634" s="154" t="s">
        <v>479</v>
      </c>
      <c r="AC634" s="154" t="s">
        <v>479</v>
      </c>
      <c r="AD634" s="154" t="s">
        <v>479</v>
      </c>
      <c r="AE634" s="154" t="s">
        <v>479</v>
      </c>
      <c r="AF634" s="154" t="s">
        <v>479</v>
      </c>
      <c r="AG634" s="154" t="s">
        <v>479</v>
      </c>
      <c r="AH634" s="154" t="s">
        <v>424</v>
      </c>
      <c r="AI634" s="154" t="s">
        <v>479</v>
      </c>
      <c r="AJ634" s="154" t="s">
        <v>479</v>
      </c>
      <c r="AK634" s="154" t="s">
        <v>479</v>
      </c>
      <c r="AL634" s="154" t="s">
        <v>479</v>
      </c>
      <c r="AS634">
        <v>634</v>
      </c>
    </row>
    <row r="635" spans="1:45" hidden="1" x14ac:dyDescent="0.25">
      <c r="A635">
        <v>634</v>
      </c>
      <c r="B635">
        <v>2025</v>
      </c>
      <c r="C635">
        <v>10</v>
      </c>
      <c r="D635" t="s">
        <v>276</v>
      </c>
      <c r="E635">
        <v>31</v>
      </c>
      <c r="F635">
        <v>9</v>
      </c>
      <c r="G635" t="s">
        <v>535</v>
      </c>
      <c r="H635" s="154">
        <v>0.75</v>
      </c>
      <c r="I635" s="154">
        <v>0.75</v>
      </c>
      <c r="J635" s="154">
        <v>0.75</v>
      </c>
      <c r="K635" s="154">
        <v>0.75</v>
      </c>
      <c r="L635" s="154" t="s">
        <v>424</v>
      </c>
      <c r="M635" s="154">
        <v>0.83333333333333326</v>
      </c>
      <c r="N635" s="154">
        <v>0.83333333333333326</v>
      </c>
      <c r="O635" s="154">
        <v>0.75</v>
      </c>
      <c r="P635" s="154">
        <v>0.75</v>
      </c>
      <c r="Q635" s="154">
        <v>0.75</v>
      </c>
      <c r="R635" s="154">
        <v>0.75</v>
      </c>
      <c r="S635" s="154" t="s">
        <v>424</v>
      </c>
      <c r="T635" s="154">
        <v>0.75</v>
      </c>
      <c r="U635" s="154">
        <v>0.75</v>
      </c>
      <c r="V635" s="154">
        <v>0.75</v>
      </c>
      <c r="W635" s="154">
        <v>0.75</v>
      </c>
      <c r="X635" s="154">
        <v>0.75</v>
      </c>
      <c r="Y635" s="154">
        <v>0.83333333333333326</v>
      </c>
      <c r="Z635" s="154">
        <v>0.75</v>
      </c>
      <c r="AA635" s="154">
        <v>0.75</v>
      </c>
      <c r="AB635" s="154">
        <v>0.75</v>
      </c>
      <c r="AC635" s="154">
        <v>0.83333333333333326</v>
      </c>
      <c r="AD635" s="154">
        <v>0.75</v>
      </c>
      <c r="AE635" s="154">
        <v>0.75</v>
      </c>
      <c r="AF635" s="154">
        <v>0.75</v>
      </c>
      <c r="AG635" s="154">
        <v>0.75</v>
      </c>
      <c r="AH635" s="154" t="s">
        <v>424</v>
      </c>
      <c r="AI635" s="154">
        <v>0.75</v>
      </c>
      <c r="AJ635" s="154">
        <v>0.75</v>
      </c>
      <c r="AK635" s="154">
        <v>0.75</v>
      </c>
      <c r="AL635" s="154">
        <v>0.75</v>
      </c>
      <c r="AM635" cm="1">
        <f t="array" ref="AM635">SUM(_xlfn.LET(_xlpm.r,((IFERROR(H635:AL635-H634:AL634,0))*24)/10,IF(_xlpm.r&gt;1,1,_xlpm.r)))</f>
        <v>28</v>
      </c>
      <c r="AO635" cm="1">
        <f t="array" ref="AO635">SUM(IFERROR(MOD((H635:AL635-H634:AL634)*24,11),""))</f>
        <v>7.9999999999999858</v>
      </c>
      <c r="AS635">
        <v>635</v>
      </c>
    </row>
    <row r="636" spans="1:45" hidden="1" x14ac:dyDescent="0.25">
      <c r="A636">
        <v>635</v>
      </c>
      <c r="B636">
        <v>2025</v>
      </c>
      <c r="C636">
        <v>10</v>
      </c>
      <c r="D636" t="s">
        <v>271</v>
      </c>
      <c r="E636">
        <v>31</v>
      </c>
      <c r="F636">
        <v>9</v>
      </c>
      <c r="G636" t="s">
        <v>534</v>
      </c>
      <c r="H636" s="154" t="s">
        <v>479</v>
      </c>
      <c r="I636" s="154" t="s">
        <v>479</v>
      </c>
      <c r="J636" s="154" t="s">
        <v>479</v>
      </c>
      <c r="K636" s="154" t="s">
        <v>479</v>
      </c>
      <c r="L636" s="154" t="s">
        <v>479</v>
      </c>
      <c r="M636" s="154" t="s">
        <v>479</v>
      </c>
      <c r="N636" s="154" t="s">
        <v>479</v>
      </c>
      <c r="O636" s="154" t="s">
        <v>479</v>
      </c>
      <c r="P636" s="154" t="s">
        <v>479</v>
      </c>
      <c r="Q636" s="154" t="s">
        <v>479</v>
      </c>
      <c r="R636" s="154" t="s">
        <v>479</v>
      </c>
      <c r="S636" s="154" t="s">
        <v>424</v>
      </c>
      <c r="T636" s="154" t="s">
        <v>479</v>
      </c>
      <c r="U636" s="154" t="s">
        <v>479</v>
      </c>
      <c r="V636" s="154" t="s">
        <v>479</v>
      </c>
      <c r="W636" s="154" t="s">
        <v>479</v>
      </c>
      <c r="X636" s="154" t="s">
        <v>479</v>
      </c>
      <c r="Y636" s="154" t="s">
        <v>479</v>
      </c>
      <c r="Z636" s="154" t="s">
        <v>479</v>
      </c>
      <c r="AA636" s="154" t="s">
        <v>479</v>
      </c>
      <c r="AB636" s="154" t="s">
        <v>479</v>
      </c>
      <c r="AC636" s="154" t="s">
        <v>479</v>
      </c>
      <c r="AD636" s="154" t="s">
        <v>479</v>
      </c>
      <c r="AE636" s="154" t="s">
        <v>479</v>
      </c>
      <c r="AF636" s="154" t="s">
        <v>479</v>
      </c>
      <c r="AG636" s="154" t="s">
        <v>424</v>
      </c>
      <c r="AH636" s="154" t="s">
        <v>479</v>
      </c>
      <c r="AI636" s="154" t="s">
        <v>479</v>
      </c>
      <c r="AJ636" s="154" t="s">
        <v>479</v>
      </c>
      <c r="AK636" s="154" t="s">
        <v>479</v>
      </c>
      <c r="AL636" s="154" t="s">
        <v>479</v>
      </c>
      <c r="AS636">
        <v>636</v>
      </c>
    </row>
    <row r="637" spans="1:45" hidden="1" x14ac:dyDescent="0.25">
      <c r="A637">
        <v>636</v>
      </c>
      <c r="B637">
        <v>2025</v>
      </c>
      <c r="C637">
        <v>10</v>
      </c>
      <c r="D637" t="s">
        <v>271</v>
      </c>
      <c r="E637">
        <v>31</v>
      </c>
      <c r="F637">
        <v>9</v>
      </c>
      <c r="G637" t="s">
        <v>535</v>
      </c>
      <c r="H637" s="154">
        <v>0.75</v>
      </c>
      <c r="I637" s="154">
        <v>0.75</v>
      </c>
      <c r="J637" s="154">
        <v>0.75</v>
      </c>
      <c r="K637" s="154">
        <v>0.75</v>
      </c>
      <c r="L637" s="154">
        <v>0.75</v>
      </c>
      <c r="M637" s="154">
        <v>0.75</v>
      </c>
      <c r="N637" s="154">
        <v>0.75</v>
      </c>
      <c r="O637" s="154">
        <v>0.75</v>
      </c>
      <c r="P637" s="154">
        <v>0.75</v>
      </c>
      <c r="Q637" s="154">
        <v>0.75</v>
      </c>
      <c r="R637" s="154">
        <v>0.75</v>
      </c>
      <c r="S637" s="154" t="s">
        <v>424</v>
      </c>
      <c r="T637" s="154">
        <v>0.75</v>
      </c>
      <c r="U637" s="154">
        <v>0.75</v>
      </c>
      <c r="V637" s="154">
        <v>0.75</v>
      </c>
      <c r="W637" s="154">
        <v>0.75</v>
      </c>
      <c r="X637" s="154">
        <v>0.75</v>
      </c>
      <c r="Y637" s="154">
        <v>0.75</v>
      </c>
      <c r="Z637" s="154">
        <v>0.75</v>
      </c>
      <c r="AA637" s="154">
        <v>0.75</v>
      </c>
      <c r="AB637" s="154">
        <v>0.75</v>
      </c>
      <c r="AC637" s="154">
        <v>0.75</v>
      </c>
      <c r="AD637" s="154">
        <v>0.75</v>
      </c>
      <c r="AE637" s="154">
        <v>0.75</v>
      </c>
      <c r="AF637" s="154">
        <v>0.75</v>
      </c>
      <c r="AG637" s="154" t="s">
        <v>424</v>
      </c>
      <c r="AH637" s="154">
        <v>0.75</v>
      </c>
      <c r="AI637" s="154">
        <v>0.75</v>
      </c>
      <c r="AJ637" s="154">
        <v>0.75</v>
      </c>
      <c r="AK637" s="154">
        <v>0.75</v>
      </c>
      <c r="AL637" s="154">
        <v>0.75</v>
      </c>
      <c r="AM637" cm="1">
        <f t="array" ref="AM637">SUM(_xlfn.LET(_xlpm.r,((IFERROR(H637:AL637-H636:AL636,0))*24)/10,IF(_xlpm.r&gt;1,1,_xlpm.r)))</f>
        <v>29</v>
      </c>
      <c r="AO637" cm="1">
        <f t="array" ref="AO637">SUM(IFERROR(MOD((H637:AL637-H636:AL636)*24,11),""))</f>
        <v>0</v>
      </c>
      <c r="AS637">
        <v>637</v>
      </c>
    </row>
    <row r="638" spans="1:45" hidden="1" x14ac:dyDescent="0.25">
      <c r="A638">
        <v>637</v>
      </c>
      <c r="B638">
        <v>2025</v>
      </c>
      <c r="C638">
        <v>10</v>
      </c>
      <c r="D638" t="s">
        <v>264</v>
      </c>
      <c r="E638">
        <v>31</v>
      </c>
      <c r="F638">
        <v>9</v>
      </c>
      <c r="G638" t="s">
        <v>534</v>
      </c>
      <c r="H638" s="154" t="s">
        <v>479</v>
      </c>
      <c r="I638" s="154" t="s">
        <v>479</v>
      </c>
      <c r="J638" s="154" t="s">
        <v>479</v>
      </c>
      <c r="K638" s="154" t="s">
        <v>479</v>
      </c>
      <c r="L638" s="154" t="s">
        <v>479</v>
      </c>
      <c r="M638" s="154" t="s">
        <v>479</v>
      </c>
      <c r="N638" s="154" t="s">
        <v>479</v>
      </c>
      <c r="O638" s="154" t="s">
        <v>479</v>
      </c>
      <c r="P638" s="154" t="s">
        <v>479</v>
      </c>
      <c r="Q638" s="154" t="s">
        <v>479</v>
      </c>
      <c r="R638" s="154" t="s">
        <v>479</v>
      </c>
      <c r="S638" s="154" t="s">
        <v>479</v>
      </c>
      <c r="T638" s="154" t="s">
        <v>479</v>
      </c>
      <c r="U638" s="154" t="s">
        <v>479</v>
      </c>
      <c r="V638" s="154" t="s">
        <v>479</v>
      </c>
      <c r="W638" s="154" t="s">
        <v>479</v>
      </c>
      <c r="X638" s="154" t="s">
        <v>479</v>
      </c>
      <c r="Y638" s="154" t="s">
        <v>479</v>
      </c>
      <c r="Z638" s="154" t="s">
        <v>479</v>
      </c>
      <c r="AA638" s="154" t="s">
        <v>479</v>
      </c>
      <c r="AB638" s="154" t="s">
        <v>479</v>
      </c>
      <c r="AC638" s="154" t="s">
        <v>479</v>
      </c>
      <c r="AD638" s="154" t="s">
        <v>479</v>
      </c>
      <c r="AE638" s="154" t="s">
        <v>479</v>
      </c>
      <c r="AF638" s="154" t="s">
        <v>479</v>
      </c>
      <c r="AG638" s="154" t="s">
        <v>479</v>
      </c>
      <c r="AH638" s="154" t="s">
        <v>479</v>
      </c>
      <c r="AI638" s="154" t="s">
        <v>479</v>
      </c>
      <c r="AJ638" s="154" t="s">
        <v>479</v>
      </c>
      <c r="AK638" s="154" t="s">
        <v>479</v>
      </c>
      <c r="AL638" s="154" t="s">
        <v>479</v>
      </c>
      <c r="AS638">
        <v>638</v>
      </c>
    </row>
    <row r="639" spans="1:45" hidden="1" x14ac:dyDescent="0.25">
      <c r="A639">
        <v>638</v>
      </c>
      <c r="B639">
        <v>2025</v>
      </c>
      <c r="C639">
        <v>10</v>
      </c>
      <c r="D639" t="s">
        <v>264</v>
      </c>
      <c r="E639">
        <v>31</v>
      </c>
      <c r="F639">
        <v>9</v>
      </c>
      <c r="G639" t="s">
        <v>535</v>
      </c>
      <c r="H639" s="154" t="s">
        <v>480</v>
      </c>
      <c r="I639" s="154" t="s">
        <v>480</v>
      </c>
      <c r="J639" s="154" t="s">
        <v>480</v>
      </c>
      <c r="K639" s="154" t="s">
        <v>480</v>
      </c>
      <c r="L639" s="154" t="s">
        <v>480</v>
      </c>
      <c r="M639" s="154" t="s">
        <v>480</v>
      </c>
      <c r="N639" s="154" t="s">
        <v>480</v>
      </c>
      <c r="O639" s="154" t="s">
        <v>480</v>
      </c>
      <c r="P639" s="154" t="s">
        <v>480</v>
      </c>
      <c r="Q639" s="154" t="s">
        <v>480</v>
      </c>
      <c r="R639" s="154" t="s">
        <v>480</v>
      </c>
      <c r="S639" s="154" t="s">
        <v>480</v>
      </c>
      <c r="T639" s="154" t="s">
        <v>480</v>
      </c>
      <c r="U639" s="154" t="s">
        <v>480</v>
      </c>
      <c r="V639" s="154" t="s">
        <v>480</v>
      </c>
      <c r="W639" s="154" t="s">
        <v>480</v>
      </c>
      <c r="X639" s="154" t="s">
        <v>480</v>
      </c>
      <c r="Y639" s="154" t="s">
        <v>480</v>
      </c>
      <c r="Z639" s="154" t="s">
        <v>480</v>
      </c>
      <c r="AA639" s="154" t="s">
        <v>480</v>
      </c>
      <c r="AB639" s="154" t="s">
        <v>480</v>
      </c>
      <c r="AC639" s="154" t="s">
        <v>480</v>
      </c>
      <c r="AD639" s="154" t="s">
        <v>480</v>
      </c>
      <c r="AE639" s="154" t="s">
        <v>480</v>
      </c>
      <c r="AF639" s="154" t="s">
        <v>480</v>
      </c>
      <c r="AG639" s="154" t="s">
        <v>480</v>
      </c>
      <c r="AH639" s="154" t="s">
        <v>480</v>
      </c>
      <c r="AI639" s="154" t="s">
        <v>480</v>
      </c>
      <c r="AJ639" s="154" t="s">
        <v>480</v>
      </c>
      <c r="AK639" s="154" t="s">
        <v>480</v>
      </c>
      <c r="AL639" s="154" t="s">
        <v>480</v>
      </c>
      <c r="AM639" cm="1">
        <f t="array" ref="AM639">SUM(_xlfn.LET(_xlpm.r,((IFERROR(H639:AL639-H638:AL638,0))*24)/10,IF(_xlpm.r&gt;1,1,_xlpm.r)))</f>
        <v>31</v>
      </c>
      <c r="AO639" cm="1">
        <f t="array" ref="AO639">SUM(IFERROR(MOD((H639:AL639-H638:AL638)*24,11),""))</f>
        <v>0</v>
      </c>
      <c r="AS639">
        <v>639</v>
      </c>
    </row>
    <row r="640" spans="1:45" hidden="1" x14ac:dyDescent="0.25">
      <c r="A640">
        <v>639</v>
      </c>
      <c r="B640">
        <v>2025</v>
      </c>
      <c r="C640">
        <v>10</v>
      </c>
      <c r="D640" t="s">
        <v>281</v>
      </c>
      <c r="E640">
        <v>31</v>
      </c>
      <c r="F640">
        <v>9</v>
      </c>
      <c r="G640" t="s">
        <v>534</v>
      </c>
      <c r="H640" s="154" t="s">
        <v>424</v>
      </c>
      <c r="I640" s="154" t="s">
        <v>530</v>
      </c>
      <c r="J640" s="154" t="s">
        <v>480</v>
      </c>
      <c r="K640" s="154" t="s">
        <v>480</v>
      </c>
      <c r="L640" s="154" t="s">
        <v>480</v>
      </c>
      <c r="M640" s="154" t="s">
        <v>480</v>
      </c>
      <c r="N640" s="154" t="s">
        <v>480</v>
      </c>
      <c r="O640" s="154" t="s">
        <v>480</v>
      </c>
      <c r="P640" s="154" t="s">
        <v>480</v>
      </c>
      <c r="Q640" s="154" t="s">
        <v>479</v>
      </c>
      <c r="R640" s="154" t="s">
        <v>480</v>
      </c>
      <c r="S640" s="154" t="s">
        <v>479</v>
      </c>
      <c r="T640" s="154" t="s">
        <v>480</v>
      </c>
      <c r="U640" s="154" t="s">
        <v>480</v>
      </c>
      <c r="V640" s="154" t="s">
        <v>480</v>
      </c>
      <c r="W640" s="154" t="s">
        <v>480</v>
      </c>
      <c r="X640" s="154" t="s">
        <v>480</v>
      </c>
      <c r="Y640" s="154" t="s">
        <v>480</v>
      </c>
      <c r="Z640" s="154" t="s">
        <v>480</v>
      </c>
      <c r="AA640" s="154" t="s">
        <v>480</v>
      </c>
      <c r="AB640" s="154" t="s">
        <v>480</v>
      </c>
      <c r="AC640" s="154" t="s">
        <v>479</v>
      </c>
      <c r="AD640" s="154" t="s">
        <v>531</v>
      </c>
      <c r="AE640" s="154" t="s">
        <v>480</v>
      </c>
      <c r="AF640" s="154" t="s">
        <v>480</v>
      </c>
      <c r="AG640" s="154" t="s">
        <v>480</v>
      </c>
      <c r="AH640" s="154" t="s">
        <v>480</v>
      </c>
      <c r="AI640" s="154" t="s">
        <v>480</v>
      </c>
      <c r="AJ640" s="154" t="s">
        <v>480</v>
      </c>
      <c r="AK640" s="154" t="s">
        <v>480</v>
      </c>
      <c r="AL640" s="154" t="s">
        <v>480</v>
      </c>
      <c r="AS640">
        <v>640</v>
      </c>
    </row>
    <row r="641" spans="1:45" hidden="1" x14ac:dyDescent="0.25">
      <c r="A641">
        <v>640</v>
      </c>
      <c r="B641">
        <v>2025</v>
      </c>
      <c r="C641">
        <v>10</v>
      </c>
      <c r="D641" t="s">
        <v>281</v>
      </c>
      <c r="E641">
        <v>31</v>
      </c>
      <c r="F641">
        <v>9</v>
      </c>
      <c r="G641" t="s">
        <v>535</v>
      </c>
      <c r="H641" s="154" t="s">
        <v>424</v>
      </c>
      <c r="I641" s="154">
        <v>0.84722222222222221</v>
      </c>
      <c r="J641" s="154">
        <v>1.25</v>
      </c>
      <c r="K641" s="154">
        <v>1.25</v>
      </c>
      <c r="L641" s="154">
        <v>1.25</v>
      </c>
      <c r="M641" s="154">
        <v>1.2083333333333333</v>
      </c>
      <c r="N641" s="154">
        <v>1.25</v>
      </c>
      <c r="O641" s="154">
        <v>1.25</v>
      </c>
      <c r="P641" s="154">
        <v>1.25</v>
      </c>
      <c r="Q641" s="154">
        <v>0.79166666666666674</v>
      </c>
      <c r="R641" s="154">
        <v>1.25</v>
      </c>
      <c r="S641" s="154">
        <v>0.79166666666666674</v>
      </c>
      <c r="T641" s="154">
        <v>1.4166666666666667</v>
      </c>
      <c r="U641" s="154">
        <v>1.375</v>
      </c>
      <c r="V641" s="154">
        <v>1.25</v>
      </c>
      <c r="W641" s="154">
        <v>1.2083333333333333</v>
      </c>
      <c r="X641" s="154">
        <v>1.25</v>
      </c>
      <c r="Y641" s="154">
        <v>1.25</v>
      </c>
      <c r="Z641" s="154">
        <v>1.25</v>
      </c>
      <c r="AA641" s="154">
        <v>1.25</v>
      </c>
      <c r="AB641" s="154">
        <v>1.25</v>
      </c>
      <c r="AC641" s="154">
        <v>0.83333333333333326</v>
      </c>
      <c r="AD641" s="154">
        <v>1.25</v>
      </c>
      <c r="AE641" s="154">
        <v>1.25</v>
      </c>
      <c r="AF641" s="154">
        <v>1.25</v>
      </c>
      <c r="AG641" s="154">
        <v>1.25</v>
      </c>
      <c r="AH641" s="154">
        <v>1.25</v>
      </c>
      <c r="AI641" s="154">
        <v>1.3333333333333333</v>
      </c>
      <c r="AJ641" s="154">
        <v>1.25</v>
      </c>
      <c r="AK641" s="154">
        <v>1.25</v>
      </c>
      <c r="AL641" s="154">
        <v>1.25</v>
      </c>
      <c r="AM641" cm="1">
        <f t="array" ref="AM641">SUM(_xlfn.LET(_xlpm.r,((IFERROR(H641:AL641-H640:AL640,0))*24)/10,IF(_xlpm.r&gt;1,1,_xlpm.r)))</f>
        <v>30</v>
      </c>
      <c r="AO641" cm="1">
        <f t="array" ref="AO641">SUM(IFERROR((H641:AL641-H640:AL640)*24-11,""))</f>
        <v>41</v>
      </c>
      <c r="AS641">
        <v>641</v>
      </c>
    </row>
    <row r="642" spans="1:45" hidden="1" x14ac:dyDescent="0.25">
      <c r="A642">
        <v>641</v>
      </c>
      <c r="B642">
        <v>2025</v>
      </c>
      <c r="C642">
        <v>10</v>
      </c>
      <c r="D642" t="s">
        <v>273</v>
      </c>
      <c r="E642">
        <v>31</v>
      </c>
      <c r="F642">
        <v>9</v>
      </c>
      <c r="G642" t="s">
        <v>534</v>
      </c>
      <c r="H642" s="154" t="s">
        <v>479</v>
      </c>
      <c r="I642" s="154" t="s">
        <v>479</v>
      </c>
      <c r="J642" s="154" t="s">
        <v>479</v>
      </c>
      <c r="K642" s="154" t="s">
        <v>479</v>
      </c>
      <c r="L642" s="154" t="s">
        <v>479</v>
      </c>
      <c r="M642" s="154" t="s">
        <v>479</v>
      </c>
      <c r="N642" s="154" t="s">
        <v>479</v>
      </c>
      <c r="O642" s="154" t="s">
        <v>479</v>
      </c>
      <c r="P642" s="154" t="s">
        <v>479</v>
      </c>
      <c r="Q642" s="154" t="s">
        <v>479</v>
      </c>
      <c r="R642" s="154" t="s">
        <v>479</v>
      </c>
      <c r="S642" s="154" t="s">
        <v>479</v>
      </c>
      <c r="T642" s="154" t="s">
        <v>479</v>
      </c>
      <c r="U642" s="154" t="s">
        <v>479</v>
      </c>
      <c r="V642" s="154" t="s">
        <v>479</v>
      </c>
      <c r="W642" s="154" t="s">
        <v>479</v>
      </c>
      <c r="X642" s="154" t="s">
        <v>479</v>
      </c>
      <c r="Y642" s="154" t="s">
        <v>479</v>
      </c>
      <c r="Z642" s="154" t="s">
        <v>479</v>
      </c>
      <c r="AA642" s="154" t="s">
        <v>479</v>
      </c>
      <c r="AB642" s="154" t="s">
        <v>479</v>
      </c>
      <c r="AC642" s="154" t="s">
        <v>479</v>
      </c>
      <c r="AD642" s="154" t="s">
        <v>479</v>
      </c>
      <c r="AE642" s="154" t="s">
        <v>479</v>
      </c>
      <c r="AF642" s="154" t="s">
        <v>479</v>
      </c>
      <c r="AG642" s="154" t="s">
        <v>479</v>
      </c>
      <c r="AH642" s="154" t="s">
        <v>479</v>
      </c>
      <c r="AI642" s="154" t="s">
        <v>479</v>
      </c>
      <c r="AJ642" s="154" t="s">
        <v>479</v>
      </c>
      <c r="AK642" s="154" t="s">
        <v>479</v>
      </c>
      <c r="AL642" s="154" t="s">
        <v>479</v>
      </c>
      <c r="AS642">
        <v>642</v>
      </c>
    </row>
    <row r="643" spans="1:45" hidden="1" x14ac:dyDescent="0.25">
      <c r="A643">
        <v>642</v>
      </c>
      <c r="B643">
        <v>2025</v>
      </c>
      <c r="C643">
        <v>10</v>
      </c>
      <c r="D643" t="s">
        <v>273</v>
      </c>
      <c r="E643">
        <v>31</v>
      </c>
      <c r="F643">
        <v>9</v>
      </c>
      <c r="G643" t="s">
        <v>535</v>
      </c>
      <c r="H643" s="154">
        <v>0.75</v>
      </c>
      <c r="I643" s="154">
        <v>1.2083333333333333</v>
      </c>
      <c r="J643" s="154">
        <v>0.75</v>
      </c>
      <c r="K643" s="154">
        <v>0.75</v>
      </c>
      <c r="L643" s="154">
        <v>0.75</v>
      </c>
      <c r="M643" s="154">
        <v>0.75</v>
      </c>
      <c r="N643" s="154">
        <v>0.75</v>
      </c>
      <c r="O643" s="154">
        <v>0.75</v>
      </c>
      <c r="P643" s="154">
        <v>0.75</v>
      </c>
      <c r="Q643" s="154">
        <v>0.83333333333333326</v>
      </c>
      <c r="R643" s="154">
        <v>0.75</v>
      </c>
      <c r="S643" s="154">
        <v>0.75</v>
      </c>
      <c r="T643" s="154">
        <v>0.75</v>
      </c>
      <c r="U643" s="154">
        <v>0.75</v>
      </c>
      <c r="V643" s="154">
        <v>0.75</v>
      </c>
      <c r="W643" s="154">
        <v>0.75</v>
      </c>
      <c r="X643" s="154">
        <v>1.2083333333333333</v>
      </c>
      <c r="Y643" s="154">
        <v>0.75</v>
      </c>
      <c r="Z643" s="154">
        <v>0.75</v>
      </c>
      <c r="AA643" s="154">
        <v>0.75</v>
      </c>
      <c r="AB643" s="154">
        <v>0.83333333333333326</v>
      </c>
      <c r="AC643" s="154">
        <v>0.75</v>
      </c>
      <c r="AD643" s="154">
        <v>0.75</v>
      </c>
      <c r="AE643" s="154">
        <v>0.75</v>
      </c>
      <c r="AF643" s="154">
        <v>0.75</v>
      </c>
      <c r="AG643" s="154">
        <v>0.75</v>
      </c>
      <c r="AH643" s="154">
        <v>0.75</v>
      </c>
      <c r="AI643" s="154">
        <v>0.75</v>
      </c>
      <c r="AJ643" s="154">
        <v>0.75</v>
      </c>
      <c r="AK643" s="154">
        <v>0.75</v>
      </c>
      <c r="AL643" s="154">
        <v>0.75</v>
      </c>
      <c r="AM643" cm="1">
        <f t="array" ref="AM643">SUM(_xlfn.LET(_xlpm.r,((IFERROR(H643:AL643-H642:AL642,0))*24)/10,IF(_xlpm.r&gt;1,1,_xlpm.r)))</f>
        <v>31</v>
      </c>
      <c r="AO643" cm="1">
        <f t="array" ref="AO643">SUM(IFERROR(MOD((H643:AL643-H642:AL642)*24,11),""))</f>
        <v>25.999999999999986</v>
      </c>
      <c r="AS643">
        <v>643</v>
      </c>
    </row>
    <row r="644" spans="1:45" hidden="1" x14ac:dyDescent="0.25">
      <c r="A644">
        <v>643</v>
      </c>
      <c r="B644">
        <v>2025</v>
      </c>
      <c r="C644">
        <v>10</v>
      </c>
      <c r="D644" t="s">
        <v>274</v>
      </c>
      <c r="E644">
        <v>31</v>
      </c>
      <c r="F644">
        <v>9</v>
      </c>
      <c r="G644" t="s">
        <v>534</v>
      </c>
      <c r="H644" s="154" t="s">
        <v>479</v>
      </c>
      <c r="I644" s="154" t="s">
        <v>479</v>
      </c>
      <c r="J644" s="154" t="s">
        <v>479</v>
      </c>
      <c r="K644" s="154" t="s">
        <v>479</v>
      </c>
      <c r="L644" s="154" t="s">
        <v>424</v>
      </c>
      <c r="M644" s="154" t="s">
        <v>479</v>
      </c>
      <c r="N644" s="154" t="s">
        <v>479</v>
      </c>
      <c r="O644" s="154" t="s">
        <v>479</v>
      </c>
      <c r="P644" s="154" t="s">
        <v>479</v>
      </c>
      <c r="Q644" s="154" t="s">
        <v>479</v>
      </c>
      <c r="R644" s="154" t="s">
        <v>479</v>
      </c>
      <c r="S644" s="154" t="s">
        <v>479</v>
      </c>
      <c r="T644" s="154" t="s">
        <v>479</v>
      </c>
      <c r="U644" s="154" t="s">
        <v>479</v>
      </c>
      <c r="V644" s="154" t="s">
        <v>479</v>
      </c>
      <c r="W644" s="154" t="s">
        <v>479</v>
      </c>
      <c r="X644" s="154" t="s">
        <v>479</v>
      </c>
      <c r="Y644" s="154" t="s">
        <v>479</v>
      </c>
      <c r="Z644" s="154" t="s">
        <v>479</v>
      </c>
      <c r="AA644" s="154" t="s">
        <v>479</v>
      </c>
      <c r="AB644" s="154" t="s">
        <v>479</v>
      </c>
      <c r="AC644" s="154" t="s">
        <v>479</v>
      </c>
      <c r="AD644" s="154" t="s">
        <v>479</v>
      </c>
      <c r="AE644" s="154" t="s">
        <v>479</v>
      </c>
      <c r="AF644" s="154" t="s">
        <v>479</v>
      </c>
      <c r="AG644" s="154" t="s">
        <v>479</v>
      </c>
      <c r="AH644" s="154" t="s">
        <v>479</v>
      </c>
      <c r="AI644" s="154" t="s">
        <v>479</v>
      </c>
      <c r="AJ644" s="154" t="s">
        <v>479</v>
      </c>
      <c r="AK644" s="154" t="s">
        <v>479</v>
      </c>
      <c r="AL644" s="154" t="s">
        <v>479</v>
      </c>
      <c r="AS644">
        <v>644</v>
      </c>
    </row>
    <row r="645" spans="1:45" hidden="1" x14ac:dyDescent="0.25">
      <c r="A645">
        <v>644</v>
      </c>
      <c r="B645">
        <v>2025</v>
      </c>
      <c r="C645">
        <v>10</v>
      </c>
      <c r="D645" t="s">
        <v>274</v>
      </c>
      <c r="E645">
        <v>31</v>
      </c>
      <c r="F645">
        <v>9</v>
      </c>
      <c r="G645" t="s">
        <v>535</v>
      </c>
      <c r="H645" s="154">
        <v>0.75</v>
      </c>
      <c r="I645" s="154">
        <v>0.75</v>
      </c>
      <c r="J645" s="154">
        <v>0.75</v>
      </c>
      <c r="K645" s="154">
        <v>0.75</v>
      </c>
      <c r="L645" s="154" t="s">
        <v>424</v>
      </c>
      <c r="M645" s="154">
        <v>0.75</v>
      </c>
      <c r="N645" s="154">
        <v>0.75</v>
      </c>
      <c r="O645" s="154">
        <v>0.75</v>
      </c>
      <c r="P645" s="154">
        <v>0.75</v>
      </c>
      <c r="Q645" s="154">
        <v>0.75</v>
      </c>
      <c r="R645" s="154">
        <v>0.75</v>
      </c>
      <c r="S645" s="154">
        <v>0.75</v>
      </c>
      <c r="T645" s="154">
        <v>0.75</v>
      </c>
      <c r="U645" s="154">
        <v>0.75</v>
      </c>
      <c r="V645" s="154">
        <v>0.75</v>
      </c>
      <c r="W645" s="154">
        <v>0.75</v>
      </c>
      <c r="X645" s="154">
        <v>0.75</v>
      </c>
      <c r="Y645" s="154">
        <v>0.75</v>
      </c>
      <c r="Z645" s="154">
        <v>0.75</v>
      </c>
      <c r="AA645" s="154">
        <v>0.75</v>
      </c>
      <c r="AB645" s="154">
        <v>0.75</v>
      </c>
      <c r="AC645" s="154">
        <v>0.75</v>
      </c>
      <c r="AD645" s="154">
        <v>0.75</v>
      </c>
      <c r="AE645" s="154">
        <v>0.75</v>
      </c>
      <c r="AF645" s="154">
        <v>0.75</v>
      </c>
      <c r="AG645" s="154">
        <v>0.75</v>
      </c>
      <c r="AH645" s="154">
        <v>0.75</v>
      </c>
      <c r="AI645" s="154">
        <v>0.75</v>
      </c>
      <c r="AJ645" s="154">
        <v>0.75</v>
      </c>
      <c r="AK645" s="154">
        <v>0.75</v>
      </c>
      <c r="AL645" s="154">
        <v>0.75</v>
      </c>
      <c r="AM645" cm="1">
        <f t="array" ref="AM645">SUM(_xlfn.LET(_xlpm.r,((IFERROR(H645:AL645-H644:AL644,0))*24)/10,IF(_xlpm.r&gt;1,1,_xlpm.r)))</f>
        <v>30</v>
      </c>
      <c r="AO645" cm="1">
        <f t="array" ref="AO645">SUM(IFERROR(MOD((H645:AL645-H644:AL644)*24,11),""))</f>
        <v>0</v>
      </c>
      <c r="AS645">
        <v>645</v>
      </c>
    </row>
    <row r="646" spans="1:45" hidden="1" x14ac:dyDescent="0.25">
      <c r="A646">
        <v>645</v>
      </c>
      <c r="B646">
        <v>2025</v>
      </c>
      <c r="C646">
        <v>10</v>
      </c>
      <c r="D646" t="s">
        <v>262</v>
      </c>
      <c r="E646">
        <v>31</v>
      </c>
      <c r="F646">
        <v>9</v>
      </c>
      <c r="G646" t="s">
        <v>534</v>
      </c>
      <c r="H646" s="154">
        <v>0.29166666666666669</v>
      </c>
      <c r="I646" s="154">
        <v>0.29166666666666669</v>
      </c>
      <c r="J646" s="154">
        <v>0.29166666666666669</v>
      </c>
      <c r="K646" s="154">
        <v>0.29166666666666669</v>
      </c>
      <c r="L646" s="154">
        <v>0.29166666666666669</v>
      </c>
      <c r="M646" s="154">
        <v>0.29166666666666669</v>
      </c>
      <c r="N646" s="154">
        <v>0.29166666666666669</v>
      </c>
      <c r="O646" s="154">
        <v>0.29166666666666669</v>
      </c>
      <c r="P646" s="154">
        <v>0.29166666666666669</v>
      </c>
      <c r="Q646" s="154">
        <v>0.29166666666666669</v>
      </c>
      <c r="R646" s="154">
        <v>0.29166666666666669</v>
      </c>
      <c r="S646" s="154">
        <v>0.29166666666666669</v>
      </c>
      <c r="T646" s="154">
        <v>0.29166666666666669</v>
      </c>
      <c r="U646" s="154">
        <v>0.29166666666666669</v>
      </c>
      <c r="V646" s="154">
        <v>0.29166666666666669</v>
      </c>
      <c r="W646" s="154">
        <v>0.29166666666666669</v>
      </c>
      <c r="X646" s="154">
        <v>0.29166666666666669</v>
      </c>
      <c r="Y646" s="154">
        <v>0.29166666666666669</v>
      </c>
      <c r="Z646" s="154">
        <v>0.29166666666666669</v>
      </c>
      <c r="AA646" s="154">
        <v>0.29166666666666669</v>
      </c>
      <c r="AB646" s="154">
        <v>0.29166666666666669</v>
      </c>
      <c r="AC646" s="154">
        <v>0.29166666666666669</v>
      </c>
      <c r="AD646" s="154">
        <v>0.29166666666666669</v>
      </c>
      <c r="AE646" s="154">
        <v>0.29166666666666669</v>
      </c>
      <c r="AF646" s="154">
        <v>0.29166666666666669</v>
      </c>
      <c r="AG646" s="154">
        <v>0.29166666666666669</v>
      </c>
      <c r="AH646" s="154">
        <v>0.29166666666666669</v>
      </c>
      <c r="AI646" s="154">
        <v>0.29166666666666669</v>
      </c>
      <c r="AJ646" s="154">
        <v>0.29166666666666669</v>
      </c>
      <c r="AK646" s="154">
        <v>0.29166666666666669</v>
      </c>
      <c r="AL646" s="154" t="s">
        <v>424</v>
      </c>
      <c r="AS646">
        <v>646</v>
      </c>
    </row>
    <row r="647" spans="1:45" hidden="1" x14ac:dyDescent="0.25">
      <c r="A647">
        <v>646</v>
      </c>
      <c r="B647">
        <v>2025</v>
      </c>
      <c r="C647">
        <v>10</v>
      </c>
      <c r="D647" t="s">
        <v>262</v>
      </c>
      <c r="E647">
        <v>31</v>
      </c>
      <c r="F647">
        <v>9</v>
      </c>
      <c r="G647" t="s">
        <v>535</v>
      </c>
      <c r="H647" s="154">
        <v>0.75</v>
      </c>
      <c r="I647" s="154">
        <v>0.75</v>
      </c>
      <c r="J647" s="154">
        <v>0.75</v>
      </c>
      <c r="K647" s="154">
        <v>0.75</v>
      </c>
      <c r="L647" s="154">
        <v>0.75</v>
      </c>
      <c r="M647" s="154">
        <v>0.75</v>
      </c>
      <c r="N647" s="154">
        <v>0.75</v>
      </c>
      <c r="O647" s="154">
        <v>0.75</v>
      </c>
      <c r="P647" s="154">
        <v>0.75</v>
      </c>
      <c r="Q647" s="154">
        <v>0.75</v>
      </c>
      <c r="R647" s="154">
        <v>0.75</v>
      </c>
      <c r="S647" s="154">
        <v>0.75</v>
      </c>
      <c r="T647" s="154">
        <v>0.75</v>
      </c>
      <c r="U647" s="154">
        <v>0.75</v>
      </c>
      <c r="V647" s="154">
        <v>0.75</v>
      </c>
      <c r="W647" s="154">
        <v>0.75</v>
      </c>
      <c r="X647" s="154">
        <v>0.75</v>
      </c>
      <c r="Y647" s="154">
        <v>0.75</v>
      </c>
      <c r="Z647" s="154">
        <v>0.75</v>
      </c>
      <c r="AA647" s="154">
        <v>0.75</v>
      </c>
      <c r="AB647" s="154">
        <v>0.75</v>
      </c>
      <c r="AC647" s="154">
        <v>0.75</v>
      </c>
      <c r="AD647" s="154">
        <v>0.75</v>
      </c>
      <c r="AE647" s="154">
        <v>0.75</v>
      </c>
      <c r="AF647" s="154">
        <v>0.75</v>
      </c>
      <c r="AG647" s="154">
        <v>0.75</v>
      </c>
      <c r="AH647" s="154">
        <v>0.75</v>
      </c>
      <c r="AI647" s="154">
        <v>0.75</v>
      </c>
      <c r="AJ647" s="154">
        <v>0.75</v>
      </c>
      <c r="AK647" s="154">
        <v>0.75</v>
      </c>
      <c r="AL647" s="154" t="s">
        <v>424</v>
      </c>
      <c r="AM647" cm="1">
        <f t="array" ref="AM647">SUM(_xlfn.LET(_xlpm.r,((IFERROR(H647:AL647-H646:AL646,0))*24)/10,IF(_xlpm.r&gt;1,1,_xlpm.r)))</f>
        <v>30</v>
      </c>
      <c r="AO647" cm="1">
        <f t="array" ref="AO647">SUM(IFERROR(MOD((H647:AL647-H646:AL646)*24,11),""))</f>
        <v>0</v>
      </c>
      <c r="AS647">
        <v>647</v>
      </c>
    </row>
    <row r="648" spans="1:45" hidden="1" x14ac:dyDescent="0.25">
      <c r="A648">
        <v>647</v>
      </c>
      <c r="B648">
        <v>2025</v>
      </c>
      <c r="C648">
        <v>10</v>
      </c>
      <c r="D648" t="s">
        <v>270</v>
      </c>
      <c r="E648">
        <v>31</v>
      </c>
      <c r="F648">
        <v>9</v>
      </c>
      <c r="G648" t="s">
        <v>534</v>
      </c>
      <c r="H648" s="154" t="s">
        <v>479</v>
      </c>
      <c r="I648" s="154" t="s">
        <v>479</v>
      </c>
      <c r="J648" s="154" t="s">
        <v>479</v>
      </c>
      <c r="K648" s="154" t="s">
        <v>479</v>
      </c>
      <c r="L648" s="154" t="s">
        <v>479</v>
      </c>
      <c r="M648" s="154" t="s">
        <v>479</v>
      </c>
      <c r="N648" s="154" t="s">
        <v>479</v>
      </c>
      <c r="O648" s="154" t="s">
        <v>479</v>
      </c>
      <c r="P648" s="154" t="s">
        <v>479</v>
      </c>
      <c r="Q648" s="154" t="s">
        <v>480</v>
      </c>
      <c r="R648" s="154" t="s">
        <v>479</v>
      </c>
      <c r="S648" s="154" t="s">
        <v>479</v>
      </c>
      <c r="T648" s="154" t="s">
        <v>479</v>
      </c>
      <c r="U648" s="154" t="s">
        <v>479</v>
      </c>
      <c r="V648" s="154" t="s">
        <v>479</v>
      </c>
      <c r="W648" s="154" t="s">
        <v>479</v>
      </c>
      <c r="X648" s="154" t="s">
        <v>479</v>
      </c>
      <c r="Y648" s="154" t="s">
        <v>479</v>
      </c>
      <c r="Z648" s="154" t="s">
        <v>479</v>
      </c>
      <c r="AA648" s="154" t="s">
        <v>479</v>
      </c>
      <c r="AB648" s="154" t="s">
        <v>479</v>
      </c>
      <c r="AC648" s="154" t="s">
        <v>479</v>
      </c>
      <c r="AD648" s="154" t="s">
        <v>479</v>
      </c>
      <c r="AE648" s="154" t="s">
        <v>479</v>
      </c>
      <c r="AF648" s="154" t="s">
        <v>479</v>
      </c>
      <c r="AG648" s="154" t="s">
        <v>479</v>
      </c>
      <c r="AH648" s="154" t="s">
        <v>479</v>
      </c>
      <c r="AI648" s="154" t="s">
        <v>479</v>
      </c>
      <c r="AJ648" s="154" t="s">
        <v>479</v>
      </c>
      <c r="AK648" s="154" t="s">
        <v>479</v>
      </c>
      <c r="AL648" s="154" t="s">
        <v>479</v>
      </c>
      <c r="AS648">
        <v>648</v>
      </c>
    </row>
    <row r="649" spans="1:45" hidden="1" x14ac:dyDescent="0.25">
      <c r="A649">
        <v>648</v>
      </c>
      <c r="B649">
        <v>2025</v>
      </c>
      <c r="C649">
        <v>10</v>
      </c>
      <c r="D649" t="s">
        <v>270</v>
      </c>
      <c r="E649">
        <v>31</v>
      </c>
      <c r="F649">
        <v>9</v>
      </c>
      <c r="G649" t="s">
        <v>535</v>
      </c>
      <c r="H649" s="154">
        <v>1</v>
      </c>
      <c r="I649" s="154">
        <v>1</v>
      </c>
      <c r="J649" s="154">
        <v>0.83333333333333326</v>
      </c>
      <c r="K649" s="154">
        <v>0.95833333333333326</v>
      </c>
      <c r="L649" s="154">
        <v>0.75</v>
      </c>
      <c r="M649" s="154">
        <v>0.79166666666666674</v>
      </c>
      <c r="N649" s="154">
        <v>0.79166666666666674</v>
      </c>
      <c r="O649" s="154">
        <v>0.83333333333333326</v>
      </c>
      <c r="P649" s="154">
        <v>0.95833333333333326</v>
      </c>
      <c r="Q649" s="154">
        <v>1.2083333333333333</v>
      </c>
      <c r="R649" s="154">
        <v>0.91666666666666674</v>
      </c>
      <c r="S649" s="154">
        <v>0.75</v>
      </c>
      <c r="T649" s="154">
        <v>1</v>
      </c>
      <c r="U649" s="154">
        <v>0.75</v>
      </c>
      <c r="V649" s="154">
        <v>0.83333333333333326</v>
      </c>
      <c r="W649" s="154">
        <v>1</v>
      </c>
      <c r="X649" s="154">
        <v>0.875</v>
      </c>
      <c r="Y649" s="154">
        <v>1</v>
      </c>
      <c r="Z649" s="154">
        <v>0.75</v>
      </c>
      <c r="AA649" s="154">
        <v>1</v>
      </c>
      <c r="AB649" s="154">
        <v>0.79166666666666674</v>
      </c>
      <c r="AC649" s="154">
        <v>0.75</v>
      </c>
      <c r="AD649" s="154">
        <v>1</v>
      </c>
      <c r="AE649" s="154">
        <v>0.95833333333333326</v>
      </c>
      <c r="AF649" s="154">
        <v>0.75</v>
      </c>
      <c r="AG649" s="154">
        <v>0.75</v>
      </c>
      <c r="AH649" s="154">
        <v>0.91666666666666674</v>
      </c>
      <c r="AI649" s="154">
        <v>0.75</v>
      </c>
      <c r="AJ649" s="154">
        <v>0.75</v>
      </c>
      <c r="AK649" s="154">
        <v>0.75</v>
      </c>
      <c r="AL649" s="154">
        <v>0.75</v>
      </c>
      <c r="AM649" cm="1">
        <f t="array" ref="AM649">SUM(_xlfn.LET(_xlpm.r,((IFERROR(H649:AL649-H648:AL648,0))*24)/10,IF(_xlpm.r&gt;1,1,_xlpm.r)))</f>
        <v>31</v>
      </c>
      <c r="AO649" cm="1">
        <f t="array" ref="AO649">SUM(IFERROR((H649:AL649-H648:AL648)*24-11,""))</f>
        <v>76.999999999999986</v>
      </c>
      <c r="AS649">
        <v>649</v>
      </c>
    </row>
    <row r="650" spans="1:45" hidden="1" x14ac:dyDescent="0.25">
      <c r="A650">
        <v>649</v>
      </c>
      <c r="B650">
        <v>2025</v>
      </c>
      <c r="C650">
        <v>10</v>
      </c>
      <c r="D650" t="s">
        <v>455</v>
      </c>
      <c r="E650">
        <v>31</v>
      </c>
      <c r="F650">
        <v>9</v>
      </c>
      <c r="G650" t="s">
        <v>534</v>
      </c>
      <c r="H650" s="154" t="s">
        <v>479</v>
      </c>
      <c r="I650" s="154" t="s">
        <v>479</v>
      </c>
      <c r="J650" s="154" t="s">
        <v>479</v>
      </c>
      <c r="K650" s="154" t="s">
        <v>479</v>
      </c>
      <c r="L650" s="154" t="s">
        <v>479</v>
      </c>
      <c r="M650" s="154" t="s">
        <v>479</v>
      </c>
      <c r="N650" s="154" t="s">
        <v>479</v>
      </c>
      <c r="O650" s="154" t="s">
        <v>479</v>
      </c>
      <c r="P650" s="154" t="s">
        <v>479</v>
      </c>
      <c r="Q650" s="154" t="s">
        <v>479</v>
      </c>
      <c r="R650" s="154" t="s">
        <v>479</v>
      </c>
      <c r="S650" s="154" t="s">
        <v>479</v>
      </c>
      <c r="T650" s="154" t="s">
        <v>479</v>
      </c>
      <c r="U650" s="154" t="s">
        <v>479</v>
      </c>
      <c r="V650" s="154" t="s">
        <v>479</v>
      </c>
      <c r="W650" s="154" t="s">
        <v>479</v>
      </c>
      <c r="X650" s="154" t="s">
        <v>479</v>
      </c>
      <c r="Y650" s="154" t="s">
        <v>479</v>
      </c>
      <c r="Z650" s="154" t="s">
        <v>479</v>
      </c>
      <c r="AA650" s="154" t="s">
        <v>479</v>
      </c>
      <c r="AB650" s="154" t="s">
        <v>479</v>
      </c>
      <c r="AC650" s="154" t="s">
        <v>479</v>
      </c>
      <c r="AD650" s="154" t="s">
        <v>479</v>
      </c>
      <c r="AE650" s="154" t="s">
        <v>479</v>
      </c>
      <c r="AF650" s="154" t="s">
        <v>479</v>
      </c>
      <c r="AG650" s="154" t="s">
        <v>479</v>
      </c>
      <c r="AH650" s="154" t="s">
        <v>479</v>
      </c>
      <c r="AI650" s="154" t="s">
        <v>479</v>
      </c>
      <c r="AJ650" s="154" t="s">
        <v>479</v>
      </c>
      <c r="AK650" s="154" t="s">
        <v>479</v>
      </c>
      <c r="AL650" s="154" t="s">
        <v>424</v>
      </c>
      <c r="AS650">
        <v>650</v>
      </c>
    </row>
    <row r="651" spans="1:45" hidden="1" x14ac:dyDescent="0.25">
      <c r="A651">
        <v>650</v>
      </c>
      <c r="B651">
        <v>2025</v>
      </c>
      <c r="C651">
        <v>10</v>
      </c>
      <c r="D651" t="s">
        <v>455</v>
      </c>
      <c r="E651">
        <v>31</v>
      </c>
      <c r="F651">
        <v>9</v>
      </c>
      <c r="G651" t="s">
        <v>535</v>
      </c>
      <c r="H651" s="154">
        <v>0.75</v>
      </c>
      <c r="I651" s="154">
        <v>0.75</v>
      </c>
      <c r="J651" s="154">
        <v>0.75</v>
      </c>
      <c r="K651" s="154">
        <v>0.75</v>
      </c>
      <c r="L651" s="154">
        <v>0.75</v>
      </c>
      <c r="M651" s="154">
        <v>0.75</v>
      </c>
      <c r="N651" s="154">
        <v>0.75</v>
      </c>
      <c r="O651" s="154">
        <v>0.75</v>
      </c>
      <c r="P651" s="154">
        <v>0.75</v>
      </c>
      <c r="Q651" s="154">
        <v>0.75</v>
      </c>
      <c r="R651" s="154">
        <v>0.75</v>
      </c>
      <c r="S651" s="154">
        <v>0.75</v>
      </c>
      <c r="T651" s="154">
        <v>0.75</v>
      </c>
      <c r="U651" s="154">
        <v>0.75</v>
      </c>
      <c r="V651" s="154">
        <v>0.75</v>
      </c>
      <c r="W651" s="154">
        <v>0.75</v>
      </c>
      <c r="X651" s="154">
        <v>0.75</v>
      </c>
      <c r="Y651" s="154">
        <v>0.75</v>
      </c>
      <c r="Z651" s="154">
        <v>0.75</v>
      </c>
      <c r="AA651" s="154">
        <v>0.75</v>
      </c>
      <c r="AB651" s="154">
        <v>0.75</v>
      </c>
      <c r="AC651" s="154">
        <v>0.75</v>
      </c>
      <c r="AD651" s="154">
        <v>0.75</v>
      </c>
      <c r="AE651" s="154">
        <v>0.75</v>
      </c>
      <c r="AF651" s="154">
        <v>0.75</v>
      </c>
      <c r="AG651" s="154">
        <v>0.75</v>
      </c>
      <c r="AH651" s="154">
        <v>0.75</v>
      </c>
      <c r="AI651" s="154">
        <v>0.75</v>
      </c>
      <c r="AJ651" s="154">
        <v>0.75</v>
      </c>
      <c r="AK651" s="154">
        <v>0.75</v>
      </c>
      <c r="AL651" s="154" t="s">
        <v>424</v>
      </c>
      <c r="AM651" cm="1">
        <f t="array" ref="AM651">_xlfn.LET(_xlpm.r,IFERROR((H651:AL651-H650:AL650)*24,""),SUM(IF(_xlpm.r="",0,IF(_xlpm.r=-1,0,1))))</f>
        <v>30</v>
      </c>
      <c r="AO651" cm="1">
        <f t="array" ref="AO651">_xlfn.LET(_xlpm.r,SUM(IFERROR(MOD((H651:AL651-H650:AL650)*24,11),"")),_xlpm.r-AN651*10)</f>
        <v>0</v>
      </c>
      <c r="AS651">
        <v>651</v>
      </c>
    </row>
    <row r="652" spans="1:45" hidden="1" x14ac:dyDescent="0.25">
      <c r="A652">
        <v>651</v>
      </c>
      <c r="B652">
        <v>2025</v>
      </c>
      <c r="C652">
        <v>10</v>
      </c>
      <c r="D652" t="s">
        <v>248</v>
      </c>
      <c r="E652">
        <v>31</v>
      </c>
      <c r="F652">
        <v>9</v>
      </c>
      <c r="G652" t="s">
        <v>534</v>
      </c>
      <c r="H652" s="154" t="s">
        <v>479</v>
      </c>
      <c r="I652" s="154" t="s">
        <v>479</v>
      </c>
      <c r="J652" s="154" t="s">
        <v>479</v>
      </c>
      <c r="K652" s="154" t="s">
        <v>479</v>
      </c>
      <c r="L652" s="154" t="s">
        <v>479</v>
      </c>
      <c r="M652" s="154" t="s">
        <v>479</v>
      </c>
      <c r="N652" s="154" t="s">
        <v>479</v>
      </c>
      <c r="O652" s="154" t="s">
        <v>479</v>
      </c>
      <c r="P652" s="154" t="s">
        <v>479</v>
      </c>
      <c r="Q652" s="154" t="s">
        <v>479</v>
      </c>
      <c r="R652" s="154" t="s">
        <v>479</v>
      </c>
      <c r="S652" s="154" t="s">
        <v>479</v>
      </c>
      <c r="T652" s="154" t="s">
        <v>479</v>
      </c>
      <c r="U652" s="154" t="s">
        <v>479</v>
      </c>
      <c r="V652" s="154" t="s">
        <v>479</v>
      </c>
      <c r="W652" s="154" t="s">
        <v>479</v>
      </c>
      <c r="X652" s="154" t="s">
        <v>479</v>
      </c>
      <c r="Y652" s="154" t="s">
        <v>479</v>
      </c>
      <c r="Z652" s="154" t="s">
        <v>479</v>
      </c>
      <c r="AA652" s="154" t="s">
        <v>479</v>
      </c>
      <c r="AB652" s="154" t="s">
        <v>479</v>
      </c>
      <c r="AC652" s="154" t="s">
        <v>479</v>
      </c>
      <c r="AD652" s="154" t="s">
        <v>479</v>
      </c>
      <c r="AE652" s="154" t="s">
        <v>479</v>
      </c>
      <c r="AF652" s="154" t="s">
        <v>479</v>
      </c>
      <c r="AG652" s="154" t="s">
        <v>479</v>
      </c>
      <c r="AH652" s="154" t="s">
        <v>479</v>
      </c>
      <c r="AI652" s="154" t="s">
        <v>479</v>
      </c>
      <c r="AJ652" s="154" t="s">
        <v>479</v>
      </c>
      <c r="AK652" s="154" t="s">
        <v>479</v>
      </c>
      <c r="AL652" s="154" t="s">
        <v>479</v>
      </c>
      <c r="AS652">
        <v>652</v>
      </c>
    </row>
    <row r="653" spans="1:45" hidden="1" x14ac:dyDescent="0.25">
      <c r="A653">
        <v>652</v>
      </c>
      <c r="B653">
        <v>2025</v>
      </c>
      <c r="C653">
        <v>10</v>
      </c>
      <c r="D653" t="s">
        <v>248</v>
      </c>
      <c r="E653">
        <v>31</v>
      </c>
      <c r="F653">
        <v>9</v>
      </c>
      <c r="G653" t="s">
        <v>535</v>
      </c>
      <c r="H653" s="154">
        <v>0.95833333333333326</v>
      </c>
      <c r="I653" s="154">
        <v>0.875</v>
      </c>
      <c r="J653" s="154">
        <v>0.83333333333333326</v>
      </c>
      <c r="K653" s="154">
        <v>0.75</v>
      </c>
      <c r="L653" s="154">
        <v>0.75</v>
      </c>
      <c r="M653" s="154">
        <v>0.95833333333333326</v>
      </c>
      <c r="N653" s="154">
        <v>0.83333333333333326</v>
      </c>
      <c r="O653" s="154">
        <v>0.91666666666666674</v>
      </c>
      <c r="P653" s="154">
        <v>0.79166666666666674</v>
      </c>
      <c r="Q653" s="154">
        <v>0.95833333333333326</v>
      </c>
      <c r="R653" s="154">
        <v>0.91666666666666674</v>
      </c>
      <c r="S653" s="154">
        <v>0.75</v>
      </c>
      <c r="T653" s="154">
        <v>0.875</v>
      </c>
      <c r="U653" s="154">
        <v>0.75</v>
      </c>
      <c r="V653" s="154">
        <v>0.91666666666666674</v>
      </c>
      <c r="W653" s="154">
        <v>0.83333333333333326</v>
      </c>
      <c r="X653" s="154">
        <v>0.75</v>
      </c>
      <c r="Y653" s="154">
        <v>0.91666666666666674</v>
      </c>
      <c r="Z653" s="154">
        <v>0.75</v>
      </c>
      <c r="AA653" s="154">
        <v>0.75</v>
      </c>
      <c r="AB653" s="154">
        <v>0.875</v>
      </c>
      <c r="AC653" s="154">
        <v>0.75</v>
      </c>
      <c r="AD653" s="154">
        <v>0.75</v>
      </c>
      <c r="AE653" s="154">
        <v>0.83333333333333326</v>
      </c>
      <c r="AF653" s="154">
        <v>0.83333333333333326</v>
      </c>
      <c r="AG653" s="154">
        <v>0.75</v>
      </c>
      <c r="AH653" s="154">
        <v>0.75</v>
      </c>
      <c r="AI653" s="154">
        <v>0.75</v>
      </c>
      <c r="AJ653" s="154">
        <v>0.75</v>
      </c>
      <c r="AK653" s="154">
        <v>0.75</v>
      </c>
      <c r="AL653" s="154">
        <v>0.95833333333333326</v>
      </c>
      <c r="AM653" cm="1">
        <f t="array" ref="AM653">SUM(_xlfn.LET(_xlpm.r,((IFERROR(H653:AL653-H652:AL652,0))*24)/10,IF(_xlpm.r&gt;1,1,_xlpm.r)))</f>
        <v>31</v>
      </c>
      <c r="AO653" cm="1">
        <f t="array" ref="AO653">SUM(IFERROR(MOD((H653:AL653-H652:AL652)*24,11),""))</f>
        <v>55.999999999999972</v>
      </c>
      <c r="AS653">
        <v>653</v>
      </c>
    </row>
    <row r="654" spans="1:45" hidden="1" x14ac:dyDescent="0.25">
      <c r="A654">
        <v>653</v>
      </c>
      <c r="B654">
        <v>2025</v>
      </c>
      <c r="C654">
        <v>10</v>
      </c>
      <c r="D654" t="s">
        <v>232</v>
      </c>
      <c r="E654">
        <v>31</v>
      </c>
      <c r="F654">
        <v>9</v>
      </c>
      <c r="G654" t="s">
        <v>534</v>
      </c>
      <c r="H654" s="154" t="s">
        <v>479</v>
      </c>
      <c r="I654" s="154" t="s">
        <v>479</v>
      </c>
      <c r="J654" s="154" t="s">
        <v>479</v>
      </c>
      <c r="K654" s="154" t="s">
        <v>479</v>
      </c>
      <c r="L654" s="154" t="s">
        <v>479</v>
      </c>
      <c r="M654" s="154" t="s">
        <v>479</v>
      </c>
      <c r="N654" s="154" t="s">
        <v>479</v>
      </c>
      <c r="O654" s="154" t="s">
        <v>479</v>
      </c>
      <c r="P654" s="154" t="s">
        <v>479</v>
      </c>
      <c r="Q654" s="154" t="s">
        <v>479</v>
      </c>
      <c r="R654" s="154" t="s">
        <v>479</v>
      </c>
      <c r="S654" s="154" t="s">
        <v>479</v>
      </c>
      <c r="T654" s="154" t="s">
        <v>479</v>
      </c>
      <c r="U654" s="154" t="s">
        <v>479</v>
      </c>
      <c r="V654" s="154" t="s">
        <v>479</v>
      </c>
      <c r="W654" s="154" t="s">
        <v>479</v>
      </c>
      <c r="X654" s="154" t="s">
        <v>479</v>
      </c>
      <c r="Y654" s="154" t="s">
        <v>479</v>
      </c>
      <c r="Z654" s="154" t="s">
        <v>479</v>
      </c>
      <c r="AA654" s="154" t="s">
        <v>479</v>
      </c>
      <c r="AB654" s="154" t="s">
        <v>479</v>
      </c>
      <c r="AC654" s="154" t="s">
        <v>479</v>
      </c>
      <c r="AD654" s="154" t="s">
        <v>479</v>
      </c>
      <c r="AE654" s="154" t="s">
        <v>479</v>
      </c>
      <c r="AF654" s="154" t="s">
        <v>479</v>
      </c>
      <c r="AG654" s="154" t="s">
        <v>479</v>
      </c>
      <c r="AH654" s="154" t="s">
        <v>479</v>
      </c>
      <c r="AI654" s="154" t="s">
        <v>479</v>
      </c>
      <c r="AJ654" s="154" t="s">
        <v>479</v>
      </c>
      <c r="AK654" s="154" t="s">
        <v>479</v>
      </c>
      <c r="AL654" s="154" t="s">
        <v>424</v>
      </c>
      <c r="AS654">
        <v>654</v>
      </c>
    </row>
    <row r="655" spans="1:45" hidden="1" x14ac:dyDescent="0.25">
      <c r="A655">
        <v>654</v>
      </c>
      <c r="B655">
        <v>2025</v>
      </c>
      <c r="C655">
        <v>10</v>
      </c>
      <c r="D655" t="s">
        <v>232</v>
      </c>
      <c r="E655">
        <v>31</v>
      </c>
      <c r="F655">
        <v>9</v>
      </c>
      <c r="G655" t="s">
        <v>535</v>
      </c>
      <c r="H655" s="154">
        <v>0.75</v>
      </c>
      <c r="I655" s="154">
        <v>0.79166666666666674</v>
      </c>
      <c r="J655" s="154">
        <v>0.95833333333333326</v>
      </c>
      <c r="K655" s="154">
        <v>0.75</v>
      </c>
      <c r="L655" s="154">
        <v>0.95833333333333326</v>
      </c>
      <c r="M655" s="154">
        <v>0.75</v>
      </c>
      <c r="N655" s="154">
        <v>0.875</v>
      </c>
      <c r="O655" s="154">
        <v>0.75</v>
      </c>
      <c r="P655" s="154">
        <v>0.95833333333333326</v>
      </c>
      <c r="Q655" s="154">
        <v>1.0416666666666667</v>
      </c>
      <c r="R655" s="154">
        <v>0.75</v>
      </c>
      <c r="S655" s="154">
        <v>0.95833333333333326</v>
      </c>
      <c r="T655" s="154">
        <v>0.95833333333333326</v>
      </c>
      <c r="U655" s="154">
        <v>0.75</v>
      </c>
      <c r="V655" s="154">
        <v>0.83333333333333326</v>
      </c>
      <c r="W655" s="154">
        <v>0.75</v>
      </c>
      <c r="X655" s="154">
        <v>0.95833333333333326</v>
      </c>
      <c r="Y655" s="154">
        <v>0.875</v>
      </c>
      <c r="Z655" s="154">
        <v>0.95833333333333326</v>
      </c>
      <c r="AA655" s="154">
        <v>0.75</v>
      </c>
      <c r="AB655" s="154">
        <v>0.95833333333333326</v>
      </c>
      <c r="AC655" s="154">
        <v>0.75</v>
      </c>
      <c r="AD655" s="154">
        <v>0.875</v>
      </c>
      <c r="AE655" s="154">
        <v>0.75</v>
      </c>
      <c r="AF655" s="154">
        <v>0.95833333333333326</v>
      </c>
      <c r="AG655" s="154">
        <v>0.75</v>
      </c>
      <c r="AH655" s="154">
        <v>0.75</v>
      </c>
      <c r="AI655" s="154">
        <v>0.95833333333333326</v>
      </c>
      <c r="AJ655" s="154">
        <v>0.75</v>
      </c>
      <c r="AK655" s="154">
        <v>0.95833333333333326</v>
      </c>
      <c r="AL655" s="154" t="s">
        <v>424</v>
      </c>
      <c r="AM655" cm="1">
        <f t="array" ref="AM655">SUM(_xlfn.LET(_xlpm.r,((IFERROR(H655:AL655-H654:AL654,0))*24)/10,IF(_xlpm.r&gt;1,1,_xlpm.r)))</f>
        <v>30</v>
      </c>
      <c r="AO655" cm="1">
        <f t="array" ref="AO655">SUM(IFERROR(MOD((H655:AL655-H654:AL654)*24,11),""))</f>
        <v>73.999999999999972</v>
      </c>
      <c r="AS655">
        <v>655</v>
      </c>
    </row>
    <row r="656" spans="1:45" hidden="1" x14ac:dyDescent="0.25">
      <c r="A656">
        <v>655</v>
      </c>
      <c r="B656">
        <v>2025</v>
      </c>
      <c r="C656">
        <v>10</v>
      </c>
      <c r="D656" t="s">
        <v>263</v>
      </c>
      <c r="E656">
        <v>31</v>
      </c>
      <c r="F656">
        <v>9</v>
      </c>
      <c r="G656" t="s">
        <v>534</v>
      </c>
      <c r="H656" s="154" t="s">
        <v>479</v>
      </c>
      <c r="I656" s="154" t="s">
        <v>479</v>
      </c>
      <c r="J656" s="154" t="s">
        <v>479</v>
      </c>
      <c r="K656" s="154" t="s">
        <v>479</v>
      </c>
      <c r="L656" s="154" t="s">
        <v>479</v>
      </c>
      <c r="M656" s="154" t="s">
        <v>479</v>
      </c>
      <c r="N656" s="154" t="s">
        <v>479</v>
      </c>
      <c r="O656" s="154" t="s">
        <v>479</v>
      </c>
      <c r="P656" s="154" t="s">
        <v>479</v>
      </c>
      <c r="Q656" s="154" t="s">
        <v>479</v>
      </c>
      <c r="R656" s="154" t="s">
        <v>479</v>
      </c>
      <c r="S656" s="154" t="s">
        <v>479</v>
      </c>
      <c r="T656" s="154" t="s">
        <v>479</v>
      </c>
      <c r="U656" s="154" t="s">
        <v>479</v>
      </c>
      <c r="V656" s="154" t="s">
        <v>479</v>
      </c>
      <c r="W656" s="154" t="s">
        <v>479</v>
      </c>
      <c r="X656" s="154" t="s">
        <v>479</v>
      </c>
      <c r="Y656" s="154" t="s">
        <v>479</v>
      </c>
      <c r="Z656" s="154" t="s">
        <v>479</v>
      </c>
      <c r="AA656" s="154" t="s">
        <v>479</v>
      </c>
      <c r="AB656" s="154" t="s">
        <v>479</v>
      </c>
      <c r="AC656" s="154" t="s">
        <v>479</v>
      </c>
      <c r="AD656" s="154" t="s">
        <v>479</v>
      </c>
      <c r="AE656" s="154" t="s">
        <v>479</v>
      </c>
      <c r="AF656" s="154" t="s">
        <v>479</v>
      </c>
      <c r="AG656" s="154" t="s">
        <v>479</v>
      </c>
      <c r="AH656" s="154" t="s">
        <v>479</v>
      </c>
      <c r="AI656" s="154" t="s">
        <v>479</v>
      </c>
      <c r="AJ656" s="154" t="s">
        <v>479</v>
      </c>
      <c r="AK656" s="154" t="s">
        <v>479</v>
      </c>
      <c r="AL656" s="154" t="s">
        <v>479</v>
      </c>
      <c r="AS656">
        <v>656</v>
      </c>
    </row>
    <row r="657" spans="1:45" hidden="1" x14ac:dyDescent="0.25">
      <c r="A657">
        <v>656</v>
      </c>
      <c r="B657">
        <v>2025</v>
      </c>
      <c r="C657">
        <v>10</v>
      </c>
      <c r="D657" t="s">
        <v>263</v>
      </c>
      <c r="E657">
        <v>31</v>
      </c>
      <c r="F657">
        <v>9</v>
      </c>
      <c r="G657" t="s">
        <v>535</v>
      </c>
      <c r="H657" s="154">
        <v>0.25</v>
      </c>
      <c r="I657" s="154">
        <v>0.25</v>
      </c>
      <c r="J657" s="154">
        <v>0.25</v>
      </c>
      <c r="K657" s="154">
        <v>0.25</v>
      </c>
      <c r="L657" s="154">
        <v>0.25</v>
      </c>
      <c r="M657" s="154">
        <v>0.25</v>
      </c>
      <c r="N657" s="154">
        <v>0.25</v>
      </c>
      <c r="O657" s="154">
        <v>0.25</v>
      </c>
      <c r="P657" s="154">
        <v>0.25</v>
      </c>
      <c r="Q657" s="154">
        <v>0.25</v>
      </c>
      <c r="R657" s="154">
        <v>0.25</v>
      </c>
      <c r="S657" s="154">
        <v>0.25</v>
      </c>
      <c r="T657" s="154">
        <v>0.25</v>
      </c>
      <c r="U657" s="154">
        <v>0.25</v>
      </c>
      <c r="V657" s="154">
        <v>0.25</v>
      </c>
      <c r="W657" s="154">
        <v>0.25</v>
      </c>
      <c r="X657" s="154">
        <v>0.25</v>
      </c>
      <c r="Y657" s="154">
        <v>0.25</v>
      </c>
      <c r="Z657" s="154">
        <v>0.25</v>
      </c>
      <c r="AA657" s="154">
        <v>0.25</v>
      </c>
      <c r="AB657" s="154">
        <v>0.25</v>
      </c>
      <c r="AC657" s="154">
        <v>0.25</v>
      </c>
      <c r="AD657" s="154">
        <v>0.25</v>
      </c>
      <c r="AE657" s="154">
        <v>0.25</v>
      </c>
      <c r="AF657" s="154">
        <v>0.25</v>
      </c>
      <c r="AG657" s="154">
        <v>0.25</v>
      </c>
      <c r="AH657" s="154">
        <v>0.25</v>
      </c>
      <c r="AI657" s="154">
        <v>0.25</v>
      </c>
      <c r="AJ657" s="154">
        <v>0.25</v>
      </c>
      <c r="AK657" s="154">
        <v>0.25</v>
      </c>
      <c r="AL657" s="154">
        <v>0.25</v>
      </c>
      <c r="AM657" cm="1">
        <f t="array" ref="AM657">_xlfn.LET(_xlpm.r,IFERROR((H657:AL657-H656:AL656)*24,""),SUM(IF(_xlpm.r="",0,IF(_xlpm.r=-1,0,1))))</f>
        <v>0</v>
      </c>
      <c r="AN657" cm="1">
        <f t="array" ref="AN657">_xlfn.LET(_xlpm.r,IFERROR((H657:AL657-H656:AL656)*24,""),SUM(IF(_xlpm.r="",0,IF(_xlpm.r=-1,1,0))))</f>
        <v>31</v>
      </c>
      <c r="AO657" cm="1">
        <f t="array" ref="AO657">_xlfn.LET(_xlpm.r,SUM(IFERROR(MOD((H657:AL657-H656:AL656)*24,11),"")),_xlpm.r-AN657*10)</f>
        <v>0</v>
      </c>
      <c r="AS657">
        <v>657</v>
      </c>
    </row>
    <row r="658" spans="1:45" hidden="1" x14ac:dyDescent="0.25">
      <c r="A658">
        <v>657</v>
      </c>
      <c r="B658">
        <v>2025</v>
      </c>
      <c r="C658">
        <v>10</v>
      </c>
      <c r="D658" t="s">
        <v>279</v>
      </c>
      <c r="E658">
        <v>31</v>
      </c>
      <c r="F658">
        <v>9</v>
      </c>
      <c r="G658" t="s">
        <v>534</v>
      </c>
      <c r="H658" s="154" t="s">
        <v>479</v>
      </c>
      <c r="I658" s="154" t="s">
        <v>479</v>
      </c>
      <c r="J658" s="154" t="s">
        <v>479</v>
      </c>
      <c r="K658" s="154" t="s">
        <v>479</v>
      </c>
      <c r="L658" s="154" t="s">
        <v>479</v>
      </c>
      <c r="M658" s="154" t="s">
        <v>479</v>
      </c>
      <c r="N658" s="154" t="s">
        <v>479</v>
      </c>
      <c r="O658" s="154" t="s">
        <v>479</v>
      </c>
      <c r="P658" s="154" t="s">
        <v>479</v>
      </c>
      <c r="Q658" s="154" t="s">
        <v>479</v>
      </c>
      <c r="R658" s="154" t="s">
        <v>479</v>
      </c>
      <c r="S658" s="154" t="s">
        <v>479</v>
      </c>
      <c r="T658" s="154" t="s">
        <v>479</v>
      </c>
      <c r="U658" s="154" t="s">
        <v>479</v>
      </c>
      <c r="V658" s="154" t="s">
        <v>479</v>
      </c>
      <c r="W658" s="154" t="s">
        <v>479</v>
      </c>
      <c r="X658" s="154" t="s">
        <v>479</v>
      </c>
      <c r="Y658" s="154" t="s">
        <v>479</v>
      </c>
      <c r="Z658" s="154" t="s">
        <v>479</v>
      </c>
      <c r="AA658" s="154" t="s">
        <v>479</v>
      </c>
      <c r="AB658" s="154" t="s">
        <v>479</v>
      </c>
      <c r="AC658" s="154" t="s">
        <v>479</v>
      </c>
      <c r="AD658" s="154" t="s">
        <v>479</v>
      </c>
      <c r="AE658" s="154" t="s">
        <v>479</v>
      </c>
      <c r="AF658" s="154" t="s">
        <v>479</v>
      </c>
      <c r="AG658" s="154" t="s">
        <v>479</v>
      </c>
      <c r="AH658" s="154" t="s">
        <v>479</v>
      </c>
      <c r="AI658" s="154" t="s">
        <v>479</v>
      </c>
      <c r="AJ658" s="154" t="s">
        <v>479</v>
      </c>
      <c r="AK658" s="154" t="s">
        <v>479</v>
      </c>
      <c r="AL658" s="154" t="s">
        <v>424</v>
      </c>
      <c r="AS658">
        <v>658</v>
      </c>
    </row>
    <row r="659" spans="1:45" hidden="1" x14ac:dyDescent="0.25">
      <c r="A659">
        <v>658</v>
      </c>
      <c r="B659">
        <v>2025</v>
      </c>
      <c r="C659">
        <v>10</v>
      </c>
      <c r="D659" t="s">
        <v>279</v>
      </c>
      <c r="E659">
        <v>31</v>
      </c>
      <c r="F659">
        <v>9</v>
      </c>
      <c r="G659" t="s">
        <v>535</v>
      </c>
      <c r="H659" s="154">
        <v>0.875</v>
      </c>
      <c r="I659" s="154">
        <v>0.875</v>
      </c>
      <c r="J659" s="154">
        <v>0.875</v>
      </c>
      <c r="K659" s="154">
        <v>0.875</v>
      </c>
      <c r="L659" s="154">
        <v>0.875</v>
      </c>
      <c r="M659" s="154">
        <v>0.875</v>
      </c>
      <c r="N659" s="154">
        <v>0.875</v>
      </c>
      <c r="O659" s="154">
        <v>0.875</v>
      </c>
      <c r="P659" s="154">
        <v>0.875</v>
      </c>
      <c r="Q659" s="154">
        <v>0.875</v>
      </c>
      <c r="R659" s="154">
        <v>0.875</v>
      </c>
      <c r="S659" s="154">
        <v>0.875</v>
      </c>
      <c r="T659" s="154">
        <v>0.875</v>
      </c>
      <c r="U659" s="154">
        <v>0.875</v>
      </c>
      <c r="V659" s="154">
        <v>0.875</v>
      </c>
      <c r="W659" s="154">
        <v>0.875</v>
      </c>
      <c r="X659" s="154">
        <v>0.875</v>
      </c>
      <c r="Y659" s="154">
        <v>0.875</v>
      </c>
      <c r="Z659" s="154">
        <v>0.875</v>
      </c>
      <c r="AA659" s="154">
        <v>0.875</v>
      </c>
      <c r="AB659" s="154">
        <v>0.875</v>
      </c>
      <c r="AC659" s="154">
        <v>0.875</v>
      </c>
      <c r="AD659" s="154">
        <v>0.875</v>
      </c>
      <c r="AE659" s="154">
        <v>0.875</v>
      </c>
      <c r="AF659" s="154">
        <v>0.875</v>
      </c>
      <c r="AG659" s="154">
        <v>0.75</v>
      </c>
      <c r="AH659" s="154">
        <v>0.875</v>
      </c>
      <c r="AI659" s="154">
        <v>0.875</v>
      </c>
      <c r="AJ659" s="154">
        <v>0.875</v>
      </c>
      <c r="AK659" s="154">
        <v>0.875</v>
      </c>
      <c r="AL659" s="154" t="s">
        <v>424</v>
      </c>
      <c r="AM659" cm="1">
        <f t="array" ref="AM659">SUM(_xlfn.LET(_xlpm.r,((IFERROR(H659:AL659-H658:AL658,0))*24)/10,IF(_xlpm.r&gt;1,1,_xlpm.r)))</f>
        <v>30</v>
      </c>
      <c r="AO659" cm="1">
        <f t="array" ref="AO659">SUM(IFERROR(MOD((H659:AL659-H658:AL658)*24,11),""))</f>
        <v>86.999999999999986</v>
      </c>
      <c r="AS659">
        <v>659</v>
      </c>
    </row>
    <row r="660" spans="1:45" hidden="1" x14ac:dyDescent="0.25">
      <c r="A660">
        <v>659</v>
      </c>
      <c r="B660">
        <v>2025</v>
      </c>
      <c r="C660">
        <v>10</v>
      </c>
      <c r="D660" t="s">
        <v>283</v>
      </c>
      <c r="E660">
        <v>31</v>
      </c>
      <c r="F660">
        <v>9</v>
      </c>
      <c r="G660" t="s">
        <v>534</v>
      </c>
      <c r="H660" s="154" t="s">
        <v>424</v>
      </c>
      <c r="I660" s="154" t="s">
        <v>424</v>
      </c>
      <c r="J660" s="154" t="s">
        <v>424</v>
      </c>
      <c r="K660" s="154" t="s">
        <v>424</v>
      </c>
      <c r="L660" s="154" t="s">
        <v>424</v>
      </c>
      <c r="M660" s="154" t="s">
        <v>424</v>
      </c>
      <c r="N660" s="154" t="s">
        <v>424</v>
      </c>
      <c r="O660" s="154" t="s">
        <v>424</v>
      </c>
      <c r="P660" s="154" t="s">
        <v>424</v>
      </c>
      <c r="Q660" s="154" t="s">
        <v>424</v>
      </c>
      <c r="R660" s="154" t="s">
        <v>424</v>
      </c>
      <c r="S660" s="154" t="s">
        <v>424</v>
      </c>
      <c r="T660" s="154" t="s">
        <v>424</v>
      </c>
      <c r="U660" s="154" t="s">
        <v>424</v>
      </c>
      <c r="V660" s="154" t="s">
        <v>424</v>
      </c>
      <c r="W660" s="154" t="s">
        <v>424</v>
      </c>
      <c r="X660" s="154" t="s">
        <v>424</v>
      </c>
      <c r="Y660" s="154" t="s">
        <v>424</v>
      </c>
      <c r="Z660" s="154" t="s">
        <v>424</v>
      </c>
      <c r="AA660" s="154" t="s">
        <v>479</v>
      </c>
      <c r="AB660" s="154" t="s">
        <v>479</v>
      </c>
      <c r="AC660" s="154" t="s">
        <v>479</v>
      </c>
      <c r="AD660" s="154" t="s">
        <v>479</v>
      </c>
      <c r="AE660" s="154" t="s">
        <v>479</v>
      </c>
      <c r="AF660" s="154" t="s">
        <v>479</v>
      </c>
      <c r="AG660" s="154" t="s">
        <v>479</v>
      </c>
      <c r="AH660" s="154" t="s">
        <v>479</v>
      </c>
      <c r="AI660" s="154" t="s">
        <v>479</v>
      </c>
      <c r="AJ660" s="154" t="s">
        <v>479</v>
      </c>
      <c r="AK660" s="154" t="s">
        <v>479</v>
      </c>
      <c r="AL660" s="154" t="s">
        <v>479</v>
      </c>
      <c r="AS660">
        <v>660</v>
      </c>
    </row>
    <row r="661" spans="1:45" hidden="1" x14ac:dyDescent="0.25">
      <c r="A661">
        <v>660</v>
      </c>
      <c r="B661">
        <v>2025</v>
      </c>
      <c r="C661">
        <v>10</v>
      </c>
      <c r="D661" t="s">
        <v>283</v>
      </c>
      <c r="E661">
        <v>31</v>
      </c>
      <c r="F661">
        <v>9</v>
      </c>
      <c r="G661" t="s">
        <v>535</v>
      </c>
      <c r="H661" s="154" t="s">
        <v>424</v>
      </c>
      <c r="I661" s="154" t="s">
        <v>424</v>
      </c>
      <c r="J661" s="154" t="s">
        <v>424</v>
      </c>
      <c r="K661" s="154" t="s">
        <v>424</v>
      </c>
      <c r="L661" s="154" t="s">
        <v>424</v>
      </c>
      <c r="M661" s="154" t="s">
        <v>424</v>
      </c>
      <c r="N661" s="154" t="s">
        <v>424</v>
      </c>
      <c r="O661" s="154" t="s">
        <v>424</v>
      </c>
      <c r="P661" s="154" t="s">
        <v>424</v>
      </c>
      <c r="Q661" s="154" t="s">
        <v>424</v>
      </c>
      <c r="R661" s="154" t="s">
        <v>424</v>
      </c>
      <c r="S661" s="154" t="s">
        <v>424</v>
      </c>
      <c r="T661" s="154" t="s">
        <v>424</v>
      </c>
      <c r="U661" s="154" t="s">
        <v>424</v>
      </c>
      <c r="V661" s="154" t="s">
        <v>424</v>
      </c>
      <c r="W661" s="154" t="s">
        <v>424</v>
      </c>
      <c r="X661" s="154" t="s">
        <v>424</v>
      </c>
      <c r="Y661" s="154" t="s">
        <v>424</v>
      </c>
      <c r="Z661" s="154" t="s">
        <v>424</v>
      </c>
      <c r="AA661" s="154">
        <v>0.75</v>
      </c>
      <c r="AB661" s="154">
        <v>0.75</v>
      </c>
      <c r="AC661" s="154">
        <v>0.75</v>
      </c>
      <c r="AD661" s="154">
        <v>0.75</v>
      </c>
      <c r="AE661" s="154">
        <v>0.75</v>
      </c>
      <c r="AF661" s="154">
        <v>0.75</v>
      </c>
      <c r="AG661" s="154">
        <v>0.75</v>
      </c>
      <c r="AH661" s="154">
        <v>0.75</v>
      </c>
      <c r="AI661" s="154">
        <v>0.75</v>
      </c>
      <c r="AJ661" s="154">
        <v>0.75</v>
      </c>
      <c r="AK661" s="154">
        <v>0.75</v>
      </c>
      <c r="AL661" s="154">
        <v>0.75</v>
      </c>
      <c r="AM661" cm="1">
        <f t="array" ref="AM661">SUM(_xlfn.LET(_xlpm.r,((IFERROR(H661:AL661-H660:AL660,0))*24)/10,IF(_xlpm.r&gt;1,1,_xlpm.r)))</f>
        <v>12</v>
      </c>
      <c r="AO661" cm="1">
        <f t="array" ref="AO661">SUM(IFERROR(MOD((H661:AL661-H660:AL660)*24,11),""))</f>
        <v>0</v>
      </c>
      <c r="AS661">
        <v>661</v>
      </c>
    </row>
    <row r="662" spans="1:45" hidden="1" x14ac:dyDescent="0.25">
      <c r="A662">
        <v>661</v>
      </c>
      <c r="B662">
        <v>2025</v>
      </c>
      <c r="C662">
        <v>10</v>
      </c>
      <c r="D662" t="s">
        <v>260</v>
      </c>
      <c r="E662">
        <v>31</v>
      </c>
      <c r="F662">
        <v>9</v>
      </c>
      <c r="G662" t="s">
        <v>534</v>
      </c>
      <c r="H662" s="154">
        <v>0.29166666666666669</v>
      </c>
      <c r="I662" s="154" t="s">
        <v>486</v>
      </c>
      <c r="J662" s="154" t="s">
        <v>486</v>
      </c>
      <c r="K662" s="154" t="s">
        <v>486</v>
      </c>
      <c r="L662" s="154" t="s">
        <v>486</v>
      </c>
      <c r="M662" s="154" t="s">
        <v>486</v>
      </c>
      <c r="N662" s="154" t="s">
        <v>486</v>
      </c>
      <c r="O662" s="154" t="s">
        <v>486</v>
      </c>
      <c r="P662" s="154" t="s">
        <v>486</v>
      </c>
      <c r="Q662" s="154" t="s">
        <v>486</v>
      </c>
      <c r="R662" s="154" t="s">
        <v>486</v>
      </c>
      <c r="S662" s="154" t="s">
        <v>424</v>
      </c>
      <c r="T662" s="154" t="s">
        <v>486</v>
      </c>
      <c r="U662" s="154" t="s">
        <v>486</v>
      </c>
      <c r="V662" s="154" t="s">
        <v>486</v>
      </c>
      <c r="W662" s="154" t="s">
        <v>486</v>
      </c>
      <c r="X662" s="154" t="s">
        <v>486</v>
      </c>
      <c r="Y662" s="154" t="s">
        <v>486</v>
      </c>
      <c r="Z662" s="154" t="s">
        <v>424</v>
      </c>
      <c r="AA662" s="154" t="s">
        <v>486</v>
      </c>
      <c r="AB662" s="154" t="s">
        <v>486</v>
      </c>
      <c r="AC662" s="154" t="s">
        <v>486</v>
      </c>
      <c r="AD662" s="154" t="s">
        <v>486</v>
      </c>
      <c r="AE662" s="154" t="s">
        <v>486</v>
      </c>
      <c r="AF662" s="154" t="s">
        <v>486</v>
      </c>
      <c r="AG662" s="154" t="s">
        <v>486</v>
      </c>
      <c r="AH662" s="154" t="s">
        <v>486</v>
      </c>
      <c r="AI662" s="154" t="s">
        <v>486</v>
      </c>
      <c r="AJ662" s="154" t="s">
        <v>486</v>
      </c>
      <c r="AK662" s="154" t="s">
        <v>486</v>
      </c>
      <c r="AL662" s="154" t="s">
        <v>486</v>
      </c>
      <c r="AS662">
        <v>662</v>
      </c>
    </row>
    <row r="663" spans="1:45" hidden="1" x14ac:dyDescent="0.25">
      <c r="A663">
        <v>662</v>
      </c>
      <c r="B663">
        <v>2025</v>
      </c>
      <c r="C663">
        <v>10</v>
      </c>
      <c r="D663" t="s">
        <v>260</v>
      </c>
      <c r="E663">
        <v>31</v>
      </c>
      <c r="F663">
        <v>9</v>
      </c>
      <c r="G663" t="s">
        <v>535</v>
      </c>
      <c r="H663" s="154">
        <v>0.75</v>
      </c>
      <c r="I663" s="154">
        <v>0.66666666666666663</v>
      </c>
      <c r="J663" s="154">
        <v>0.66666666666666663</v>
      </c>
      <c r="K663" s="154">
        <v>0.66666666666666663</v>
      </c>
      <c r="L663" s="154">
        <v>0.66666666666666663</v>
      </c>
      <c r="M663" s="154">
        <v>0.66666666666666663</v>
      </c>
      <c r="N663" s="154">
        <v>0.66666666666666663</v>
      </c>
      <c r="O663" s="154">
        <v>0.66666666666666663</v>
      </c>
      <c r="P663" s="154">
        <v>0.66666666666666663</v>
      </c>
      <c r="Q663" s="154">
        <v>0.66666666666666663</v>
      </c>
      <c r="R663" s="154">
        <v>0.66666666666666663</v>
      </c>
      <c r="S663" s="154" t="s">
        <v>424</v>
      </c>
      <c r="T663" s="154">
        <v>0.66666666666666663</v>
      </c>
      <c r="U663" s="154">
        <v>0.66666666666666663</v>
      </c>
      <c r="V663" s="154">
        <v>0.66666666666666663</v>
      </c>
      <c r="W663" s="154">
        <v>0.66666666666666663</v>
      </c>
      <c r="X663" s="154">
        <v>0.66666666666666663</v>
      </c>
      <c r="Y663" s="154">
        <v>0.66666666666666663</v>
      </c>
      <c r="Z663" s="154" t="s">
        <v>424</v>
      </c>
      <c r="AA663" s="154">
        <v>0.66666666666666663</v>
      </c>
      <c r="AB663" s="154">
        <v>0.66666666666666663</v>
      </c>
      <c r="AC663" s="154">
        <v>0.66666666666666663</v>
      </c>
      <c r="AD663" s="154">
        <v>0.66666666666666663</v>
      </c>
      <c r="AE663" s="154">
        <v>0.66666666666666663</v>
      </c>
      <c r="AF663" s="154">
        <v>0.66666666666666663</v>
      </c>
      <c r="AG663" s="154">
        <v>0.66666666666666663</v>
      </c>
      <c r="AH663" s="154">
        <v>0.66666666666666663</v>
      </c>
      <c r="AI663" s="154">
        <v>0.66666666666666663</v>
      </c>
      <c r="AJ663" s="154">
        <v>0.66666666666666663</v>
      </c>
      <c r="AK663" s="154">
        <v>0.66666666666666663</v>
      </c>
      <c r="AL663" s="154">
        <v>0.66666666666666663</v>
      </c>
      <c r="AM663" cm="1">
        <f t="array" ref="AM663">SUM(_xlfn.LET(_xlpm.r,((IFERROR(H663:AL663-H662:AL662,0))*24)/10,IF(_xlpm.r&gt;1,1,_xlpm.r)))</f>
        <v>29</v>
      </c>
      <c r="AS663">
        <v>663</v>
      </c>
    </row>
    <row r="664" spans="1:45" hidden="1" x14ac:dyDescent="0.25">
      <c r="A664">
        <v>663</v>
      </c>
      <c r="B664">
        <v>2025</v>
      </c>
      <c r="C664">
        <v>10</v>
      </c>
      <c r="D664" t="s">
        <v>272</v>
      </c>
      <c r="E664">
        <v>31</v>
      </c>
      <c r="F664">
        <v>9</v>
      </c>
      <c r="G664" t="s">
        <v>534</v>
      </c>
      <c r="H664" s="154" t="s">
        <v>479</v>
      </c>
      <c r="I664" s="154" t="s">
        <v>479</v>
      </c>
      <c r="J664" s="154" t="s">
        <v>479</v>
      </c>
      <c r="K664" s="154" t="s">
        <v>479</v>
      </c>
      <c r="L664" s="154" t="s">
        <v>479</v>
      </c>
      <c r="M664" s="154" t="s">
        <v>479</v>
      </c>
      <c r="N664" s="154" t="s">
        <v>479</v>
      </c>
      <c r="O664" s="154" t="s">
        <v>479</v>
      </c>
      <c r="P664" s="154" t="s">
        <v>479</v>
      </c>
      <c r="Q664" s="154" t="s">
        <v>479</v>
      </c>
      <c r="R664" s="154" t="s">
        <v>479</v>
      </c>
      <c r="S664" s="154" t="s">
        <v>479</v>
      </c>
      <c r="T664" s="154" t="s">
        <v>479</v>
      </c>
      <c r="U664" s="154" t="s">
        <v>479</v>
      </c>
      <c r="V664" s="154" t="s">
        <v>479</v>
      </c>
      <c r="W664" s="154" t="s">
        <v>479</v>
      </c>
      <c r="X664" s="154" t="s">
        <v>479</v>
      </c>
      <c r="Y664" s="154" t="s">
        <v>479</v>
      </c>
      <c r="Z664" s="154" t="s">
        <v>479</v>
      </c>
      <c r="AA664" s="154" t="s">
        <v>479</v>
      </c>
      <c r="AB664" s="154" t="s">
        <v>479</v>
      </c>
      <c r="AC664" s="154" t="s">
        <v>479</v>
      </c>
      <c r="AD664" s="154" t="s">
        <v>479</v>
      </c>
      <c r="AE664" s="154" t="s">
        <v>479</v>
      </c>
      <c r="AF664" s="154" t="s">
        <v>479</v>
      </c>
      <c r="AG664" s="154" t="s">
        <v>479</v>
      </c>
      <c r="AH664" s="154" t="s">
        <v>479</v>
      </c>
      <c r="AI664" s="154" t="s">
        <v>479</v>
      </c>
      <c r="AJ664" s="154" t="s">
        <v>479</v>
      </c>
      <c r="AK664" s="154" t="s">
        <v>479</v>
      </c>
      <c r="AL664" s="154" t="s">
        <v>479</v>
      </c>
      <c r="AS664">
        <v>664</v>
      </c>
    </row>
    <row r="665" spans="1:45" hidden="1" x14ac:dyDescent="0.25">
      <c r="A665">
        <v>664</v>
      </c>
      <c r="B665">
        <v>2025</v>
      </c>
      <c r="C665">
        <v>10</v>
      </c>
      <c r="D665" t="s">
        <v>272</v>
      </c>
      <c r="E665">
        <v>31</v>
      </c>
      <c r="F665">
        <v>9</v>
      </c>
      <c r="G665" t="s">
        <v>535</v>
      </c>
      <c r="H665" s="154">
        <v>0.83333333333333326</v>
      </c>
      <c r="I665" s="154">
        <v>0.75</v>
      </c>
      <c r="J665" s="154">
        <v>1.1666666666666667</v>
      </c>
      <c r="K665" s="154">
        <v>0.75</v>
      </c>
      <c r="L665" s="154">
        <v>0.75</v>
      </c>
      <c r="M665" s="154">
        <v>1.0416666666666667</v>
      </c>
      <c r="N665" s="154">
        <v>0.95833333333333326</v>
      </c>
      <c r="O665" s="154">
        <v>0.75</v>
      </c>
      <c r="P665" s="154">
        <v>0.75</v>
      </c>
      <c r="Q665" s="154">
        <v>0.75</v>
      </c>
      <c r="R665" s="154">
        <v>0.95833333333333326</v>
      </c>
      <c r="S665" s="154">
        <v>0.75</v>
      </c>
      <c r="T665" s="154">
        <v>0.79166666666666674</v>
      </c>
      <c r="U665" s="154">
        <v>0.91666666666666674</v>
      </c>
      <c r="V665" s="154">
        <v>0.875</v>
      </c>
      <c r="W665" s="154">
        <v>0.75</v>
      </c>
      <c r="X665" s="154">
        <v>0.75</v>
      </c>
      <c r="Y665" s="154">
        <v>1.25</v>
      </c>
      <c r="Z665" s="154">
        <v>0.79166666666666674</v>
      </c>
      <c r="AA665" s="154">
        <v>0.95833333333333326</v>
      </c>
      <c r="AB665" s="154">
        <v>0.75</v>
      </c>
      <c r="AC665" s="154">
        <v>0.95833333333333326</v>
      </c>
      <c r="AD665" s="154">
        <v>0.75</v>
      </c>
      <c r="AE665" s="154">
        <v>0.75</v>
      </c>
      <c r="AF665" s="154">
        <v>0.75</v>
      </c>
      <c r="AG665" s="154">
        <v>0.75</v>
      </c>
      <c r="AH665" s="154">
        <v>0.875</v>
      </c>
      <c r="AI665" s="154">
        <v>0.91666666666666674</v>
      </c>
      <c r="AJ665" s="154">
        <v>0.75</v>
      </c>
      <c r="AK665" s="154">
        <v>0.875</v>
      </c>
      <c r="AL665" s="154">
        <v>0.95833333333333326</v>
      </c>
      <c r="AM665" cm="1">
        <f t="array" ref="AM665">SUM(_xlfn.LET(_xlpm.r,((IFERROR(H665:AL665-H664:AL664,0))*24)/10,IF(_xlpm.r&gt;1,1,_xlpm.r)))</f>
        <v>31</v>
      </c>
      <c r="AO665" cm="1">
        <f t="array" ref="AO665">SUM(IFERROR((H665:AL665-H664:AL664)*24-11,""))</f>
        <v>74.999999999999986</v>
      </c>
      <c r="AS665">
        <v>665</v>
      </c>
    </row>
    <row r="666" spans="1:45" hidden="1" x14ac:dyDescent="0.25">
      <c r="A666">
        <v>665</v>
      </c>
      <c r="B666">
        <v>2025</v>
      </c>
      <c r="C666">
        <v>10</v>
      </c>
      <c r="D666" t="s">
        <v>268</v>
      </c>
      <c r="E666">
        <v>31</v>
      </c>
      <c r="F666">
        <v>9</v>
      </c>
      <c r="G666" t="s">
        <v>534</v>
      </c>
      <c r="H666" s="154" t="s">
        <v>479</v>
      </c>
      <c r="I666" s="154" t="s">
        <v>479</v>
      </c>
      <c r="J666" s="154" t="s">
        <v>479</v>
      </c>
      <c r="K666" s="154" t="s">
        <v>479</v>
      </c>
      <c r="L666" s="154" t="s">
        <v>479</v>
      </c>
      <c r="M666" s="154" t="s">
        <v>479</v>
      </c>
      <c r="N666" s="154" t="s">
        <v>479</v>
      </c>
      <c r="O666" s="154" t="s">
        <v>479</v>
      </c>
      <c r="P666" s="154" t="s">
        <v>479</v>
      </c>
      <c r="Q666" s="154" t="s">
        <v>479</v>
      </c>
      <c r="R666" s="154" t="s">
        <v>479</v>
      </c>
      <c r="S666" s="154" t="s">
        <v>479</v>
      </c>
      <c r="T666" s="154" t="s">
        <v>479</v>
      </c>
      <c r="U666" s="154" t="s">
        <v>479</v>
      </c>
      <c r="V666" s="154" t="s">
        <v>479</v>
      </c>
      <c r="W666" s="154" t="s">
        <v>479</v>
      </c>
      <c r="X666" s="154" t="s">
        <v>479</v>
      </c>
      <c r="Y666" s="154" t="s">
        <v>479</v>
      </c>
      <c r="Z666" s="154" t="s">
        <v>479</v>
      </c>
      <c r="AA666" s="154" t="s">
        <v>479</v>
      </c>
      <c r="AB666" s="154" t="s">
        <v>479</v>
      </c>
      <c r="AC666" s="154" t="s">
        <v>479</v>
      </c>
      <c r="AD666" s="154" t="s">
        <v>479</v>
      </c>
      <c r="AE666" s="154" t="s">
        <v>479</v>
      </c>
      <c r="AF666" s="154" t="s">
        <v>479</v>
      </c>
      <c r="AG666" s="154" t="s">
        <v>479</v>
      </c>
      <c r="AH666" s="154" t="s">
        <v>479</v>
      </c>
      <c r="AI666" s="154" t="s">
        <v>479</v>
      </c>
      <c r="AJ666" s="154" t="s">
        <v>479</v>
      </c>
      <c r="AK666" s="154" t="s">
        <v>479</v>
      </c>
      <c r="AL666" s="154" t="s">
        <v>479</v>
      </c>
      <c r="AS666">
        <v>666</v>
      </c>
    </row>
    <row r="667" spans="1:45" hidden="1" x14ac:dyDescent="0.25">
      <c r="A667">
        <v>666</v>
      </c>
      <c r="B667">
        <v>2025</v>
      </c>
      <c r="C667">
        <v>10</v>
      </c>
      <c r="D667" t="s">
        <v>268</v>
      </c>
      <c r="E667">
        <v>31</v>
      </c>
      <c r="F667">
        <v>9</v>
      </c>
      <c r="G667" t="s">
        <v>535</v>
      </c>
      <c r="H667" s="154">
        <v>0.75</v>
      </c>
      <c r="I667" s="154">
        <v>0.83333333333333326</v>
      </c>
      <c r="J667" s="154">
        <v>0.83333333333333326</v>
      </c>
      <c r="K667" s="154">
        <v>0.83333333333333326</v>
      </c>
      <c r="L667" s="154">
        <v>0.83333333333333326</v>
      </c>
      <c r="M667" s="154">
        <v>0.83333333333333326</v>
      </c>
      <c r="N667" s="154">
        <v>0.83333333333333326</v>
      </c>
      <c r="O667" s="154">
        <v>0.75</v>
      </c>
      <c r="P667" s="154">
        <v>0.83333333333333326</v>
      </c>
      <c r="Q667" s="154">
        <v>0.83333333333333326</v>
      </c>
      <c r="R667" s="154">
        <v>0.83333333333333326</v>
      </c>
      <c r="S667" s="154">
        <v>0.83333333333333326</v>
      </c>
      <c r="T667" s="154">
        <v>0.75</v>
      </c>
      <c r="U667" s="154">
        <v>0.83333333333333326</v>
      </c>
      <c r="V667" s="154">
        <v>0.83333333333333326</v>
      </c>
      <c r="W667" s="154">
        <v>0.83333333333333326</v>
      </c>
      <c r="X667" s="154">
        <v>0.83333333333333326</v>
      </c>
      <c r="Y667" s="154">
        <v>0.83333333333333326</v>
      </c>
      <c r="Z667" s="154">
        <v>0.75</v>
      </c>
      <c r="AA667" s="154">
        <v>0.83333333333333326</v>
      </c>
      <c r="AB667" s="154">
        <v>0.83333333333333326</v>
      </c>
      <c r="AC667" s="154">
        <v>0.83333333333333326</v>
      </c>
      <c r="AD667" s="154">
        <v>0.83333333333333326</v>
      </c>
      <c r="AE667" s="154">
        <v>0.83333333333333326</v>
      </c>
      <c r="AF667" s="154">
        <v>0.83333333333333326</v>
      </c>
      <c r="AG667" s="154">
        <v>0.83333333333333326</v>
      </c>
      <c r="AH667" s="154">
        <v>0.83333333333333326</v>
      </c>
      <c r="AI667" s="154">
        <v>0.75</v>
      </c>
      <c r="AJ667" s="154">
        <v>0.83333333333333326</v>
      </c>
      <c r="AK667" s="154">
        <v>0.83333333333333326</v>
      </c>
      <c r="AL667" s="154">
        <v>0.75</v>
      </c>
      <c r="AM667" cm="1">
        <f t="array" ref="AM667">SUM(_xlfn.LET(_xlpm.r,((IFERROR(H667:AL667-H666:AL666,0))*24)/10,IF(_xlpm.r&gt;1,1,_xlpm.r)))</f>
        <v>31</v>
      </c>
      <c r="AO667" cm="1">
        <f t="array" ref="AO667">SUM(IFERROR(MOD((H667:AL667-H666:AL666)*24,11),""))</f>
        <v>49.999999999999943</v>
      </c>
      <c r="AS667">
        <v>667</v>
      </c>
    </row>
    <row r="668" spans="1:45" hidden="1" x14ac:dyDescent="0.25">
      <c r="A668">
        <v>667</v>
      </c>
      <c r="B668">
        <v>2025</v>
      </c>
      <c r="C668">
        <v>10</v>
      </c>
      <c r="D668" t="s">
        <v>267</v>
      </c>
      <c r="E668">
        <v>31</v>
      </c>
      <c r="F668">
        <v>9</v>
      </c>
      <c r="G668" t="s">
        <v>534</v>
      </c>
      <c r="H668" s="154" t="s">
        <v>481</v>
      </c>
      <c r="I668" s="154" t="s">
        <v>481</v>
      </c>
      <c r="J668" s="154" t="s">
        <v>481</v>
      </c>
      <c r="K668" s="154" t="s">
        <v>481</v>
      </c>
      <c r="L668" s="154" t="s">
        <v>481</v>
      </c>
      <c r="M668" s="154" t="s">
        <v>481</v>
      </c>
      <c r="N668" s="154" t="s">
        <v>481</v>
      </c>
      <c r="O668" s="154" t="s">
        <v>481</v>
      </c>
      <c r="P668" s="154" t="s">
        <v>424</v>
      </c>
      <c r="Q668" s="154" t="s">
        <v>481</v>
      </c>
      <c r="R668" s="154" t="s">
        <v>481</v>
      </c>
      <c r="S668" s="154" t="s">
        <v>481</v>
      </c>
      <c r="T668" s="154" t="s">
        <v>424</v>
      </c>
      <c r="U668" s="154" t="s">
        <v>481</v>
      </c>
      <c r="V668" s="154" t="s">
        <v>481</v>
      </c>
      <c r="W668" s="154" t="s">
        <v>481</v>
      </c>
      <c r="X668" s="154" t="s">
        <v>481</v>
      </c>
      <c r="Y668" s="154" t="s">
        <v>481</v>
      </c>
      <c r="Z668" s="154" t="s">
        <v>481</v>
      </c>
      <c r="AA668" s="154" t="s">
        <v>481</v>
      </c>
      <c r="AB668" s="154" t="s">
        <v>481</v>
      </c>
      <c r="AC668" s="154" t="s">
        <v>424</v>
      </c>
      <c r="AD668" s="154" t="s">
        <v>481</v>
      </c>
      <c r="AE668" s="154" t="s">
        <v>481</v>
      </c>
      <c r="AF668" s="154" t="s">
        <v>481</v>
      </c>
      <c r="AG668" s="154" t="s">
        <v>481</v>
      </c>
      <c r="AH668" s="154" t="s">
        <v>481</v>
      </c>
      <c r="AI668" s="154" t="s">
        <v>481</v>
      </c>
      <c r="AJ668" s="154" t="s">
        <v>481</v>
      </c>
      <c r="AK668" s="154" t="s">
        <v>481</v>
      </c>
      <c r="AL668" s="154" t="s">
        <v>481</v>
      </c>
      <c r="AS668">
        <v>668</v>
      </c>
    </row>
    <row r="669" spans="1:45" hidden="1" x14ac:dyDescent="0.25">
      <c r="A669">
        <v>668</v>
      </c>
      <c r="B669">
        <v>2025</v>
      </c>
      <c r="C669">
        <v>10</v>
      </c>
      <c r="D669" t="s">
        <v>267</v>
      </c>
      <c r="E669">
        <v>31</v>
      </c>
      <c r="F669">
        <v>9</v>
      </c>
      <c r="G669" t="s">
        <v>535</v>
      </c>
      <c r="H669" s="154">
        <v>0.8125</v>
      </c>
      <c r="I669" s="154">
        <v>0.8125</v>
      </c>
      <c r="J669" s="154">
        <v>0.8125</v>
      </c>
      <c r="K669" s="154">
        <v>0.8125</v>
      </c>
      <c r="L669" s="154">
        <v>0.8125</v>
      </c>
      <c r="M669" s="154">
        <v>0.8125</v>
      </c>
      <c r="N669" s="154">
        <v>0.8125</v>
      </c>
      <c r="O669" s="154">
        <v>0.8125</v>
      </c>
      <c r="P669" s="154" t="s">
        <v>424</v>
      </c>
      <c r="Q669" s="154">
        <v>0.8125</v>
      </c>
      <c r="R669" s="154">
        <v>0.8125</v>
      </c>
      <c r="S669" s="154">
        <v>0.8125</v>
      </c>
      <c r="T669" s="154" t="s">
        <v>424</v>
      </c>
      <c r="U669" s="154">
        <v>0.8125</v>
      </c>
      <c r="V669" s="154">
        <v>0.8125</v>
      </c>
      <c r="W669" s="154">
        <v>0.8125</v>
      </c>
      <c r="X669" s="154">
        <v>0.8125</v>
      </c>
      <c r="Y669" s="154">
        <v>0.8125</v>
      </c>
      <c r="Z669" s="154">
        <v>0.8125</v>
      </c>
      <c r="AA669" s="154">
        <v>0.6875</v>
      </c>
      <c r="AB669" s="154">
        <v>0.89583333333333326</v>
      </c>
      <c r="AC669" s="154" t="s">
        <v>424</v>
      </c>
      <c r="AD669" s="154">
        <v>0.8125</v>
      </c>
      <c r="AE669" s="154">
        <v>0.8125</v>
      </c>
      <c r="AF669" s="154">
        <v>0.8125</v>
      </c>
      <c r="AG669" s="154">
        <v>0.8125</v>
      </c>
      <c r="AH669" s="154">
        <v>0.8125</v>
      </c>
      <c r="AI669" s="154">
        <v>0.8125</v>
      </c>
      <c r="AJ669" s="154">
        <v>0.8125</v>
      </c>
      <c r="AK669" s="154">
        <v>0.8125</v>
      </c>
      <c r="AL669" s="154">
        <v>0.8125</v>
      </c>
      <c r="AM669" cm="1">
        <f t="array" ref="AM669">SUM(_xlfn.LET(_xlpm.r,((IFERROR(H669:AL669-H668:AL668,0))*24)/10,IF(_xlpm.r&gt;1,1,_xlpm.r)))</f>
        <v>28</v>
      </c>
      <c r="AO669" cm="1">
        <f t="array" ref="AO669">SUM(IFERROR(MOD((H669:AL669-H668:AL668)*24,11),""))</f>
        <v>83</v>
      </c>
      <c r="AS669">
        <v>669</v>
      </c>
    </row>
    <row r="670" spans="1:45" hidden="1" x14ac:dyDescent="0.25">
      <c r="A670">
        <v>669</v>
      </c>
      <c r="B670">
        <v>2025</v>
      </c>
      <c r="C670">
        <v>10</v>
      </c>
      <c r="D670" t="s">
        <v>234</v>
      </c>
      <c r="E670">
        <v>31</v>
      </c>
      <c r="F670">
        <v>9</v>
      </c>
      <c r="G670" t="s">
        <v>534</v>
      </c>
      <c r="H670" s="154" t="s">
        <v>479</v>
      </c>
      <c r="I670" s="154" t="s">
        <v>479</v>
      </c>
      <c r="J670" s="154" t="s">
        <v>479</v>
      </c>
      <c r="K670" s="154" t="s">
        <v>479</v>
      </c>
      <c r="L670" s="154" t="s">
        <v>479</v>
      </c>
      <c r="M670" s="154" t="s">
        <v>479</v>
      </c>
      <c r="N670" s="154" t="s">
        <v>479</v>
      </c>
      <c r="O670" s="154" t="s">
        <v>479</v>
      </c>
      <c r="P670" s="154" t="s">
        <v>479</v>
      </c>
      <c r="Q670" s="154" t="s">
        <v>479</v>
      </c>
      <c r="R670" s="154" t="s">
        <v>479</v>
      </c>
      <c r="S670" s="154" t="s">
        <v>479</v>
      </c>
      <c r="T670" s="154" t="s">
        <v>479</v>
      </c>
      <c r="U670" s="154" t="s">
        <v>479</v>
      </c>
      <c r="V670" s="154" t="s">
        <v>479</v>
      </c>
      <c r="W670" s="154" t="s">
        <v>479</v>
      </c>
      <c r="X670" s="154" t="s">
        <v>479</v>
      </c>
      <c r="Y670" s="154" t="s">
        <v>479</v>
      </c>
      <c r="Z670" s="154" t="s">
        <v>479</v>
      </c>
      <c r="AA670" s="154" t="s">
        <v>479</v>
      </c>
      <c r="AB670" s="154" t="s">
        <v>479</v>
      </c>
      <c r="AC670" s="154" t="s">
        <v>479</v>
      </c>
      <c r="AD670" s="154" t="s">
        <v>479</v>
      </c>
      <c r="AE670" s="154" t="s">
        <v>479</v>
      </c>
      <c r="AF670" s="154" t="s">
        <v>479</v>
      </c>
      <c r="AG670" s="154" t="s">
        <v>424</v>
      </c>
      <c r="AH670" s="154" t="s">
        <v>479</v>
      </c>
      <c r="AI670" s="154" t="s">
        <v>479</v>
      </c>
      <c r="AJ670" s="154" t="s">
        <v>479</v>
      </c>
      <c r="AK670" s="154" t="s">
        <v>479</v>
      </c>
      <c r="AL670" s="154" t="s">
        <v>479</v>
      </c>
      <c r="AS670">
        <v>670</v>
      </c>
    </row>
    <row r="671" spans="1:45" hidden="1" x14ac:dyDescent="0.25">
      <c r="A671">
        <v>670</v>
      </c>
      <c r="B671">
        <v>2025</v>
      </c>
      <c r="C671">
        <v>10</v>
      </c>
      <c r="D671" t="s">
        <v>234</v>
      </c>
      <c r="E671">
        <v>31</v>
      </c>
      <c r="F671">
        <v>9</v>
      </c>
      <c r="G671" t="s">
        <v>535</v>
      </c>
      <c r="H671" s="154">
        <v>0.75</v>
      </c>
      <c r="I671" s="154">
        <v>0.75</v>
      </c>
      <c r="J671" s="154">
        <v>0.75</v>
      </c>
      <c r="K671" s="154">
        <v>0.75</v>
      </c>
      <c r="L671" s="154">
        <v>0.75</v>
      </c>
      <c r="M671" s="154">
        <v>0.75</v>
      </c>
      <c r="N671" s="154">
        <v>0.75</v>
      </c>
      <c r="O671" s="154">
        <v>0.75</v>
      </c>
      <c r="P671" s="154">
        <v>0.79166666666666674</v>
      </c>
      <c r="Q671" s="154">
        <v>0.75</v>
      </c>
      <c r="R671" s="154">
        <v>0.95833333333333326</v>
      </c>
      <c r="S671" s="154">
        <v>1</v>
      </c>
      <c r="T671" s="154">
        <v>0.875</v>
      </c>
      <c r="U671" s="154">
        <v>0.875</v>
      </c>
      <c r="V671" s="154">
        <v>0.75</v>
      </c>
      <c r="W671" s="154">
        <v>0.91666666666666674</v>
      </c>
      <c r="X671" s="154">
        <v>0.75</v>
      </c>
      <c r="Y671" s="154">
        <v>0.875</v>
      </c>
      <c r="Z671" s="154">
        <v>0.79166666666666674</v>
      </c>
      <c r="AA671" s="154">
        <v>0.83333333333333326</v>
      </c>
      <c r="AB671" s="154">
        <v>0.83333333333333326</v>
      </c>
      <c r="AC671" s="154">
        <v>0.75</v>
      </c>
      <c r="AD671" s="154">
        <v>0.91666666666666674</v>
      </c>
      <c r="AE671" s="154">
        <v>0.91666666666666674</v>
      </c>
      <c r="AF671" s="154">
        <v>0.75</v>
      </c>
      <c r="AG671" s="154" t="s">
        <v>424</v>
      </c>
      <c r="AH671" s="154">
        <v>0.75</v>
      </c>
      <c r="AI671" s="154">
        <v>0.75</v>
      </c>
      <c r="AJ671" s="154">
        <v>0.75</v>
      </c>
      <c r="AK671" s="154">
        <v>0.75</v>
      </c>
      <c r="AL671" s="154">
        <v>0.875</v>
      </c>
      <c r="AM671" cm="1">
        <f t="array" ref="AM671">SUM(_xlfn.LET(_xlpm.r,((IFERROR(H671:AL671-H670:AL670,0))*24)/10,IF(_xlpm.r&gt;1,1,_xlpm.r)))</f>
        <v>30</v>
      </c>
      <c r="AO671" cm="1">
        <f t="array" ref="AO671">SUM(IFERROR(MOD((H671:AL671-H670:AL670)*24,11),""))</f>
        <v>40.999999999999986</v>
      </c>
      <c r="AS671">
        <v>671</v>
      </c>
    </row>
    <row r="672" spans="1:45" hidden="1" x14ac:dyDescent="0.25">
      <c r="A672">
        <v>671</v>
      </c>
      <c r="B672">
        <v>2025</v>
      </c>
      <c r="C672">
        <v>10</v>
      </c>
      <c r="D672" t="s">
        <v>278</v>
      </c>
      <c r="E672">
        <v>31</v>
      </c>
      <c r="F672">
        <v>9</v>
      </c>
      <c r="G672" t="s">
        <v>534</v>
      </c>
      <c r="H672" s="154" t="s">
        <v>483</v>
      </c>
      <c r="I672" s="154" t="s">
        <v>479</v>
      </c>
      <c r="J672" s="154" t="s">
        <v>479</v>
      </c>
      <c r="K672" s="154" t="s">
        <v>532</v>
      </c>
      <c r="L672" s="154" t="s">
        <v>479</v>
      </c>
      <c r="M672" s="154" t="s">
        <v>479</v>
      </c>
      <c r="N672" s="154" t="s">
        <v>479</v>
      </c>
      <c r="O672" s="154" t="s">
        <v>483</v>
      </c>
      <c r="P672" s="154" t="s">
        <v>479</v>
      </c>
      <c r="Q672" s="154" t="s">
        <v>479</v>
      </c>
      <c r="R672" s="154" t="s">
        <v>529</v>
      </c>
      <c r="S672" s="154" t="s">
        <v>483</v>
      </c>
      <c r="T672" s="154" t="s">
        <v>524</v>
      </c>
      <c r="U672" s="154" t="s">
        <v>483</v>
      </c>
      <c r="V672" s="154" t="s">
        <v>479</v>
      </c>
      <c r="W672" s="154" t="s">
        <v>515</v>
      </c>
      <c r="X672" s="154" t="s">
        <v>479</v>
      </c>
      <c r="Y672" s="154" t="s">
        <v>479</v>
      </c>
      <c r="Z672" s="154" t="s">
        <v>479</v>
      </c>
      <c r="AA672" s="154" t="s">
        <v>532</v>
      </c>
      <c r="AB672" s="154" t="s">
        <v>479</v>
      </c>
      <c r="AC672" s="154" t="s">
        <v>532</v>
      </c>
      <c r="AD672" s="154" t="s">
        <v>532</v>
      </c>
      <c r="AE672" s="154" t="s">
        <v>479</v>
      </c>
      <c r="AF672" s="154" t="s">
        <v>479</v>
      </c>
      <c r="AG672" s="154" t="s">
        <v>532</v>
      </c>
      <c r="AH672" s="154" t="s">
        <v>479</v>
      </c>
      <c r="AI672" s="154" t="s">
        <v>479</v>
      </c>
      <c r="AJ672" s="154" t="s">
        <v>479</v>
      </c>
      <c r="AK672" s="154" t="s">
        <v>479</v>
      </c>
      <c r="AL672" s="154" t="s">
        <v>532</v>
      </c>
      <c r="AS672">
        <v>672</v>
      </c>
    </row>
    <row r="673" spans="1:46" hidden="1" x14ac:dyDescent="0.25">
      <c r="A673">
        <v>672</v>
      </c>
      <c r="B673">
        <v>2025</v>
      </c>
      <c r="C673">
        <v>10</v>
      </c>
      <c r="D673" t="s">
        <v>278</v>
      </c>
      <c r="E673">
        <v>31</v>
      </c>
      <c r="F673">
        <v>9</v>
      </c>
      <c r="G673" t="s">
        <v>535</v>
      </c>
      <c r="H673" s="154">
        <v>0.75</v>
      </c>
      <c r="I673" s="154">
        <v>0.75</v>
      </c>
      <c r="J673" s="154">
        <v>0.875</v>
      </c>
      <c r="K673" s="154">
        <v>0.75</v>
      </c>
      <c r="L673" s="154">
        <v>0.75</v>
      </c>
      <c r="M673" s="154">
        <v>0.75</v>
      </c>
      <c r="N673" s="154">
        <v>0.75</v>
      </c>
      <c r="O673" s="154">
        <v>0.75</v>
      </c>
      <c r="P673" s="154">
        <v>0.75</v>
      </c>
      <c r="Q673" s="154">
        <v>0.75</v>
      </c>
      <c r="R673" s="154">
        <v>0.75</v>
      </c>
      <c r="S673" s="154">
        <v>0.75</v>
      </c>
      <c r="T673" s="154">
        <v>1.75</v>
      </c>
      <c r="U673" s="154">
        <v>0.75</v>
      </c>
      <c r="V673" s="154">
        <v>0.75</v>
      </c>
      <c r="W673" s="154">
        <v>1.7499999999999998</v>
      </c>
      <c r="X673" s="154">
        <v>0.75</v>
      </c>
      <c r="Y673" s="154">
        <v>0.75</v>
      </c>
      <c r="Z673" s="154">
        <v>0.75</v>
      </c>
      <c r="AA673" s="154">
        <v>0.75</v>
      </c>
      <c r="AB673" s="154">
        <v>0.79166666666666674</v>
      </c>
      <c r="AC673" s="154">
        <v>0.75</v>
      </c>
      <c r="AD673" s="154">
        <v>0.75</v>
      </c>
      <c r="AE673" s="154">
        <v>0.95833333333333326</v>
      </c>
      <c r="AF673" s="154">
        <v>1</v>
      </c>
      <c r="AG673" s="154">
        <v>0.75</v>
      </c>
      <c r="AH673" s="154">
        <v>0.75</v>
      </c>
      <c r="AI673" s="154">
        <v>0.75</v>
      </c>
      <c r="AJ673" s="154">
        <v>0.75</v>
      </c>
      <c r="AK673" s="154">
        <v>0.75</v>
      </c>
      <c r="AL673" s="154">
        <v>0.75</v>
      </c>
      <c r="AM673" cm="1">
        <f t="array" ref="AM673">SUM(_xlfn.LET(_xlpm.r,((IFERROR(H673:AL673-H672:AL672,0))*24)/10,IF(_xlpm.r&gt;1,1,_xlpm.r)))</f>
        <v>31</v>
      </c>
      <c r="AO673" cm="1">
        <f t="array" ref="AO673">SUM(IFERROR(MOD((H673:AL673-H672:AL672)*24,11),""))</f>
        <v>101</v>
      </c>
      <c r="AS673">
        <v>673</v>
      </c>
    </row>
    <row r="674" spans="1:46" hidden="1" x14ac:dyDescent="0.25">
      <c r="A674">
        <v>673</v>
      </c>
      <c r="B674">
        <v>2025</v>
      </c>
      <c r="C674">
        <v>10</v>
      </c>
      <c r="D674" t="s">
        <v>259</v>
      </c>
      <c r="E674">
        <v>31</v>
      </c>
      <c r="F674">
        <v>9</v>
      </c>
      <c r="G674" t="s">
        <v>536</v>
      </c>
      <c r="H674" s="154">
        <v>383307</v>
      </c>
      <c r="I674" s="154">
        <v>383426</v>
      </c>
      <c r="J674" s="154">
        <v>383590</v>
      </c>
      <c r="K674" s="154">
        <v>383726</v>
      </c>
      <c r="L674" s="154">
        <v>383846</v>
      </c>
      <c r="M674" s="154">
        <v>383953</v>
      </c>
      <c r="N674" s="154">
        <v>384072</v>
      </c>
      <c r="O674" s="154">
        <v>384195</v>
      </c>
      <c r="P674" s="154">
        <v>384313</v>
      </c>
      <c r="Q674" s="154">
        <v>384442</v>
      </c>
      <c r="R674" s="154">
        <v>384568</v>
      </c>
      <c r="S674" s="154">
        <v>384690</v>
      </c>
      <c r="T674" s="154">
        <v>384803</v>
      </c>
      <c r="U674" s="154">
        <v>384943</v>
      </c>
      <c r="V674" s="154">
        <v>385087</v>
      </c>
      <c r="W674" s="154">
        <v>385229</v>
      </c>
      <c r="X674" s="154">
        <v>385362</v>
      </c>
      <c r="Y674" s="154">
        <v>385491</v>
      </c>
      <c r="Z674" s="154">
        <v>385638</v>
      </c>
      <c r="AA674" s="154">
        <v>385767</v>
      </c>
      <c r="AB674" s="154">
        <v>385904</v>
      </c>
      <c r="AC674" s="154">
        <v>386047</v>
      </c>
      <c r="AD674" s="154">
        <v>386199</v>
      </c>
      <c r="AE674" s="154">
        <v>386347</v>
      </c>
      <c r="AF674" s="154">
        <v>386479</v>
      </c>
      <c r="AG674" s="154">
        <v>386607</v>
      </c>
      <c r="AH674" s="154">
        <v>386718</v>
      </c>
      <c r="AI674" s="154">
        <v>386840</v>
      </c>
      <c r="AJ674" s="154">
        <v>386979</v>
      </c>
      <c r="AK674" s="154">
        <v>387106</v>
      </c>
      <c r="AL674" s="154">
        <v>387248</v>
      </c>
      <c r="AS674">
        <v>674</v>
      </c>
    </row>
    <row r="675" spans="1:46" hidden="1" x14ac:dyDescent="0.25">
      <c r="A675">
        <v>674</v>
      </c>
      <c r="B675">
        <v>2025</v>
      </c>
      <c r="C675">
        <v>10</v>
      </c>
      <c r="D675" t="s">
        <v>259</v>
      </c>
      <c r="E675">
        <v>31</v>
      </c>
      <c r="F675">
        <v>9</v>
      </c>
      <c r="G675" t="s">
        <v>537</v>
      </c>
      <c r="H675" s="154">
        <v>383426</v>
      </c>
      <c r="I675" s="154">
        <v>383590</v>
      </c>
      <c r="J675" s="154">
        <v>383726</v>
      </c>
      <c r="K675" s="154">
        <v>383846</v>
      </c>
      <c r="L675" s="154">
        <v>383953</v>
      </c>
      <c r="M675" s="154">
        <v>384072</v>
      </c>
      <c r="N675" s="154">
        <v>384195</v>
      </c>
      <c r="O675" s="154">
        <v>384313</v>
      </c>
      <c r="P675" s="154">
        <v>384442</v>
      </c>
      <c r="Q675" s="154">
        <v>384568</v>
      </c>
      <c r="R675" s="154">
        <v>384690</v>
      </c>
      <c r="S675" s="154">
        <v>384803</v>
      </c>
      <c r="T675" s="154">
        <v>384949</v>
      </c>
      <c r="U675" s="154">
        <v>385087</v>
      </c>
      <c r="V675" s="154">
        <v>385229</v>
      </c>
      <c r="W675" s="154">
        <v>385362</v>
      </c>
      <c r="X675" s="154">
        <v>385491</v>
      </c>
      <c r="Y675" s="154">
        <v>385638</v>
      </c>
      <c r="Z675" s="154">
        <v>385767</v>
      </c>
      <c r="AA675" s="154">
        <v>385904</v>
      </c>
      <c r="AB675" s="154">
        <v>386047</v>
      </c>
      <c r="AC675" s="154">
        <v>386199</v>
      </c>
      <c r="AD675" s="154">
        <v>386347</v>
      </c>
      <c r="AE675" s="154">
        <v>386479</v>
      </c>
      <c r="AF675" s="154">
        <v>386607</v>
      </c>
      <c r="AG675" s="154">
        <v>386718</v>
      </c>
      <c r="AH675" s="154">
        <v>386840</v>
      </c>
      <c r="AI675" s="154">
        <v>386979</v>
      </c>
      <c r="AJ675" s="154">
        <v>387106</v>
      </c>
      <c r="AK675" s="154">
        <v>387248</v>
      </c>
      <c r="AL675" s="154">
        <v>387382</v>
      </c>
      <c r="AP675" cm="1">
        <f t="array" ref="AP675">IF(AQ675="","",SUM(IFERROR(H675:AL675-H674:AL674,0))*AQ675/100)</f>
        <v>612.15</v>
      </c>
      <c r="AQ675">
        <f>_xlfn.XLOOKUP(D675,log_prices!M:M,log_prices!L:L,,0)</f>
        <v>15</v>
      </c>
      <c r="AS675">
        <v>675</v>
      </c>
      <c r="AT675" cm="1">
        <f t="array" ref="AT675">IF(AQ675="","",SUM(IFERROR(H675:AL675-H674:AL674,0)))</f>
        <v>4081</v>
      </c>
    </row>
    <row r="676" spans="1:46" hidden="1" x14ac:dyDescent="0.25">
      <c r="A676">
        <v>675</v>
      </c>
      <c r="B676">
        <v>2025</v>
      </c>
      <c r="C676">
        <v>10</v>
      </c>
      <c r="D676" t="s">
        <v>284</v>
      </c>
      <c r="E676">
        <v>31</v>
      </c>
      <c r="F676">
        <v>9</v>
      </c>
      <c r="G676" t="s">
        <v>536</v>
      </c>
      <c r="H676" s="154" t="s">
        <v>424</v>
      </c>
      <c r="I676" s="154" t="s">
        <v>424</v>
      </c>
      <c r="J676" s="154" t="s">
        <v>424</v>
      </c>
      <c r="K676" s="154" t="s">
        <v>424</v>
      </c>
      <c r="L676" s="154" t="s">
        <v>424</v>
      </c>
      <c r="M676" s="154" t="s">
        <v>424</v>
      </c>
      <c r="N676" s="154" t="s">
        <v>424</v>
      </c>
      <c r="O676" s="154" t="s">
        <v>424</v>
      </c>
      <c r="P676" s="154" t="s">
        <v>424</v>
      </c>
      <c r="Q676" s="154" t="s">
        <v>424</v>
      </c>
      <c r="R676" s="154" t="s">
        <v>424</v>
      </c>
      <c r="S676" s="154" t="s">
        <v>424</v>
      </c>
      <c r="T676" s="154" t="s">
        <v>424</v>
      </c>
      <c r="U676" s="154" t="s">
        <v>424</v>
      </c>
      <c r="V676" s="154" t="s">
        <v>424</v>
      </c>
      <c r="W676" s="154" t="s">
        <v>424</v>
      </c>
      <c r="X676" s="154" t="s">
        <v>424</v>
      </c>
      <c r="Y676" s="154" t="s">
        <v>424</v>
      </c>
      <c r="Z676" s="154" t="s">
        <v>424</v>
      </c>
      <c r="AA676" s="154" t="s">
        <v>424</v>
      </c>
      <c r="AB676" s="154" t="s">
        <v>424</v>
      </c>
      <c r="AC676" s="154" t="s">
        <v>424</v>
      </c>
      <c r="AD676" s="154" t="s">
        <v>424</v>
      </c>
      <c r="AE676" s="154" t="s">
        <v>424</v>
      </c>
      <c r="AF676" s="154" t="s">
        <v>424</v>
      </c>
      <c r="AG676" s="154" t="s">
        <v>424</v>
      </c>
      <c r="AH676" s="154" t="s">
        <v>424</v>
      </c>
      <c r="AI676" s="154" t="s">
        <v>424</v>
      </c>
      <c r="AJ676" s="154" t="s">
        <v>424</v>
      </c>
      <c r="AK676" s="154">
        <v>507015</v>
      </c>
      <c r="AL676" s="154" t="s">
        <v>424</v>
      </c>
      <c r="AS676">
        <v>676</v>
      </c>
    </row>
    <row r="677" spans="1:46" hidden="1" x14ac:dyDescent="0.25">
      <c r="A677">
        <v>676</v>
      </c>
      <c r="B677">
        <v>2025</v>
      </c>
      <c r="C677">
        <v>10</v>
      </c>
      <c r="D677" t="s">
        <v>284</v>
      </c>
      <c r="E677">
        <v>31</v>
      </c>
      <c r="F677">
        <v>9</v>
      </c>
      <c r="G677" t="s">
        <v>537</v>
      </c>
      <c r="H677" s="154" t="s">
        <v>424</v>
      </c>
      <c r="I677" s="154" t="s">
        <v>424</v>
      </c>
      <c r="J677" s="154" t="s">
        <v>424</v>
      </c>
      <c r="K677" s="154" t="s">
        <v>424</v>
      </c>
      <c r="L677" s="154" t="s">
        <v>424</v>
      </c>
      <c r="M677" s="154" t="s">
        <v>424</v>
      </c>
      <c r="N677" s="154" t="s">
        <v>424</v>
      </c>
      <c r="O677" s="154" t="s">
        <v>424</v>
      </c>
      <c r="P677" s="154" t="s">
        <v>424</v>
      </c>
      <c r="Q677" s="154" t="s">
        <v>424</v>
      </c>
      <c r="R677" s="154" t="s">
        <v>424</v>
      </c>
      <c r="S677" s="154" t="s">
        <v>424</v>
      </c>
      <c r="T677" s="154" t="s">
        <v>424</v>
      </c>
      <c r="U677" s="154" t="s">
        <v>424</v>
      </c>
      <c r="V677" s="154" t="s">
        <v>424</v>
      </c>
      <c r="W677" s="154" t="s">
        <v>424</v>
      </c>
      <c r="X677" s="154" t="s">
        <v>424</v>
      </c>
      <c r="Y677" s="154" t="s">
        <v>424</v>
      </c>
      <c r="Z677" s="154" t="s">
        <v>424</v>
      </c>
      <c r="AA677" s="154" t="s">
        <v>424</v>
      </c>
      <c r="AB677" s="154" t="s">
        <v>424</v>
      </c>
      <c r="AC677" s="154" t="s">
        <v>424</v>
      </c>
      <c r="AD677" s="154" t="s">
        <v>424</v>
      </c>
      <c r="AE677" s="154" t="s">
        <v>424</v>
      </c>
      <c r="AF677" s="154" t="s">
        <v>424</v>
      </c>
      <c r="AG677" s="154" t="s">
        <v>424</v>
      </c>
      <c r="AH677" s="154" t="s">
        <v>424</v>
      </c>
      <c r="AI677" s="154" t="s">
        <v>424</v>
      </c>
      <c r="AJ677" s="154" t="s">
        <v>424</v>
      </c>
      <c r="AK677" s="154">
        <v>507020</v>
      </c>
      <c r="AL677" s="154" t="s">
        <v>424</v>
      </c>
      <c r="AP677" cm="1">
        <f t="array" ref="AP677">IF(AQ677="","",SUM(IFERROR(H677:AL677-H676:AL676,0))*AQ677/100)</f>
        <v>0.75</v>
      </c>
      <c r="AQ677">
        <f>_xlfn.XLOOKUP(D677,log_prices!M:M,log_prices!L:L,,0)</f>
        <v>15</v>
      </c>
      <c r="AS677">
        <v>677</v>
      </c>
      <c r="AT677" cm="1">
        <f t="array" ref="AT677">IF(AQ677="","",SUM(IFERROR(H677:AL677-H676:AL676,0)))</f>
        <v>5</v>
      </c>
    </row>
    <row r="678" spans="1:46" hidden="1" x14ac:dyDescent="0.25">
      <c r="A678">
        <v>677</v>
      </c>
      <c r="B678">
        <v>2025</v>
      </c>
      <c r="C678">
        <v>10</v>
      </c>
      <c r="D678" t="s">
        <v>280</v>
      </c>
      <c r="E678">
        <v>31</v>
      </c>
      <c r="F678">
        <v>9</v>
      </c>
      <c r="G678" t="s">
        <v>536</v>
      </c>
      <c r="H678" s="154">
        <v>227138</v>
      </c>
      <c r="I678" s="154">
        <v>227328</v>
      </c>
      <c r="J678" s="154">
        <v>227578</v>
      </c>
      <c r="K678" s="154">
        <v>227829</v>
      </c>
      <c r="L678" s="154">
        <v>227968</v>
      </c>
      <c r="M678" s="154">
        <v>228101</v>
      </c>
      <c r="N678" s="154">
        <v>228199</v>
      </c>
      <c r="O678" s="154">
        <v>228382</v>
      </c>
      <c r="P678" s="154">
        <v>228576</v>
      </c>
      <c r="Q678" s="154">
        <v>228740</v>
      </c>
      <c r="R678" s="154">
        <v>228910</v>
      </c>
      <c r="S678" s="154">
        <v>229099</v>
      </c>
      <c r="T678" s="154">
        <v>229257</v>
      </c>
      <c r="U678" s="154">
        <v>229498</v>
      </c>
      <c r="V678" s="154">
        <v>229622</v>
      </c>
      <c r="W678" s="154">
        <v>229794</v>
      </c>
      <c r="X678" s="154">
        <v>230001</v>
      </c>
      <c r="Y678" s="154">
        <v>230242</v>
      </c>
      <c r="Z678" s="154">
        <v>230489</v>
      </c>
      <c r="AA678" s="154">
        <v>230738</v>
      </c>
      <c r="AB678" s="154">
        <v>230955</v>
      </c>
      <c r="AC678" s="154">
        <v>231144</v>
      </c>
      <c r="AD678" s="154">
        <v>231313</v>
      </c>
      <c r="AE678" s="154">
        <v>231471</v>
      </c>
      <c r="AF678" s="154">
        <v>231661</v>
      </c>
      <c r="AG678" s="154">
        <v>231829</v>
      </c>
      <c r="AH678" s="154">
        <v>231996</v>
      </c>
      <c r="AI678" s="154">
        <v>232166</v>
      </c>
      <c r="AJ678" s="154" t="s">
        <v>424</v>
      </c>
      <c r="AK678" s="154" t="s">
        <v>424</v>
      </c>
      <c r="AL678" s="154">
        <v>232332</v>
      </c>
      <c r="AS678">
        <v>678</v>
      </c>
    </row>
    <row r="679" spans="1:46" hidden="1" x14ac:dyDescent="0.25">
      <c r="A679">
        <v>678</v>
      </c>
      <c r="B679">
        <v>2025</v>
      </c>
      <c r="C679">
        <v>10</v>
      </c>
      <c r="D679" t="s">
        <v>280</v>
      </c>
      <c r="E679">
        <v>31</v>
      </c>
      <c r="F679">
        <v>9</v>
      </c>
      <c r="G679" t="s">
        <v>537</v>
      </c>
      <c r="H679" s="154">
        <v>227328</v>
      </c>
      <c r="I679" s="154">
        <v>227578</v>
      </c>
      <c r="J679" s="154">
        <v>227829</v>
      </c>
      <c r="K679" s="154">
        <v>227968</v>
      </c>
      <c r="L679" s="154">
        <v>228101</v>
      </c>
      <c r="M679" s="154">
        <v>228199</v>
      </c>
      <c r="N679" s="154">
        <v>228382</v>
      </c>
      <c r="O679" s="154">
        <v>228576</v>
      </c>
      <c r="P679" s="154">
        <v>228740</v>
      </c>
      <c r="Q679" s="154">
        <v>228910</v>
      </c>
      <c r="R679" s="154">
        <v>229099</v>
      </c>
      <c r="S679" s="154">
        <v>229257</v>
      </c>
      <c r="T679" s="154">
        <v>229498</v>
      </c>
      <c r="U679" s="154">
        <v>229622</v>
      </c>
      <c r="V679" s="154">
        <v>229794</v>
      </c>
      <c r="W679" s="154">
        <v>230001</v>
      </c>
      <c r="X679" s="154">
        <v>230242</v>
      </c>
      <c r="Y679" s="154">
        <v>230489</v>
      </c>
      <c r="Z679" s="154">
        <v>230738</v>
      </c>
      <c r="AA679" s="154">
        <v>230985</v>
      </c>
      <c r="AB679" s="154">
        <v>231144</v>
      </c>
      <c r="AC679" s="154">
        <v>231313</v>
      </c>
      <c r="AD679" s="154">
        <v>231471</v>
      </c>
      <c r="AE679" s="154">
        <v>231661</v>
      </c>
      <c r="AF679" s="154">
        <v>231829</v>
      </c>
      <c r="AG679" s="154">
        <v>231996</v>
      </c>
      <c r="AH679" s="154">
        <v>232166</v>
      </c>
      <c r="AI679" s="154">
        <v>232332</v>
      </c>
      <c r="AJ679" s="154" t="s">
        <v>424</v>
      </c>
      <c r="AK679" s="154" t="s">
        <v>424</v>
      </c>
      <c r="AL679" s="154">
        <v>232502</v>
      </c>
      <c r="AP679" cm="1">
        <f t="array" ref="AP679">IF(AQ679="","",SUM(IFERROR(H679:AL679-H678:AL678,0))*AQ679/100)</f>
        <v>701.22</v>
      </c>
      <c r="AQ679">
        <f>_xlfn.XLOOKUP(D679,log_prices!M:M,log_prices!L:L,,0)</f>
        <v>13</v>
      </c>
      <c r="AS679">
        <v>679</v>
      </c>
      <c r="AT679" cm="1">
        <f t="array" ref="AT679">IF(AQ679="","",SUM(IFERROR(H679:AL679-H678:AL678,0)))</f>
        <v>5394</v>
      </c>
    </row>
    <row r="680" spans="1:46" hidden="1" x14ac:dyDescent="0.25">
      <c r="A680">
        <v>679</v>
      </c>
      <c r="B680">
        <v>2025</v>
      </c>
      <c r="C680">
        <v>10</v>
      </c>
      <c r="D680" t="s">
        <v>269</v>
      </c>
      <c r="E680">
        <v>31</v>
      </c>
      <c r="F680">
        <v>9</v>
      </c>
      <c r="G680" t="s">
        <v>536</v>
      </c>
      <c r="H680" s="154">
        <v>30402</v>
      </c>
      <c r="I680" s="154">
        <v>30519</v>
      </c>
      <c r="J680" s="154">
        <v>30549</v>
      </c>
      <c r="K680" s="154">
        <v>30572</v>
      </c>
      <c r="L680" s="154">
        <v>30588</v>
      </c>
      <c r="M680" s="154">
        <v>30633</v>
      </c>
      <c r="N680" s="154">
        <v>30681</v>
      </c>
      <c r="O680" s="154">
        <v>30694</v>
      </c>
      <c r="P680" s="154">
        <v>30703</v>
      </c>
      <c r="Q680" s="154">
        <v>30723</v>
      </c>
      <c r="R680" s="154">
        <v>30740</v>
      </c>
      <c r="S680" s="154">
        <v>30777</v>
      </c>
      <c r="T680" s="154">
        <v>30789</v>
      </c>
      <c r="U680" s="154">
        <v>30814</v>
      </c>
      <c r="V680" s="154">
        <v>30836</v>
      </c>
      <c r="W680" s="154">
        <v>30880</v>
      </c>
      <c r="X680" s="154">
        <v>30891</v>
      </c>
      <c r="Y680" s="154">
        <v>30902</v>
      </c>
      <c r="Z680" s="154">
        <v>30921</v>
      </c>
      <c r="AA680" s="154">
        <v>30938</v>
      </c>
      <c r="AB680" s="154">
        <v>30975</v>
      </c>
      <c r="AC680" s="154">
        <v>30992</v>
      </c>
      <c r="AD680" s="154">
        <v>31012</v>
      </c>
      <c r="AE680" s="154">
        <v>31053</v>
      </c>
      <c r="AF680" s="154">
        <v>31074</v>
      </c>
      <c r="AG680" s="154">
        <v>31101</v>
      </c>
      <c r="AH680" s="154">
        <v>31114</v>
      </c>
      <c r="AI680" s="154">
        <v>31198</v>
      </c>
      <c r="AJ680" s="154">
        <v>31217</v>
      </c>
      <c r="AK680" s="154">
        <v>31243</v>
      </c>
      <c r="AL680" s="154">
        <v>31261</v>
      </c>
      <c r="AS680">
        <v>680</v>
      </c>
    </row>
    <row r="681" spans="1:46" hidden="1" x14ac:dyDescent="0.25">
      <c r="A681">
        <v>680</v>
      </c>
      <c r="B681">
        <v>2025</v>
      </c>
      <c r="C681">
        <v>10</v>
      </c>
      <c r="D681" t="s">
        <v>269</v>
      </c>
      <c r="E681">
        <v>31</v>
      </c>
      <c r="F681">
        <v>9</v>
      </c>
      <c r="G681" t="s">
        <v>537</v>
      </c>
      <c r="H681" s="154">
        <v>30519</v>
      </c>
      <c r="I681" s="154">
        <v>30549</v>
      </c>
      <c r="J681" s="154">
        <v>30572</v>
      </c>
      <c r="K681" s="154">
        <v>30588</v>
      </c>
      <c r="L681" s="154">
        <v>30633</v>
      </c>
      <c r="M681" s="154">
        <v>30681</v>
      </c>
      <c r="N681" s="154">
        <v>30694</v>
      </c>
      <c r="O681" s="154">
        <v>30703</v>
      </c>
      <c r="P681" s="154">
        <v>30723</v>
      </c>
      <c r="Q681" s="154">
        <v>30740</v>
      </c>
      <c r="R681" s="154">
        <v>30777</v>
      </c>
      <c r="S681" s="154">
        <v>30789</v>
      </c>
      <c r="T681" s="154">
        <v>30814</v>
      </c>
      <c r="U681" s="154">
        <v>30836</v>
      </c>
      <c r="V681" s="154">
        <v>30880</v>
      </c>
      <c r="W681" s="154">
        <v>30891</v>
      </c>
      <c r="X681" s="154">
        <v>30902</v>
      </c>
      <c r="Y681" s="154">
        <v>30921</v>
      </c>
      <c r="Z681" s="154">
        <v>30938</v>
      </c>
      <c r="AA681" s="154">
        <v>30975</v>
      </c>
      <c r="AB681" s="154">
        <v>30992</v>
      </c>
      <c r="AC681" s="154">
        <v>31012</v>
      </c>
      <c r="AD681" s="154">
        <v>31053</v>
      </c>
      <c r="AE681" s="154">
        <v>31074</v>
      </c>
      <c r="AF681" s="154">
        <v>31101</v>
      </c>
      <c r="AG681" s="154">
        <v>31114</v>
      </c>
      <c r="AH681" s="154">
        <v>31198</v>
      </c>
      <c r="AI681" s="154">
        <v>31217</v>
      </c>
      <c r="AJ681" s="154">
        <v>31243</v>
      </c>
      <c r="AK681" s="154">
        <v>31261</v>
      </c>
      <c r="AL681" s="154">
        <v>31305</v>
      </c>
      <c r="AP681" cm="1">
        <f t="array" ref="AP681">IF(AQ681="","",SUM(IFERROR(H681:AL681-H680:AL680,0))*AQ681/100)</f>
        <v>135.44999999999999</v>
      </c>
      <c r="AQ681">
        <f>_xlfn.XLOOKUP(D681,log_prices!M:M,log_prices!L:L,,0)</f>
        <v>15</v>
      </c>
      <c r="AS681">
        <v>681</v>
      </c>
      <c r="AT681" cm="1">
        <f t="array" ref="AT681">IF(AQ681="","",SUM(IFERROR(H681:AL681-H680:AL680,0)))</f>
        <v>903</v>
      </c>
    </row>
    <row r="682" spans="1:46" hidden="1" x14ac:dyDescent="0.25">
      <c r="A682">
        <v>681</v>
      </c>
      <c r="B682">
        <v>2025</v>
      </c>
      <c r="C682">
        <v>10</v>
      </c>
      <c r="D682" t="s">
        <v>258</v>
      </c>
      <c r="E682">
        <v>31</v>
      </c>
      <c r="F682">
        <v>9</v>
      </c>
      <c r="G682" t="s">
        <v>536</v>
      </c>
      <c r="H682" s="154">
        <v>37112</v>
      </c>
      <c r="I682" s="154">
        <v>37244</v>
      </c>
      <c r="J682" s="154">
        <v>37374</v>
      </c>
      <c r="K682" s="154">
        <v>37493</v>
      </c>
      <c r="L682" s="154">
        <v>37617</v>
      </c>
      <c r="M682" s="154">
        <v>37761</v>
      </c>
      <c r="N682" s="154">
        <v>37943</v>
      </c>
      <c r="O682" s="154">
        <v>38116</v>
      </c>
      <c r="P682" s="154">
        <v>38244</v>
      </c>
      <c r="Q682" s="154">
        <v>38360</v>
      </c>
      <c r="R682" s="154">
        <v>38474</v>
      </c>
      <c r="S682" s="154">
        <v>38598</v>
      </c>
      <c r="T682" s="154">
        <v>38698</v>
      </c>
      <c r="U682" s="154">
        <v>38778</v>
      </c>
      <c r="V682" s="154">
        <v>38848</v>
      </c>
      <c r="W682" s="154">
        <v>38888</v>
      </c>
      <c r="X682" s="154">
        <v>38968</v>
      </c>
      <c r="Y682" s="154" t="s">
        <v>424</v>
      </c>
      <c r="Z682" s="154" t="s">
        <v>424</v>
      </c>
      <c r="AA682" s="154" t="s">
        <v>424</v>
      </c>
      <c r="AB682" s="154" t="s">
        <v>424</v>
      </c>
      <c r="AC682" s="154" t="s">
        <v>424</v>
      </c>
      <c r="AD682" s="154" t="s">
        <v>424</v>
      </c>
      <c r="AE682" s="154" t="s">
        <v>424</v>
      </c>
      <c r="AF682" s="154" t="s">
        <v>424</v>
      </c>
      <c r="AG682" s="154" t="s">
        <v>424</v>
      </c>
      <c r="AH682" s="154" t="s">
        <v>424</v>
      </c>
      <c r="AI682" s="154" t="s">
        <v>424</v>
      </c>
      <c r="AJ682" s="154" t="s">
        <v>424</v>
      </c>
      <c r="AK682" s="154" t="s">
        <v>424</v>
      </c>
      <c r="AL682" s="154" t="s">
        <v>424</v>
      </c>
      <c r="AS682">
        <v>682</v>
      </c>
    </row>
    <row r="683" spans="1:46" hidden="1" x14ac:dyDescent="0.25">
      <c r="A683">
        <v>682</v>
      </c>
      <c r="B683">
        <v>2025</v>
      </c>
      <c r="C683">
        <v>10</v>
      </c>
      <c r="D683" t="s">
        <v>258</v>
      </c>
      <c r="E683">
        <v>31</v>
      </c>
      <c r="F683">
        <v>9</v>
      </c>
      <c r="G683" t="s">
        <v>537</v>
      </c>
      <c r="H683" s="154">
        <v>37244</v>
      </c>
      <c r="I683" s="154">
        <v>37374</v>
      </c>
      <c r="J683" s="154">
        <v>37493</v>
      </c>
      <c r="K683" s="154">
        <v>37617</v>
      </c>
      <c r="L683" s="154">
        <v>37761</v>
      </c>
      <c r="M683" s="154">
        <v>37943</v>
      </c>
      <c r="N683" s="154">
        <v>38116</v>
      </c>
      <c r="O683" s="154">
        <v>38244</v>
      </c>
      <c r="P683" s="154">
        <v>38360</v>
      </c>
      <c r="Q683" s="154">
        <v>38474</v>
      </c>
      <c r="R683" s="154">
        <v>38598</v>
      </c>
      <c r="S683" s="154">
        <v>38698</v>
      </c>
      <c r="T683" s="154">
        <v>38778</v>
      </c>
      <c r="U683" s="154">
        <v>38848</v>
      </c>
      <c r="V683" s="154">
        <v>38888</v>
      </c>
      <c r="W683" s="154">
        <v>38968</v>
      </c>
      <c r="X683" s="154">
        <v>39008</v>
      </c>
      <c r="Y683" s="154" t="s">
        <v>424</v>
      </c>
      <c r="Z683" s="154" t="s">
        <v>424</v>
      </c>
      <c r="AA683" s="154" t="s">
        <v>424</v>
      </c>
      <c r="AB683" s="154" t="s">
        <v>424</v>
      </c>
      <c r="AC683" s="154" t="s">
        <v>424</v>
      </c>
      <c r="AD683" s="154" t="s">
        <v>424</v>
      </c>
      <c r="AE683" s="154" t="s">
        <v>424</v>
      </c>
      <c r="AF683" s="154" t="s">
        <v>424</v>
      </c>
      <c r="AG683" s="154" t="s">
        <v>424</v>
      </c>
      <c r="AH683" s="154" t="s">
        <v>424</v>
      </c>
      <c r="AI683" s="154" t="s">
        <v>424</v>
      </c>
      <c r="AJ683" s="154" t="s">
        <v>424</v>
      </c>
      <c r="AK683" s="154" t="s">
        <v>424</v>
      </c>
      <c r="AL683" s="154" t="s">
        <v>424</v>
      </c>
      <c r="AP683" cm="1">
        <f t="array" ref="AP683">IF(AQ683="","",SUM(IFERROR(H683:AL683-H682:AL682,0))*AQ683/100)-17*5</f>
        <v>256.27999999999997</v>
      </c>
      <c r="AQ683">
        <f>_xlfn.XLOOKUP(D683,log_prices!M:M,log_prices!L:L,,0)</f>
        <v>18</v>
      </c>
      <c r="AR683" t="s">
        <v>542</v>
      </c>
      <c r="AS683">
        <v>683</v>
      </c>
      <c r="AT683" cm="1">
        <f t="array" ref="AT683">IF(AQ683="","",SUM(IFERROR(H683:AL683-H682:AL682,0)))</f>
        <v>1896</v>
      </c>
    </row>
    <row r="684" spans="1:46" hidden="1" x14ac:dyDescent="0.25">
      <c r="A684">
        <v>683</v>
      </c>
      <c r="B684">
        <v>2025</v>
      </c>
      <c r="C684">
        <v>10</v>
      </c>
      <c r="D684" t="s">
        <v>257</v>
      </c>
      <c r="E684">
        <v>31</v>
      </c>
      <c r="F684">
        <v>9</v>
      </c>
      <c r="G684" t="s">
        <v>536</v>
      </c>
      <c r="H684" s="154">
        <v>958189</v>
      </c>
      <c r="I684" s="154">
        <v>958261</v>
      </c>
      <c r="J684" s="154">
        <v>958306</v>
      </c>
      <c r="K684" s="154">
        <v>958445</v>
      </c>
      <c r="L684" s="154">
        <v>958484</v>
      </c>
      <c r="M684" s="154">
        <v>958589</v>
      </c>
      <c r="N684" s="154">
        <v>958626</v>
      </c>
      <c r="O684" s="154">
        <v>958716</v>
      </c>
      <c r="P684" s="154">
        <v>958806</v>
      </c>
      <c r="Q684" s="154">
        <v>958997</v>
      </c>
      <c r="R684" s="154">
        <v>959044</v>
      </c>
      <c r="S684" s="154">
        <v>959129</v>
      </c>
      <c r="T684" s="154">
        <v>959195</v>
      </c>
      <c r="U684" s="154">
        <v>959369</v>
      </c>
      <c r="V684" s="154">
        <v>959405</v>
      </c>
      <c r="W684" s="154">
        <v>959603</v>
      </c>
      <c r="X684" s="154">
        <v>959653</v>
      </c>
      <c r="Y684" s="154">
        <v>959759</v>
      </c>
      <c r="Z684" s="154">
        <v>959808</v>
      </c>
      <c r="AA684" s="154">
        <v>959951</v>
      </c>
      <c r="AB684" s="154">
        <v>960073</v>
      </c>
      <c r="AC684" s="154">
        <v>960115</v>
      </c>
      <c r="AD684" s="154">
        <v>960215</v>
      </c>
      <c r="AE684" s="154">
        <v>960280</v>
      </c>
      <c r="AF684" s="154" t="s">
        <v>424</v>
      </c>
      <c r="AG684" s="154" t="s">
        <v>424</v>
      </c>
      <c r="AH684" s="154" t="s">
        <v>424</v>
      </c>
      <c r="AI684" s="154" t="s">
        <v>424</v>
      </c>
      <c r="AJ684" s="154" t="s">
        <v>424</v>
      </c>
      <c r="AK684" s="154" t="s">
        <v>424</v>
      </c>
      <c r="AL684" s="154" t="s">
        <v>424</v>
      </c>
      <c r="AS684">
        <v>684</v>
      </c>
    </row>
    <row r="685" spans="1:46" hidden="1" x14ac:dyDescent="0.25">
      <c r="A685">
        <v>684</v>
      </c>
      <c r="B685">
        <v>2025</v>
      </c>
      <c r="C685">
        <v>10</v>
      </c>
      <c r="D685" t="s">
        <v>257</v>
      </c>
      <c r="E685">
        <v>31</v>
      </c>
      <c r="F685">
        <v>9</v>
      </c>
      <c r="G685" t="s">
        <v>537</v>
      </c>
      <c r="H685" s="154">
        <v>958261</v>
      </c>
      <c r="I685" s="154">
        <v>958306</v>
      </c>
      <c r="J685" s="154">
        <v>958445</v>
      </c>
      <c r="K685" s="154">
        <v>958484</v>
      </c>
      <c r="L685" s="154">
        <v>958589</v>
      </c>
      <c r="M685" s="154">
        <v>958626</v>
      </c>
      <c r="N685" s="154">
        <v>958716</v>
      </c>
      <c r="O685" s="154">
        <v>958806</v>
      </c>
      <c r="P685" s="154">
        <v>958997</v>
      </c>
      <c r="Q685" s="154">
        <v>959044</v>
      </c>
      <c r="R685" s="154">
        <v>959129</v>
      </c>
      <c r="S685" s="154">
        <v>959195</v>
      </c>
      <c r="T685" s="154">
        <v>959369</v>
      </c>
      <c r="U685" s="154">
        <v>959405</v>
      </c>
      <c r="V685" s="154">
        <v>959505</v>
      </c>
      <c r="W685" s="154">
        <v>959653</v>
      </c>
      <c r="X685" s="154">
        <v>959759</v>
      </c>
      <c r="Y685" s="154">
        <v>959808</v>
      </c>
      <c r="Z685" s="154">
        <v>959951</v>
      </c>
      <c r="AA685" s="154">
        <v>960073</v>
      </c>
      <c r="AB685" s="154">
        <v>960115</v>
      </c>
      <c r="AC685" s="154">
        <v>960215</v>
      </c>
      <c r="AD685" s="154">
        <v>960280</v>
      </c>
      <c r="AE685" s="154">
        <v>960360</v>
      </c>
      <c r="AF685" s="154" t="s">
        <v>424</v>
      </c>
      <c r="AG685" s="154" t="s">
        <v>424</v>
      </c>
      <c r="AH685" s="154" t="s">
        <v>424</v>
      </c>
      <c r="AI685" s="154" t="s">
        <v>424</v>
      </c>
      <c r="AJ685" s="154" t="s">
        <v>424</v>
      </c>
      <c r="AK685" s="154" t="s">
        <v>424</v>
      </c>
      <c r="AL685" s="154" t="s">
        <v>424</v>
      </c>
      <c r="AP685" cm="1">
        <f t="array" ref="AP685">IF(AQ685="","",SUM(IFERROR(H685:AL685-H684:AL684,0))*AQ685/100)</f>
        <v>310.95</v>
      </c>
      <c r="AQ685">
        <f>_xlfn.XLOOKUP(D685,log_prices!M:M,log_prices!L:L,,0)</f>
        <v>15</v>
      </c>
      <c r="AS685">
        <v>685</v>
      </c>
      <c r="AT685" cm="1">
        <f t="array" ref="AT685">IF(AQ685="","",SUM(IFERROR(H685:AL685-H684:AL684,0)))</f>
        <v>2073</v>
      </c>
    </row>
    <row r="686" spans="1:46" hidden="1" x14ac:dyDescent="0.25">
      <c r="A686">
        <v>685</v>
      </c>
      <c r="B686">
        <v>2025</v>
      </c>
      <c r="C686">
        <v>10</v>
      </c>
      <c r="D686" t="s">
        <v>266</v>
      </c>
      <c r="E686">
        <v>31</v>
      </c>
      <c r="F686">
        <v>9</v>
      </c>
      <c r="G686" t="s">
        <v>536</v>
      </c>
      <c r="H686" s="154">
        <v>10799</v>
      </c>
      <c r="I686" s="154">
        <v>11048</v>
      </c>
      <c r="J686" s="154">
        <v>11285</v>
      </c>
      <c r="K686" s="154">
        <v>11500</v>
      </c>
      <c r="L686" s="154">
        <v>11672</v>
      </c>
      <c r="M686" s="154">
        <v>11866</v>
      </c>
      <c r="N686" s="154">
        <v>12102</v>
      </c>
      <c r="O686" s="154">
        <v>12274</v>
      </c>
      <c r="P686" s="154">
        <v>12467</v>
      </c>
      <c r="Q686" s="154">
        <v>12635</v>
      </c>
      <c r="R686" s="154">
        <v>12817</v>
      </c>
      <c r="S686" s="154">
        <v>13035</v>
      </c>
      <c r="T686" s="154">
        <v>13231</v>
      </c>
      <c r="U686" s="154">
        <v>13458</v>
      </c>
      <c r="V686" s="154">
        <v>13643</v>
      </c>
      <c r="W686" s="154">
        <v>13806</v>
      </c>
      <c r="X686" s="154">
        <v>13998</v>
      </c>
      <c r="Y686" s="154">
        <v>14166</v>
      </c>
      <c r="Z686" s="154" t="s">
        <v>424</v>
      </c>
      <c r="AA686" s="154">
        <v>14391</v>
      </c>
      <c r="AB686" s="154">
        <v>14609</v>
      </c>
      <c r="AC686" s="154">
        <v>14785</v>
      </c>
      <c r="AD686" s="154">
        <v>14978</v>
      </c>
      <c r="AE686" s="154">
        <v>15136</v>
      </c>
      <c r="AF686" s="154">
        <v>15363</v>
      </c>
      <c r="AG686" s="154">
        <v>15534</v>
      </c>
      <c r="AH686" s="154">
        <v>15732</v>
      </c>
      <c r="AI686" s="154">
        <v>15967</v>
      </c>
      <c r="AJ686" s="154">
        <v>16153</v>
      </c>
      <c r="AK686" s="154">
        <v>16335</v>
      </c>
      <c r="AL686" s="154">
        <v>16562</v>
      </c>
      <c r="AS686">
        <v>686</v>
      </c>
    </row>
    <row r="687" spans="1:46" hidden="1" x14ac:dyDescent="0.25">
      <c r="A687">
        <v>686</v>
      </c>
      <c r="B687">
        <v>2025</v>
      </c>
      <c r="C687">
        <v>10</v>
      </c>
      <c r="D687" t="s">
        <v>266</v>
      </c>
      <c r="E687">
        <v>31</v>
      </c>
      <c r="F687">
        <v>9</v>
      </c>
      <c r="G687" t="s">
        <v>537</v>
      </c>
      <c r="H687" s="154">
        <v>11048</v>
      </c>
      <c r="I687" s="154">
        <v>11285</v>
      </c>
      <c r="J687" s="154">
        <v>11500</v>
      </c>
      <c r="K687" s="154">
        <v>11672</v>
      </c>
      <c r="L687" s="154">
        <v>11866</v>
      </c>
      <c r="M687" s="154">
        <v>12102</v>
      </c>
      <c r="N687" s="154">
        <v>12274</v>
      </c>
      <c r="O687" s="154">
        <v>12467</v>
      </c>
      <c r="P687" s="154">
        <v>12635</v>
      </c>
      <c r="Q687" s="154">
        <v>12817</v>
      </c>
      <c r="R687" s="154">
        <v>13035</v>
      </c>
      <c r="S687" s="154">
        <v>13231</v>
      </c>
      <c r="T687" s="154">
        <v>13458</v>
      </c>
      <c r="U687" s="154">
        <v>13643</v>
      </c>
      <c r="V687" s="154">
        <v>13806</v>
      </c>
      <c r="W687" s="154">
        <v>13998</v>
      </c>
      <c r="X687" s="154">
        <v>14166</v>
      </c>
      <c r="Y687" s="154">
        <v>14391</v>
      </c>
      <c r="Z687" s="154" t="s">
        <v>424</v>
      </c>
      <c r="AA687" s="154">
        <v>14609</v>
      </c>
      <c r="AB687" s="154">
        <v>14785</v>
      </c>
      <c r="AC687" s="154">
        <v>14978</v>
      </c>
      <c r="AD687" s="154">
        <v>15136</v>
      </c>
      <c r="AE687" s="154">
        <v>15363</v>
      </c>
      <c r="AF687" s="154">
        <v>15534</v>
      </c>
      <c r="AG687" s="154">
        <v>15732</v>
      </c>
      <c r="AH687" s="154">
        <v>15967</v>
      </c>
      <c r="AI687" s="154">
        <v>16153</v>
      </c>
      <c r="AJ687" s="154">
        <v>16335</v>
      </c>
      <c r="AK687" s="154">
        <v>16562</v>
      </c>
      <c r="AL687" s="154">
        <v>16720</v>
      </c>
      <c r="AP687" cm="1">
        <f t="array" ref="AP687">IF(AQ687="","",SUM(IFERROR(H687:AL687-H686:AL686,0))*AQ687/100)</f>
        <v>888.14999999999986</v>
      </c>
      <c r="AQ687">
        <f>_xlfn.XLOOKUP(D687,log_prices!M:M,log_prices!L:L,,0)</f>
        <v>14.999999999999998</v>
      </c>
      <c r="AS687">
        <v>687</v>
      </c>
      <c r="AT687" cm="1">
        <f t="array" ref="AT687">IF(AQ687="","",SUM(IFERROR(H687:AL687-H686:AL686,0)))</f>
        <v>5921</v>
      </c>
    </row>
    <row r="688" spans="1:46" hidden="1" x14ac:dyDescent="0.25">
      <c r="A688">
        <v>687</v>
      </c>
      <c r="B688">
        <v>2025</v>
      </c>
      <c r="C688">
        <v>10</v>
      </c>
      <c r="D688" t="s">
        <v>275</v>
      </c>
      <c r="E688">
        <v>31</v>
      </c>
      <c r="F688">
        <v>9</v>
      </c>
      <c r="G688" t="s">
        <v>536</v>
      </c>
      <c r="H688" s="154">
        <v>200798</v>
      </c>
      <c r="I688" s="154">
        <v>200821</v>
      </c>
      <c r="J688" s="154">
        <v>200860</v>
      </c>
      <c r="K688" s="154">
        <v>200883</v>
      </c>
      <c r="L688" s="154">
        <v>200914</v>
      </c>
      <c r="M688" s="154">
        <v>200940</v>
      </c>
      <c r="N688" s="154">
        <v>201015</v>
      </c>
      <c r="O688" s="154">
        <v>201110</v>
      </c>
      <c r="P688" s="154">
        <v>201142</v>
      </c>
      <c r="Q688" s="154">
        <v>201175</v>
      </c>
      <c r="R688" s="154">
        <v>201200</v>
      </c>
      <c r="S688" s="154">
        <v>201258</v>
      </c>
      <c r="T688" s="154">
        <v>201324</v>
      </c>
      <c r="U688" s="154">
        <v>201358</v>
      </c>
      <c r="V688" s="154">
        <v>201386</v>
      </c>
      <c r="W688" s="154">
        <v>201404</v>
      </c>
      <c r="X688" s="154">
        <v>201429</v>
      </c>
      <c r="Y688" s="154">
        <v>201463</v>
      </c>
      <c r="Z688" s="154">
        <v>201498</v>
      </c>
      <c r="AA688" s="154">
        <v>201532</v>
      </c>
      <c r="AB688" s="154">
        <v>201561</v>
      </c>
      <c r="AC688" s="154">
        <v>201597</v>
      </c>
      <c r="AD688" s="154">
        <v>201635</v>
      </c>
      <c r="AE688" s="154">
        <v>201655</v>
      </c>
      <c r="AF688" s="154">
        <v>201678</v>
      </c>
      <c r="AG688" s="154">
        <v>201690</v>
      </c>
      <c r="AH688" s="154">
        <v>201742</v>
      </c>
      <c r="AI688" s="154">
        <v>201941</v>
      </c>
      <c r="AJ688" s="154">
        <v>201957</v>
      </c>
      <c r="AK688" s="154">
        <v>201983</v>
      </c>
      <c r="AL688" s="154">
        <v>202011</v>
      </c>
      <c r="AS688">
        <v>688</v>
      </c>
    </row>
    <row r="689" spans="1:46" hidden="1" x14ac:dyDescent="0.25">
      <c r="A689">
        <v>688</v>
      </c>
      <c r="B689">
        <v>2025</v>
      </c>
      <c r="C689">
        <v>10</v>
      </c>
      <c r="D689" t="s">
        <v>275</v>
      </c>
      <c r="E689">
        <v>31</v>
      </c>
      <c r="F689">
        <v>9</v>
      </c>
      <c r="G689" t="s">
        <v>537</v>
      </c>
      <c r="H689" s="154">
        <v>200821</v>
      </c>
      <c r="I689" s="154">
        <v>200860</v>
      </c>
      <c r="J689" s="154">
        <v>200883</v>
      </c>
      <c r="K689" s="154">
        <v>200914</v>
      </c>
      <c r="L689" s="154">
        <v>200940</v>
      </c>
      <c r="M689" s="154">
        <v>201003</v>
      </c>
      <c r="N689" s="154">
        <v>201110</v>
      </c>
      <c r="O689" s="154">
        <v>201142</v>
      </c>
      <c r="P689" s="154">
        <v>201175</v>
      </c>
      <c r="Q689" s="154">
        <v>201200</v>
      </c>
      <c r="R689" s="154">
        <v>201258</v>
      </c>
      <c r="S689" s="154">
        <v>201324</v>
      </c>
      <c r="T689" s="154">
        <v>201358</v>
      </c>
      <c r="U689" s="154">
        <v>201386</v>
      </c>
      <c r="V689" s="154">
        <v>201404</v>
      </c>
      <c r="W689" s="154">
        <v>201429</v>
      </c>
      <c r="X689" s="154">
        <v>201463</v>
      </c>
      <c r="Y689" s="154">
        <v>201498</v>
      </c>
      <c r="Z689" s="154">
        <v>201532</v>
      </c>
      <c r="AA689" s="154">
        <v>201561</v>
      </c>
      <c r="AB689" s="154">
        <v>201597</v>
      </c>
      <c r="AC689" s="154">
        <v>201635</v>
      </c>
      <c r="AD689" s="154">
        <v>201655</v>
      </c>
      <c r="AE689" s="154">
        <v>201678</v>
      </c>
      <c r="AF689" s="154">
        <v>201690</v>
      </c>
      <c r="AG689" s="154">
        <v>201742</v>
      </c>
      <c r="AH689" s="154">
        <v>201838</v>
      </c>
      <c r="AI689" s="154">
        <v>201957</v>
      </c>
      <c r="AJ689" s="154">
        <v>201983</v>
      </c>
      <c r="AK689" s="154">
        <v>202011</v>
      </c>
      <c r="AL689" s="154">
        <v>202042</v>
      </c>
      <c r="AP689" cm="1">
        <f t="array" ref="AP689">IF(AQ689="","",SUM(IFERROR(H689:AL689-H688:AL688,0))*AQ689/100)</f>
        <v>169.35</v>
      </c>
      <c r="AQ689">
        <f>_xlfn.XLOOKUP(D689,log_prices!M:M,log_prices!L:L,,0)</f>
        <v>15</v>
      </c>
      <c r="AS689">
        <v>689</v>
      </c>
      <c r="AT689" cm="1">
        <f t="array" ref="AT689">IF(AQ689="","",SUM(IFERROR(H689:AL689-H688:AL688,0)))</f>
        <v>1129</v>
      </c>
    </row>
    <row r="690" spans="1:46" hidden="1" x14ac:dyDescent="0.25">
      <c r="A690">
        <v>689</v>
      </c>
      <c r="B690">
        <v>2025</v>
      </c>
      <c r="C690">
        <v>10</v>
      </c>
      <c r="D690" t="s">
        <v>282</v>
      </c>
      <c r="E690">
        <v>31</v>
      </c>
      <c r="F690">
        <v>9</v>
      </c>
      <c r="G690" t="s">
        <v>536</v>
      </c>
      <c r="H690" s="154" t="s">
        <v>424</v>
      </c>
      <c r="I690" s="154" t="s">
        <v>424</v>
      </c>
      <c r="J690" s="154" t="s">
        <v>424</v>
      </c>
      <c r="K690" s="154" t="s">
        <v>424</v>
      </c>
      <c r="L690" s="154" t="s">
        <v>424</v>
      </c>
      <c r="M690" s="154" t="s">
        <v>424</v>
      </c>
      <c r="N690" s="154" t="s">
        <v>424</v>
      </c>
      <c r="O690" s="154" t="s">
        <v>424</v>
      </c>
      <c r="P690" s="154" t="s">
        <v>424</v>
      </c>
      <c r="Q690" s="154" t="s">
        <v>424</v>
      </c>
      <c r="R690" s="154" t="s">
        <v>424</v>
      </c>
      <c r="S690" s="154" t="s">
        <v>424</v>
      </c>
      <c r="T690" s="154">
        <v>922490</v>
      </c>
      <c r="U690" s="154">
        <v>922511</v>
      </c>
      <c r="V690" s="154">
        <v>922549</v>
      </c>
      <c r="W690" s="154">
        <v>922582</v>
      </c>
      <c r="X690" s="154">
        <v>922622</v>
      </c>
      <c r="Y690" s="154">
        <v>922647</v>
      </c>
      <c r="Z690" s="154">
        <v>922679</v>
      </c>
      <c r="AA690" s="154">
        <v>922715</v>
      </c>
      <c r="AB690" s="154">
        <v>922758</v>
      </c>
      <c r="AC690" s="154">
        <v>922800</v>
      </c>
      <c r="AD690" s="154">
        <v>922840</v>
      </c>
      <c r="AE690" s="154">
        <v>922881</v>
      </c>
      <c r="AF690" s="154">
        <v>922915</v>
      </c>
      <c r="AG690" s="154">
        <v>922954</v>
      </c>
      <c r="AH690" s="154">
        <v>922968</v>
      </c>
      <c r="AI690" s="154">
        <v>923017</v>
      </c>
      <c r="AJ690" s="154">
        <v>923071</v>
      </c>
      <c r="AK690" s="154">
        <v>923130</v>
      </c>
      <c r="AL690" s="154">
        <v>923199</v>
      </c>
      <c r="AS690">
        <v>690</v>
      </c>
    </row>
    <row r="691" spans="1:46" hidden="1" x14ac:dyDescent="0.25">
      <c r="A691">
        <v>690</v>
      </c>
      <c r="B691">
        <v>2025</v>
      </c>
      <c r="C691">
        <v>10</v>
      </c>
      <c r="D691" t="s">
        <v>282</v>
      </c>
      <c r="E691">
        <v>31</v>
      </c>
      <c r="F691">
        <v>9</v>
      </c>
      <c r="G691" t="s">
        <v>537</v>
      </c>
      <c r="H691" s="154" t="s">
        <v>424</v>
      </c>
      <c r="I691" s="154" t="s">
        <v>424</v>
      </c>
      <c r="J691" s="154" t="s">
        <v>424</v>
      </c>
      <c r="K691" s="154" t="s">
        <v>424</v>
      </c>
      <c r="L691" s="154" t="s">
        <v>424</v>
      </c>
      <c r="M691" s="154" t="s">
        <v>424</v>
      </c>
      <c r="N691" s="154" t="s">
        <v>424</v>
      </c>
      <c r="O691" s="154" t="s">
        <v>424</v>
      </c>
      <c r="P691" s="154" t="s">
        <v>424</v>
      </c>
      <c r="Q691" s="154" t="s">
        <v>424</v>
      </c>
      <c r="R691" s="154" t="s">
        <v>424</v>
      </c>
      <c r="S691" s="154" t="s">
        <v>424</v>
      </c>
      <c r="T691" s="154">
        <v>922511</v>
      </c>
      <c r="U691" s="154">
        <v>922549</v>
      </c>
      <c r="V691" s="154">
        <v>922582</v>
      </c>
      <c r="W691" s="154">
        <v>922622</v>
      </c>
      <c r="X691" s="154">
        <v>922647</v>
      </c>
      <c r="Y691" s="154">
        <v>922679</v>
      </c>
      <c r="Z691" s="154">
        <v>922715</v>
      </c>
      <c r="AA691" s="154">
        <v>922758</v>
      </c>
      <c r="AB691" s="154">
        <v>922800</v>
      </c>
      <c r="AC691" s="154">
        <v>922840</v>
      </c>
      <c r="AD691" s="154">
        <v>922881</v>
      </c>
      <c r="AE691" s="154">
        <v>922915</v>
      </c>
      <c r="AF691" s="154">
        <v>922954</v>
      </c>
      <c r="AG691" s="154">
        <v>922968</v>
      </c>
      <c r="AH691" s="154">
        <v>923017</v>
      </c>
      <c r="AI691" s="154">
        <v>923071</v>
      </c>
      <c r="AJ691" s="154">
        <v>923130</v>
      </c>
      <c r="AK691" s="154">
        <v>923199</v>
      </c>
      <c r="AL691" s="154">
        <v>923253</v>
      </c>
      <c r="AP691" cm="1">
        <f t="array" ref="AP691">IF(AQ691="","",SUM(IFERROR(H691:AL691-H690:AL690,0))*AQ691/100)</f>
        <v>114.45</v>
      </c>
      <c r="AQ691">
        <f>_xlfn.XLOOKUP(D691,log_prices!M:M,log_prices!L:L,,0)</f>
        <v>15</v>
      </c>
      <c r="AS691">
        <v>691</v>
      </c>
      <c r="AT691" cm="1">
        <f t="array" ref="AT691">IF(AQ691="","",SUM(IFERROR(H691:AL691-H690:AL690,0)))</f>
        <v>763</v>
      </c>
    </row>
    <row r="692" spans="1:46" hidden="1" x14ac:dyDescent="0.25">
      <c r="A692">
        <v>691</v>
      </c>
      <c r="B692">
        <v>2025</v>
      </c>
      <c r="C692">
        <v>10</v>
      </c>
      <c r="D692" t="s">
        <v>285</v>
      </c>
      <c r="E692">
        <v>31</v>
      </c>
      <c r="F692">
        <v>9</v>
      </c>
      <c r="G692" t="s">
        <v>536</v>
      </c>
      <c r="H692" s="154" t="s">
        <v>424</v>
      </c>
      <c r="I692" s="154" t="s">
        <v>424</v>
      </c>
      <c r="J692" s="154" t="s">
        <v>424</v>
      </c>
      <c r="K692" s="154" t="s">
        <v>424</v>
      </c>
      <c r="L692" s="154" t="s">
        <v>424</v>
      </c>
      <c r="M692" s="154" t="s">
        <v>424</v>
      </c>
      <c r="N692" s="154" t="s">
        <v>424</v>
      </c>
      <c r="O692" s="154" t="s">
        <v>424</v>
      </c>
      <c r="P692" s="154" t="s">
        <v>424</v>
      </c>
      <c r="Q692" s="154" t="s">
        <v>424</v>
      </c>
      <c r="R692" s="154" t="s">
        <v>424</v>
      </c>
      <c r="S692" s="154" t="s">
        <v>424</v>
      </c>
      <c r="T692" s="154" t="s">
        <v>424</v>
      </c>
      <c r="U692" s="154" t="s">
        <v>424</v>
      </c>
      <c r="V692" s="154" t="s">
        <v>424</v>
      </c>
      <c r="W692" s="154" t="s">
        <v>424</v>
      </c>
      <c r="X692" s="154" t="s">
        <v>424</v>
      </c>
      <c r="Y692" s="154" t="s">
        <v>424</v>
      </c>
      <c r="Z692" s="154" t="s">
        <v>424</v>
      </c>
      <c r="AA692" s="154" t="s">
        <v>424</v>
      </c>
      <c r="AB692" s="154" t="s">
        <v>424</v>
      </c>
      <c r="AC692" s="154" t="s">
        <v>424</v>
      </c>
      <c r="AD692" s="154" t="s">
        <v>424</v>
      </c>
      <c r="AE692" s="154" t="s">
        <v>424</v>
      </c>
      <c r="AF692" s="154" t="s">
        <v>424</v>
      </c>
      <c r="AG692" s="154" t="s">
        <v>424</v>
      </c>
      <c r="AH692" s="154" t="s">
        <v>424</v>
      </c>
      <c r="AI692" s="154" t="s">
        <v>424</v>
      </c>
      <c r="AJ692" s="154" t="s">
        <v>424</v>
      </c>
      <c r="AK692" s="154">
        <v>126591</v>
      </c>
      <c r="AL692" s="154">
        <v>126900</v>
      </c>
      <c r="AS692">
        <v>692</v>
      </c>
    </row>
    <row r="693" spans="1:46" hidden="1" x14ac:dyDescent="0.25">
      <c r="A693">
        <v>692</v>
      </c>
      <c r="B693">
        <v>2025</v>
      </c>
      <c r="C693">
        <v>10</v>
      </c>
      <c r="D693" t="s">
        <v>285</v>
      </c>
      <c r="E693">
        <v>31</v>
      </c>
      <c r="F693">
        <v>9</v>
      </c>
      <c r="G693" t="s">
        <v>537</v>
      </c>
      <c r="H693" s="154" t="s">
        <v>424</v>
      </c>
      <c r="I693" s="154" t="s">
        <v>424</v>
      </c>
      <c r="J693" s="154" t="s">
        <v>424</v>
      </c>
      <c r="K693" s="154" t="s">
        <v>424</v>
      </c>
      <c r="L693" s="154" t="s">
        <v>424</v>
      </c>
      <c r="M693" s="154" t="s">
        <v>424</v>
      </c>
      <c r="N693" s="154" t="s">
        <v>424</v>
      </c>
      <c r="O693" s="154" t="s">
        <v>424</v>
      </c>
      <c r="P693" s="154" t="s">
        <v>424</v>
      </c>
      <c r="Q693" s="154" t="s">
        <v>424</v>
      </c>
      <c r="R693" s="154" t="s">
        <v>424</v>
      </c>
      <c r="S693" s="154" t="s">
        <v>424</v>
      </c>
      <c r="T693" s="154" t="s">
        <v>424</v>
      </c>
      <c r="U693" s="154" t="s">
        <v>424</v>
      </c>
      <c r="V693" s="154" t="s">
        <v>424</v>
      </c>
      <c r="W693" s="154" t="s">
        <v>424</v>
      </c>
      <c r="X693" s="154" t="s">
        <v>424</v>
      </c>
      <c r="Y693" s="154" t="s">
        <v>424</v>
      </c>
      <c r="Z693" s="154" t="s">
        <v>424</v>
      </c>
      <c r="AA693" s="154" t="s">
        <v>424</v>
      </c>
      <c r="AB693" s="154" t="s">
        <v>424</v>
      </c>
      <c r="AC693" s="154" t="s">
        <v>424</v>
      </c>
      <c r="AD693" s="154" t="s">
        <v>424</v>
      </c>
      <c r="AE693" s="154" t="s">
        <v>424</v>
      </c>
      <c r="AF693" s="154" t="s">
        <v>424</v>
      </c>
      <c r="AG693" s="154" t="s">
        <v>424</v>
      </c>
      <c r="AH693" s="154" t="s">
        <v>424</v>
      </c>
      <c r="AI693" s="154" t="s">
        <v>424</v>
      </c>
      <c r="AJ693" s="154" t="s">
        <v>424</v>
      </c>
      <c r="AK693" s="154">
        <v>126670</v>
      </c>
      <c r="AL693" s="154">
        <v>127001</v>
      </c>
      <c r="AP693" cm="1">
        <f t="array" ref="AP693">IF(AQ693="","",SUM(IFERROR(H693:AL693-H692:AL692,0))*AQ693/100)</f>
        <v>27</v>
      </c>
      <c r="AQ693">
        <f>_xlfn.XLOOKUP(D693,log_prices!M:M,log_prices!L:L,,0)</f>
        <v>15</v>
      </c>
      <c r="AS693">
        <v>693</v>
      </c>
      <c r="AT693" cm="1">
        <f t="array" ref="AT693">IF(AQ693="","",SUM(IFERROR(H693:AL693-H692:AL692,0)))</f>
        <v>180</v>
      </c>
    </row>
    <row r="694" spans="1:46" hidden="1" x14ac:dyDescent="0.25">
      <c r="A694">
        <v>693</v>
      </c>
      <c r="B694">
        <v>2025</v>
      </c>
      <c r="C694">
        <v>10</v>
      </c>
      <c r="D694" t="s">
        <v>265</v>
      </c>
      <c r="E694">
        <v>31</v>
      </c>
      <c r="F694">
        <v>9</v>
      </c>
      <c r="G694" t="s">
        <v>536</v>
      </c>
      <c r="H694" s="154">
        <v>820439</v>
      </c>
      <c r="I694" s="154">
        <v>820600</v>
      </c>
      <c r="J694" s="154">
        <v>820684</v>
      </c>
      <c r="K694" s="154">
        <v>820817</v>
      </c>
      <c r="L694" s="154">
        <v>820928</v>
      </c>
      <c r="M694" s="154">
        <v>821002</v>
      </c>
      <c r="N694" s="154">
        <v>821116</v>
      </c>
      <c r="O694" s="154">
        <v>821207</v>
      </c>
      <c r="P694" s="154">
        <v>821312</v>
      </c>
      <c r="Q694" s="154">
        <v>821406</v>
      </c>
      <c r="R694" s="154">
        <v>821511</v>
      </c>
      <c r="S694" s="154">
        <v>821634</v>
      </c>
      <c r="T694" s="154">
        <v>821716</v>
      </c>
      <c r="U694" s="154">
        <v>821802</v>
      </c>
      <c r="V694" s="154">
        <v>821894</v>
      </c>
      <c r="W694" s="154">
        <v>822005</v>
      </c>
      <c r="X694" s="154">
        <v>822085</v>
      </c>
      <c r="Y694" s="154">
        <v>822187</v>
      </c>
      <c r="Z694" s="154">
        <v>822298</v>
      </c>
      <c r="AA694" s="154">
        <v>822429</v>
      </c>
      <c r="AB694" s="154">
        <v>822523</v>
      </c>
      <c r="AC694" s="154">
        <v>822609</v>
      </c>
      <c r="AD694" s="154">
        <v>822712</v>
      </c>
      <c r="AE694" s="154">
        <v>822796</v>
      </c>
      <c r="AF694" s="154">
        <v>822899</v>
      </c>
      <c r="AG694" s="154" t="s">
        <v>424</v>
      </c>
      <c r="AH694" s="154">
        <v>823031</v>
      </c>
      <c r="AI694" s="154">
        <v>823125</v>
      </c>
      <c r="AJ694" s="154">
        <v>823217</v>
      </c>
      <c r="AK694" s="154">
        <v>823321</v>
      </c>
      <c r="AL694" s="154">
        <v>823418</v>
      </c>
      <c r="AS694">
        <v>694</v>
      </c>
    </row>
    <row r="695" spans="1:46" hidden="1" x14ac:dyDescent="0.25">
      <c r="A695">
        <v>694</v>
      </c>
      <c r="B695">
        <v>2025</v>
      </c>
      <c r="C695">
        <v>10</v>
      </c>
      <c r="D695" t="s">
        <v>265</v>
      </c>
      <c r="E695">
        <v>31</v>
      </c>
      <c r="F695">
        <v>9</v>
      </c>
      <c r="G695" t="s">
        <v>537</v>
      </c>
      <c r="H695" s="154">
        <v>820600</v>
      </c>
      <c r="I695" s="154">
        <v>820684</v>
      </c>
      <c r="J695" s="154">
        <v>820817</v>
      </c>
      <c r="K695" s="154">
        <v>820928</v>
      </c>
      <c r="L695" s="154">
        <v>821002</v>
      </c>
      <c r="M695" s="154">
        <v>821116</v>
      </c>
      <c r="N695" s="154">
        <v>821207</v>
      </c>
      <c r="O695" s="154">
        <v>821312</v>
      </c>
      <c r="P695" s="154">
        <v>821406</v>
      </c>
      <c r="Q695" s="154">
        <v>821511</v>
      </c>
      <c r="R695" s="154">
        <v>821634</v>
      </c>
      <c r="S695" s="154">
        <v>821716</v>
      </c>
      <c r="T695" s="154">
        <v>821802</v>
      </c>
      <c r="U695" s="154">
        <v>821894</v>
      </c>
      <c r="V695" s="154">
        <v>822005</v>
      </c>
      <c r="W695" s="154">
        <v>822085</v>
      </c>
      <c r="X695" s="154">
        <v>822187</v>
      </c>
      <c r="Y695" s="154">
        <v>822298</v>
      </c>
      <c r="Z695" s="154">
        <v>822429</v>
      </c>
      <c r="AA695" s="154">
        <v>822523</v>
      </c>
      <c r="AB695" s="154">
        <v>822609</v>
      </c>
      <c r="AC695" s="154">
        <v>822712</v>
      </c>
      <c r="AD695" s="154">
        <v>822796</v>
      </c>
      <c r="AE695" s="154">
        <v>822899</v>
      </c>
      <c r="AF695" s="154">
        <v>823031</v>
      </c>
      <c r="AG695" s="154" t="s">
        <v>424</v>
      </c>
      <c r="AH695" s="154">
        <v>823125</v>
      </c>
      <c r="AI695" s="154">
        <v>823217</v>
      </c>
      <c r="AJ695" s="154">
        <v>823321</v>
      </c>
      <c r="AK695" s="154">
        <v>823418</v>
      </c>
      <c r="AL695" s="154">
        <v>823501</v>
      </c>
      <c r="AP695" cm="1">
        <f t="array" ref="AP695">IF(AQ695="","",SUM(IFERROR(H695:AL695-H694:AL694,0))*AQ695/100)</f>
        <v>367.44</v>
      </c>
      <c r="AQ695">
        <f>_xlfn.XLOOKUP(D695,log_prices!M:M,log_prices!L:L,,0)</f>
        <v>12</v>
      </c>
      <c r="AS695">
        <v>695</v>
      </c>
      <c r="AT695" cm="1">
        <f t="array" ref="AT695">IF(AQ695="","",SUM(IFERROR(H695:AL695-H694:AL694,0)))</f>
        <v>3062</v>
      </c>
    </row>
    <row r="696" spans="1:46" hidden="1" x14ac:dyDescent="0.25">
      <c r="A696">
        <v>695</v>
      </c>
      <c r="B696">
        <v>2025</v>
      </c>
      <c r="C696">
        <v>10</v>
      </c>
      <c r="D696" t="s">
        <v>255</v>
      </c>
      <c r="E696">
        <v>31</v>
      </c>
      <c r="F696">
        <v>9</v>
      </c>
      <c r="G696" t="s">
        <v>536</v>
      </c>
      <c r="H696" s="154">
        <v>275920</v>
      </c>
      <c r="I696" s="154">
        <v>276028</v>
      </c>
      <c r="J696" s="154">
        <v>276100</v>
      </c>
      <c r="K696" s="154">
        <v>276192</v>
      </c>
      <c r="L696" s="154">
        <v>276275</v>
      </c>
      <c r="M696" s="154">
        <v>276380</v>
      </c>
      <c r="N696" s="154">
        <v>276498</v>
      </c>
      <c r="O696" s="154">
        <v>276601</v>
      </c>
      <c r="P696" s="154">
        <v>276749</v>
      </c>
      <c r="Q696" s="154">
        <v>276855</v>
      </c>
      <c r="R696" s="154">
        <v>276930</v>
      </c>
      <c r="S696" s="154">
        <v>276980</v>
      </c>
      <c r="T696" s="154">
        <v>277025</v>
      </c>
      <c r="U696" s="154">
        <v>277102</v>
      </c>
      <c r="V696" s="154">
        <v>277142</v>
      </c>
      <c r="W696" s="154">
        <v>277212</v>
      </c>
      <c r="X696" s="154">
        <v>277295</v>
      </c>
      <c r="Y696" s="154">
        <v>277380</v>
      </c>
      <c r="Z696" s="154">
        <v>277540</v>
      </c>
      <c r="AA696" s="154">
        <v>277720</v>
      </c>
      <c r="AB696" s="154">
        <v>277852</v>
      </c>
      <c r="AC696" s="154">
        <v>277954</v>
      </c>
      <c r="AD696" s="154">
        <v>278102</v>
      </c>
      <c r="AE696" s="154">
        <v>278211</v>
      </c>
      <c r="AF696" s="154">
        <v>278312</v>
      </c>
      <c r="AG696" s="154">
        <v>278512</v>
      </c>
      <c r="AH696" s="154">
        <v>278592</v>
      </c>
      <c r="AI696" s="154">
        <v>278687</v>
      </c>
      <c r="AJ696" s="154">
        <v>278802</v>
      </c>
      <c r="AK696" s="154">
        <v>278845</v>
      </c>
      <c r="AL696" s="154">
        <v>278924</v>
      </c>
      <c r="AS696">
        <v>696</v>
      </c>
    </row>
    <row r="697" spans="1:46" hidden="1" x14ac:dyDescent="0.25">
      <c r="A697">
        <v>696</v>
      </c>
      <c r="B697">
        <v>2025</v>
      </c>
      <c r="C697">
        <v>10</v>
      </c>
      <c r="D697" t="s">
        <v>255</v>
      </c>
      <c r="E697">
        <v>31</v>
      </c>
      <c r="F697">
        <v>9</v>
      </c>
      <c r="G697" t="s">
        <v>537</v>
      </c>
      <c r="H697" s="154">
        <v>276028</v>
      </c>
      <c r="I697" s="154">
        <v>276100</v>
      </c>
      <c r="J697" s="154">
        <v>276192</v>
      </c>
      <c r="K697" s="154">
        <v>276275</v>
      </c>
      <c r="L697" s="154">
        <v>276380</v>
      </c>
      <c r="M697" s="154">
        <v>276498</v>
      </c>
      <c r="N697" s="154">
        <v>276601</v>
      </c>
      <c r="O697" s="154">
        <v>276743</v>
      </c>
      <c r="P697" s="154">
        <v>276855</v>
      </c>
      <c r="Q697" s="154">
        <v>276930</v>
      </c>
      <c r="R697" s="154">
        <v>276980</v>
      </c>
      <c r="S697" s="154">
        <v>277025</v>
      </c>
      <c r="T697" s="154">
        <v>277102</v>
      </c>
      <c r="U697" s="154">
        <v>277142</v>
      </c>
      <c r="V697" s="154">
        <v>277212</v>
      </c>
      <c r="W697" s="154">
        <v>277295</v>
      </c>
      <c r="X697" s="154">
        <v>277380</v>
      </c>
      <c r="Y697" s="154">
        <v>277540</v>
      </c>
      <c r="Z697" s="154">
        <v>277720</v>
      </c>
      <c r="AA697" s="154">
        <v>277852</v>
      </c>
      <c r="AB697" s="154">
        <v>277954</v>
      </c>
      <c r="AC697" s="154">
        <v>278102</v>
      </c>
      <c r="AD697" s="154">
        <v>278211</v>
      </c>
      <c r="AE697" s="154">
        <v>278312</v>
      </c>
      <c r="AF697" s="154">
        <v>278512</v>
      </c>
      <c r="AG697" s="154">
        <v>278592</v>
      </c>
      <c r="AH697" s="154">
        <v>278687</v>
      </c>
      <c r="AI697" s="154">
        <v>278802</v>
      </c>
      <c r="AJ697" s="154">
        <v>278845</v>
      </c>
      <c r="AK697" s="154">
        <v>278924</v>
      </c>
      <c r="AL697" s="154">
        <v>278960</v>
      </c>
      <c r="AP697" cm="1">
        <f t="array" ref="AP697">IF(AQ697="","",SUM(IFERROR(H697:AL697-H696:AL696,0))*AQ697/100)</f>
        <v>364.08</v>
      </c>
      <c r="AQ697">
        <f>_xlfn.XLOOKUP(D697,log_prices!M:M,log_prices!L:L,,0)</f>
        <v>12</v>
      </c>
      <c r="AS697">
        <v>697</v>
      </c>
      <c r="AT697" cm="1">
        <f t="array" ref="AT697">IF(AQ697="","",SUM(IFERROR(H697:AL697-H696:AL696,0)))</f>
        <v>3034</v>
      </c>
    </row>
    <row r="698" spans="1:46" hidden="1" x14ac:dyDescent="0.25">
      <c r="A698">
        <v>697</v>
      </c>
      <c r="B698">
        <v>2025</v>
      </c>
      <c r="C698">
        <v>10</v>
      </c>
      <c r="D698" t="s">
        <v>277</v>
      </c>
      <c r="E698">
        <v>31</v>
      </c>
      <c r="F698">
        <v>9</v>
      </c>
      <c r="G698" t="s">
        <v>536</v>
      </c>
      <c r="H698" s="154">
        <v>350211</v>
      </c>
      <c r="I698" s="154">
        <v>350429</v>
      </c>
      <c r="J698" s="154">
        <v>350638</v>
      </c>
      <c r="K698" s="154">
        <v>350877</v>
      </c>
      <c r="L698" s="154" t="s">
        <v>424</v>
      </c>
      <c r="M698" s="154">
        <v>351114</v>
      </c>
      <c r="N698" s="154">
        <v>351326</v>
      </c>
      <c r="O698" s="154">
        <v>351550</v>
      </c>
      <c r="P698" s="154">
        <v>351839</v>
      </c>
      <c r="Q698" s="154">
        <v>352077</v>
      </c>
      <c r="R698" s="154">
        <v>352302</v>
      </c>
      <c r="S698" s="154">
        <v>352513</v>
      </c>
      <c r="T698" s="154">
        <v>352712</v>
      </c>
      <c r="U698" s="154">
        <v>352952</v>
      </c>
      <c r="V698" s="154">
        <v>353176</v>
      </c>
      <c r="W698" s="154">
        <v>353410</v>
      </c>
      <c r="X698" s="154">
        <v>353637</v>
      </c>
      <c r="Y698" s="154" t="s">
        <v>424</v>
      </c>
      <c r="Z698" s="154">
        <v>353894</v>
      </c>
      <c r="AA698" s="154">
        <v>354089</v>
      </c>
      <c r="AB698" s="154">
        <v>354394</v>
      </c>
      <c r="AC698" s="154">
        <v>354631</v>
      </c>
      <c r="AD698" s="154">
        <v>354851</v>
      </c>
      <c r="AE698" s="154">
        <v>355091</v>
      </c>
      <c r="AF698" s="154">
        <v>355322</v>
      </c>
      <c r="AG698" s="154">
        <v>355533</v>
      </c>
      <c r="AH698" s="154">
        <v>355727</v>
      </c>
      <c r="AI698" s="154">
        <v>355964</v>
      </c>
      <c r="AJ698" s="154">
        <v>356187</v>
      </c>
      <c r="AK698" s="154">
        <v>356424</v>
      </c>
      <c r="AL698" s="154">
        <v>356647</v>
      </c>
      <c r="AS698">
        <v>698</v>
      </c>
    </row>
    <row r="699" spans="1:46" hidden="1" x14ac:dyDescent="0.25">
      <c r="A699">
        <v>698</v>
      </c>
      <c r="B699">
        <v>2025</v>
      </c>
      <c r="C699">
        <v>10</v>
      </c>
      <c r="D699" t="s">
        <v>277</v>
      </c>
      <c r="E699">
        <v>31</v>
      </c>
      <c r="F699">
        <v>9</v>
      </c>
      <c r="G699" t="s">
        <v>537</v>
      </c>
      <c r="H699" s="154">
        <v>350429</v>
      </c>
      <c r="I699" s="154">
        <v>350638</v>
      </c>
      <c r="J699" s="154">
        <v>350877</v>
      </c>
      <c r="K699" s="154">
        <v>351098</v>
      </c>
      <c r="L699" s="154" t="s">
        <v>424</v>
      </c>
      <c r="M699" s="154">
        <v>351326</v>
      </c>
      <c r="N699" s="154">
        <v>351550</v>
      </c>
      <c r="O699" s="154">
        <v>351787</v>
      </c>
      <c r="P699" s="154">
        <v>352055</v>
      </c>
      <c r="Q699" s="154">
        <v>352300</v>
      </c>
      <c r="R699" s="154">
        <v>352495</v>
      </c>
      <c r="S699" s="154">
        <v>352702</v>
      </c>
      <c r="T699" s="154">
        <v>352932</v>
      </c>
      <c r="U699" s="154">
        <v>353173</v>
      </c>
      <c r="V699" s="154">
        <v>353393</v>
      </c>
      <c r="W699" s="154">
        <v>353628</v>
      </c>
      <c r="X699" s="154">
        <v>353863</v>
      </c>
      <c r="Y699" s="154" t="s">
        <v>424</v>
      </c>
      <c r="Z699" s="154">
        <v>354089</v>
      </c>
      <c r="AA699" s="154">
        <v>354391</v>
      </c>
      <c r="AB699" s="154">
        <v>354612</v>
      </c>
      <c r="AC699" s="154">
        <v>354851</v>
      </c>
      <c r="AD699" s="154">
        <v>355072</v>
      </c>
      <c r="AE699" s="154">
        <v>355313</v>
      </c>
      <c r="AF699" s="154">
        <v>355528</v>
      </c>
      <c r="AG699" s="154">
        <v>355727</v>
      </c>
      <c r="AH699" s="154">
        <v>355951</v>
      </c>
      <c r="AI699" s="154">
        <v>356184</v>
      </c>
      <c r="AJ699" s="154">
        <v>356405</v>
      </c>
      <c r="AK699" s="154">
        <v>356640</v>
      </c>
      <c r="AL699" s="154">
        <v>356820</v>
      </c>
      <c r="AP699" cm="1">
        <f t="array" ref="AP699">IF(AQ699="","",SUM(IFERROR(H699:AL699-H698:AL698,0))*AQ699/100)</f>
        <v>1136.1599999999996</v>
      </c>
      <c r="AQ699">
        <f>_xlfn.XLOOKUP(D699,log_prices!M:M,log_prices!L:L,,0)</f>
        <v>17.999999999999996</v>
      </c>
      <c r="AS699">
        <v>699</v>
      </c>
      <c r="AT699" cm="1">
        <f t="array" ref="AT699">IF(AQ699="","",SUM(IFERROR(H699:AL699-H698:AL698,0)))</f>
        <v>6312</v>
      </c>
    </row>
    <row r="700" spans="1:46" hidden="1" x14ac:dyDescent="0.25">
      <c r="A700">
        <v>699</v>
      </c>
      <c r="B700">
        <v>2025</v>
      </c>
      <c r="C700">
        <v>10</v>
      </c>
      <c r="D700" t="s">
        <v>276</v>
      </c>
      <c r="E700">
        <v>31</v>
      </c>
      <c r="F700">
        <v>9</v>
      </c>
      <c r="G700" t="s">
        <v>536</v>
      </c>
      <c r="H700" s="154">
        <v>554946</v>
      </c>
      <c r="I700" s="154">
        <v>555010</v>
      </c>
      <c r="J700" s="154">
        <v>555062</v>
      </c>
      <c r="K700" s="154">
        <v>555115</v>
      </c>
      <c r="L700" s="154" t="s">
        <v>424</v>
      </c>
      <c r="M700" s="154">
        <v>555345</v>
      </c>
      <c r="N700" s="154">
        <v>555439</v>
      </c>
      <c r="O700" s="154">
        <v>555504</v>
      </c>
      <c r="P700" s="154">
        <v>555575</v>
      </c>
      <c r="Q700" s="154">
        <v>555608</v>
      </c>
      <c r="R700" s="154">
        <v>555657</v>
      </c>
      <c r="S700" s="154" t="s">
        <v>424</v>
      </c>
      <c r="T700" s="154">
        <v>555874</v>
      </c>
      <c r="U700" s="154">
        <v>555994</v>
      </c>
      <c r="V700" s="154">
        <v>556028</v>
      </c>
      <c r="W700" s="154">
        <v>556090</v>
      </c>
      <c r="X700" s="154">
        <v>556152</v>
      </c>
      <c r="Y700" s="154">
        <v>556212</v>
      </c>
      <c r="Z700" s="154">
        <v>556284</v>
      </c>
      <c r="AA700" s="154">
        <v>556333</v>
      </c>
      <c r="AB700" s="154">
        <v>556555</v>
      </c>
      <c r="AC700" s="154">
        <v>556675</v>
      </c>
      <c r="AD700" s="154">
        <v>556728</v>
      </c>
      <c r="AE700" s="154">
        <v>556810</v>
      </c>
      <c r="AF700" s="154">
        <v>556871</v>
      </c>
      <c r="AG700" s="154">
        <v>556914</v>
      </c>
      <c r="AH700" s="154" t="s">
        <v>424</v>
      </c>
      <c r="AI700" s="154">
        <v>556986</v>
      </c>
      <c r="AJ700" s="154">
        <v>557036</v>
      </c>
      <c r="AK700" s="154">
        <v>557084</v>
      </c>
      <c r="AL700" s="154">
        <v>557134</v>
      </c>
      <c r="AS700">
        <v>700</v>
      </c>
    </row>
    <row r="701" spans="1:46" hidden="1" x14ac:dyDescent="0.25">
      <c r="A701">
        <v>700</v>
      </c>
      <c r="B701">
        <v>2025</v>
      </c>
      <c r="C701">
        <v>10</v>
      </c>
      <c r="D701" t="s">
        <v>276</v>
      </c>
      <c r="E701">
        <v>31</v>
      </c>
      <c r="F701">
        <v>9</v>
      </c>
      <c r="G701" t="s">
        <v>537</v>
      </c>
      <c r="H701" s="154">
        <v>555010</v>
      </c>
      <c r="I701" s="154">
        <v>555062</v>
      </c>
      <c r="J701" s="154">
        <v>555115</v>
      </c>
      <c r="K701" s="154">
        <v>555240</v>
      </c>
      <c r="L701" s="154" t="s">
        <v>424</v>
      </c>
      <c r="M701" s="154">
        <v>555439</v>
      </c>
      <c r="N701" s="154">
        <v>555504</v>
      </c>
      <c r="O701" s="154">
        <v>555575</v>
      </c>
      <c r="P701" s="154">
        <v>555608</v>
      </c>
      <c r="Q701" s="154">
        <v>555657</v>
      </c>
      <c r="R701" s="154">
        <v>555778</v>
      </c>
      <c r="S701" s="154" t="s">
        <v>424</v>
      </c>
      <c r="T701" s="154">
        <v>555994</v>
      </c>
      <c r="U701" s="154">
        <v>556028</v>
      </c>
      <c r="V701" s="154">
        <v>556090</v>
      </c>
      <c r="W701" s="154">
        <v>556152</v>
      </c>
      <c r="X701" s="154">
        <v>556212</v>
      </c>
      <c r="Y701" s="154">
        <v>556284</v>
      </c>
      <c r="Z701" s="154">
        <v>556333</v>
      </c>
      <c r="AA701" s="154">
        <v>556461</v>
      </c>
      <c r="AB701" s="154">
        <v>556675</v>
      </c>
      <c r="AC701" s="154">
        <v>556728</v>
      </c>
      <c r="AD701" s="154">
        <v>556810</v>
      </c>
      <c r="AE701" s="154">
        <v>556871</v>
      </c>
      <c r="AF701" s="154">
        <v>556914</v>
      </c>
      <c r="AG701" s="154">
        <v>556941</v>
      </c>
      <c r="AH701" s="154" t="s">
        <v>424</v>
      </c>
      <c r="AI701" s="154">
        <v>557036</v>
      </c>
      <c r="AJ701" s="154">
        <v>557084</v>
      </c>
      <c r="AK701" s="154">
        <v>557134</v>
      </c>
      <c r="AL701" s="154">
        <v>557189</v>
      </c>
      <c r="AP701" cm="1">
        <f t="array" ref="AP701">IF(AQ701="","",SUM(IFERROR(H701:AL701-H700:AL700,0))*AQ701/100)</f>
        <v>285.45</v>
      </c>
      <c r="AQ701">
        <f>_xlfn.XLOOKUP(D701,log_prices!M:M,log_prices!L:L,,0)</f>
        <v>15</v>
      </c>
      <c r="AS701">
        <v>701</v>
      </c>
      <c r="AT701" cm="1">
        <f t="array" ref="AT701">IF(AQ701="","",SUM(IFERROR(H701:AL701-H700:AL700,0)))</f>
        <v>1903</v>
      </c>
    </row>
    <row r="702" spans="1:46" hidden="1" x14ac:dyDescent="0.25">
      <c r="A702">
        <v>701</v>
      </c>
      <c r="B702">
        <v>2025</v>
      </c>
      <c r="C702">
        <v>10</v>
      </c>
      <c r="D702" t="s">
        <v>271</v>
      </c>
      <c r="E702">
        <v>31</v>
      </c>
      <c r="F702">
        <v>9</v>
      </c>
      <c r="G702" t="s">
        <v>536</v>
      </c>
      <c r="H702" s="154">
        <v>209792</v>
      </c>
      <c r="I702" s="154">
        <v>209879</v>
      </c>
      <c r="J702" s="154">
        <v>209965</v>
      </c>
      <c r="K702" s="154">
        <v>210063</v>
      </c>
      <c r="L702" s="154">
        <v>210120</v>
      </c>
      <c r="M702" s="154">
        <v>210223</v>
      </c>
      <c r="N702" s="154">
        <v>210295</v>
      </c>
      <c r="O702" s="154">
        <v>210416</v>
      </c>
      <c r="P702" s="154">
        <v>210516</v>
      </c>
      <c r="Q702" s="154">
        <v>210596</v>
      </c>
      <c r="R702" s="154">
        <v>210658</v>
      </c>
      <c r="S702" s="154" t="s">
        <v>424</v>
      </c>
      <c r="T702" s="154">
        <v>210764</v>
      </c>
      <c r="U702" s="154">
        <v>210882</v>
      </c>
      <c r="V702" s="154">
        <v>210946</v>
      </c>
      <c r="W702" s="154">
        <v>211035</v>
      </c>
      <c r="X702" s="154">
        <v>211153</v>
      </c>
      <c r="Y702" s="154">
        <v>211278</v>
      </c>
      <c r="Z702" s="154">
        <v>211327</v>
      </c>
      <c r="AA702" s="154">
        <v>211428</v>
      </c>
      <c r="AB702" s="154">
        <v>211497</v>
      </c>
      <c r="AC702" s="154">
        <v>211559</v>
      </c>
      <c r="AD702" s="154">
        <v>211638</v>
      </c>
      <c r="AE702" s="154">
        <v>211706</v>
      </c>
      <c r="AF702" s="154">
        <v>211753</v>
      </c>
      <c r="AG702" s="154" t="s">
        <v>424</v>
      </c>
      <c r="AH702" s="154">
        <v>212036</v>
      </c>
      <c r="AI702" s="154">
        <v>212129</v>
      </c>
      <c r="AJ702" s="154">
        <v>212210</v>
      </c>
      <c r="AK702" s="154">
        <v>212321</v>
      </c>
      <c r="AL702" s="154">
        <v>212504</v>
      </c>
      <c r="AS702">
        <v>702</v>
      </c>
    </row>
    <row r="703" spans="1:46" hidden="1" x14ac:dyDescent="0.25">
      <c r="A703">
        <v>702</v>
      </c>
      <c r="B703">
        <v>2025</v>
      </c>
      <c r="C703">
        <v>10</v>
      </c>
      <c r="D703" t="s">
        <v>271</v>
      </c>
      <c r="E703">
        <v>31</v>
      </c>
      <c r="F703">
        <v>9</v>
      </c>
      <c r="G703" t="s">
        <v>537</v>
      </c>
      <c r="H703" s="154">
        <v>209879</v>
      </c>
      <c r="I703" s="154">
        <v>209965</v>
      </c>
      <c r="J703" s="154">
        <v>210063</v>
      </c>
      <c r="K703" s="154">
        <v>210120</v>
      </c>
      <c r="L703" s="154">
        <v>210223</v>
      </c>
      <c r="M703" s="154">
        <v>210295</v>
      </c>
      <c r="N703" s="154">
        <v>210416</v>
      </c>
      <c r="O703" s="154">
        <v>210516</v>
      </c>
      <c r="P703" s="154">
        <v>210596</v>
      </c>
      <c r="Q703" s="154">
        <v>210658</v>
      </c>
      <c r="R703" s="154">
        <v>210754</v>
      </c>
      <c r="S703" s="154" t="s">
        <v>424</v>
      </c>
      <c r="T703" s="154">
        <v>210882</v>
      </c>
      <c r="U703" s="154">
        <v>210946</v>
      </c>
      <c r="V703" s="154">
        <v>211035</v>
      </c>
      <c r="W703" s="154">
        <v>211105</v>
      </c>
      <c r="X703" s="154">
        <v>211227</v>
      </c>
      <c r="Y703" s="154">
        <v>211327</v>
      </c>
      <c r="Z703" s="154">
        <v>211428</v>
      </c>
      <c r="AA703" s="154">
        <v>211497</v>
      </c>
      <c r="AB703" s="154">
        <v>211559</v>
      </c>
      <c r="AC703" s="154">
        <v>211638</v>
      </c>
      <c r="AD703" s="154">
        <v>211706</v>
      </c>
      <c r="AE703" s="154">
        <v>211753</v>
      </c>
      <c r="AF703" s="154">
        <v>211886</v>
      </c>
      <c r="AG703" s="154" t="s">
        <v>424</v>
      </c>
      <c r="AH703" s="154">
        <v>212129</v>
      </c>
      <c r="AI703" s="154">
        <v>212210</v>
      </c>
      <c r="AJ703" s="154">
        <v>212321</v>
      </c>
      <c r="AK703" s="154">
        <v>212504</v>
      </c>
      <c r="AL703" s="154">
        <v>212585</v>
      </c>
      <c r="AP703" cm="1">
        <f t="array" ref="AP703">IF(AQ703="","",SUM(IFERROR(H703:AL703-H702:AL702,0))*AQ703/100)</f>
        <v>380.1</v>
      </c>
      <c r="AQ703">
        <f>_xlfn.XLOOKUP(D703,log_prices!M:M,log_prices!L:L,,0)</f>
        <v>15</v>
      </c>
      <c r="AS703">
        <v>703</v>
      </c>
      <c r="AT703" cm="1">
        <f t="array" ref="AT703">IF(AQ703="","",SUM(IFERROR(H703:AL703-H702:AL702,0)))</f>
        <v>2534</v>
      </c>
    </row>
    <row r="704" spans="1:46" hidden="1" x14ac:dyDescent="0.25">
      <c r="A704">
        <v>703</v>
      </c>
      <c r="B704">
        <v>2025</v>
      </c>
      <c r="C704">
        <v>10</v>
      </c>
      <c r="D704" t="s">
        <v>281</v>
      </c>
      <c r="E704">
        <v>31</v>
      </c>
      <c r="F704">
        <v>9</v>
      </c>
      <c r="G704" t="s">
        <v>536</v>
      </c>
      <c r="H704" s="154" t="s">
        <v>424</v>
      </c>
      <c r="I704" s="154">
        <v>929153</v>
      </c>
      <c r="J704" s="154">
        <v>929210</v>
      </c>
      <c r="K704" s="154">
        <v>929400</v>
      </c>
      <c r="L704" s="154">
        <v>929615</v>
      </c>
      <c r="M704" s="154">
        <v>929808</v>
      </c>
      <c r="N704" s="154">
        <v>929819</v>
      </c>
      <c r="O704" s="154">
        <v>929961</v>
      </c>
      <c r="P704" s="154">
        <v>930031</v>
      </c>
      <c r="Q704" s="154">
        <v>930067</v>
      </c>
      <c r="R704" s="154">
        <v>930279</v>
      </c>
      <c r="S704" s="154">
        <v>930333</v>
      </c>
      <c r="T704" s="154">
        <v>930552</v>
      </c>
      <c r="U704" s="154">
        <v>930606</v>
      </c>
      <c r="V704" s="154">
        <v>930677</v>
      </c>
      <c r="W704" s="154">
        <v>930816</v>
      </c>
      <c r="X704" s="154">
        <v>930846</v>
      </c>
      <c r="Y704" s="154">
        <v>930883</v>
      </c>
      <c r="Z704" s="154">
        <v>931025</v>
      </c>
      <c r="AA704" s="154">
        <v>931073</v>
      </c>
      <c r="AB704" s="154">
        <v>931148</v>
      </c>
      <c r="AC704" s="154">
        <v>931191</v>
      </c>
      <c r="AD704" s="154">
        <v>931359</v>
      </c>
      <c r="AE704" s="154">
        <v>931442</v>
      </c>
      <c r="AF704" s="154">
        <v>931491</v>
      </c>
      <c r="AG704" s="154">
        <v>931528</v>
      </c>
      <c r="AH704" s="154">
        <v>931626</v>
      </c>
      <c r="AI704" s="154">
        <v>931698</v>
      </c>
      <c r="AJ704" s="154">
        <v>931760</v>
      </c>
      <c r="AK704" s="154">
        <v>931782</v>
      </c>
      <c r="AL704" s="154">
        <v>931813</v>
      </c>
      <c r="AS704">
        <v>704</v>
      </c>
    </row>
    <row r="705" spans="1:46" hidden="1" x14ac:dyDescent="0.25">
      <c r="A705">
        <v>704</v>
      </c>
      <c r="B705">
        <v>2025</v>
      </c>
      <c r="C705">
        <v>10</v>
      </c>
      <c r="D705" t="s">
        <v>281</v>
      </c>
      <c r="E705">
        <v>31</v>
      </c>
      <c r="F705">
        <v>9</v>
      </c>
      <c r="G705" t="s">
        <v>537</v>
      </c>
      <c r="H705" s="154" t="s">
        <v>424</v>
      </c>
      <c r="I705" s="154">
        <v>929207</v>
      </c>
      <c r="J705" s="154">
        <v>929262</v>
      </c>
      <c r="K705" s="154">
        <v>929529</v>
      </c>
      <c r="L705" s="154">
        <v>929705</v>
      </c>
      <c r="M705" s="154">
        <v>929819</v>
      </c>
      <c r="N705" s="154">
        <v>929889</v>
      </c>
      <c r="O705" s="154">
        <v>930031</v>
      </c>
      <c r="P705" s="154">
        <v>930067</v>
      </c>
      <c r="Q705" s="154">
        <v>930123</v>
      </c>
      <c r="R705" s="154">
        <v>930333</v>
      </c>
      <c r="S705" s="154">
        <v>930419</v>
      </c>
      <c r="T705" s="154">
        <v>930606</v>
      </c>
      <c r="U705" s="154">
        <v>930677</v>
      </c>
      <c r="V705" s="154">
        <v>930716</v>
      </c>
      <c r="W705" s="154">
        <v>930846</v>
      </c>
      <c r="X705" s="154">
        <v>930883</v>
      </c>
      <c r="Y705" s="154">
        <v>930957</v>
      </c>
      <c r="Z705" s="154">
        <v>931073</v>
      </c>
      <c r="AA705" s="154">
        <v>931148</v>
      </c>
      <c r="AB705" s="154">
        <v>931191</v>
      </c>
      <c r="AC705" s="154">
        <v>931300</v>
      </c>
      <c r="AD705" s="154">
        <v>931442</v>
      </c>
      <c r="AE705" s="154">
        <v>931491</v>
      </c>
      <c r="AF705" s="154">
        <v>931528</v>
      </c>
      <c r="AG705" s="154">
        <v>931626</v>
      </c>
      <c r="AH705" s="154">
        <v>931698</v>
      </c>
      <c r="AI705" s="154">
        <v>931760</v>
      </c>
      <c r="AJ705" s="154">
        <v>931782</v>
      </c>
      <c r="AK705" s="154">
        <v>931813</v>
      </c>
      <c r="AL705" s="154">
        <v>931890</v>
      </c>
      <c r="AP705" cm="1">
        <f t="array" ref="AP705">IF(AQ705="","",SUM(IFERROR(H705:AL705-H704:AL704,0))*AQ705/100)</f>
        <v>272.85000000000002</v>
      </c>
      <c r="AQ705">
        <f>_xlfn.XLOOKUP(D705,log_prices!M:M,log_prices!L:L,,0)</f>
        <v>15</v>
      </c>
      <c r="AS705">
        <v>705</v>
      </c>
      <c r="AT705" cm="1">
        <f t="array" ref="AT705">IF(AQ705="","",SUM(IFERROR(H705:AL705-H704:AL704,0)))</f>
        <v>1819</v>
      </c>
    </row>
    <row r="706" spans="1:46" hidden="1" x14ac:dyDescent="0.25">
      <c r="A706">
        <v>705</v>
      </c>
      <c r="B706">
        <v>2025</v>
      </c>
      <c r="C706">
        <v>10</v>
      </c>
      <c r="D706" t="s">
        <v>273</v>
      </c>
      <c r="E706">
        <v>31</v>
      </c>
      <c r="F706">
        <v>9</v>
      </c>
      <c r="G706" t="s">
        <v>536</v>
      </c>
      <c r="H706" s="154">
        <v>243622</v>
      </c>
      <c r="I706" s="154">
        <v>243769</v>
      </c>
      <c r="J706" s="154">
        <v>243922</v>
      </c>
      <c r="K706" s="154">
        <v>244085</v>
      </c>
      <c r="L706" s="154">
        <v>244204</v>
      </c>
      <c r="M706" s="154">
        <v>244226</v>
      </c>
      <c r="N706" s="154">
        <v>244258</v>
      </c>
      <c r="O706" s="154">
        <v>244279</v>
      </c>
      <c r="P706" s="154">
        <v>244414</v>
      </c>
      <c r="Q706" s="154">
        <v>244645</v>
      </c>
      <c r="R706" s="154">
        <v>244797</v>
      </c>
      <c r="S706" s="154">
        <v>244823</v>
      </c>
      <c r="T706" s="154">
        <v>244830</v>
      </c>
      <c r="U706" s="154">
        <v>244863</v>
      </c>
      <c r="V706" s="154">
        <v>244997</v>
      </c>
      <c r="W706" s="154">
        <v>245130</v>
      </c>
      <c r="X706" s="154">
        <v>245297</v>
      </c>
      <c r="Y706" s="154">
        <v>245431</v>
      </c>
      <c r="Z706" s="154">
        <v>245584</v>
      </c>
      <c r="AA706" s="154">
        <v>245684</v>
      </c>
      <c r="AB706" s="154">
        <v>245724</v>
      </c>
      <c r="AC706" s="154">
        <v>245764</v>
      </c>
      <c r="AD706" s="154">
        <v>245928</v>
      </c>
      <c r="AE706" s="154">
        <v>246037</v>
      </c>
      <c r="AF706" s="154">
        <v>246089</v>
      </c>
      <c r="AG706" s="154">
        <v>246231</v>
      </c>
      <c r="AH706" s="154">
        <v>246298</v>
      </c>
      <c r="AI706" s="154">
        <v>246393</v>
      </c>
      <c r="AJ706" s="154">
        <v>246432</v>
      </c>
      <c r="AK706" s="154">
        <v>246608</v>
      </c>
      <c r="AL706" s="154">
        <v>246714</v>
      </c>
      <c r="AS706">
        <v>706</v>
      </c>
    </row>
    <row r="707" spans="1:46" hidden="1" x14ac:dyDescent="0.25">
      <c r="A707">
        <v>706</v>
      </c>
      <c r="B707">
        <v>2025</v>
      </c>
      <c r="C707">
        <v>10</v>
      </c>
      <c r="D707" t="s">
        <v>273</v>
      </c>
      <c r="E707">
        <v>31</v>
      </c>
      <c r="F707">
        <v>9</v>
      </c>
      <c r="G707" t="s">
        <v>537</v>
      </c>
      <c r="H707" s="154">
        <v>243762</v>
      </c>
      <c r="I707" s="154">
        <v>243900</v>
      </c>
      <c r="J707" s="154">
        <v>244077</v>
      </c>
      <c r="K707" s="154">
        <v>244204</v>
      </c>
      <c r="L707" s="154">
        <v>244226</v>
      </c>
      <c r="M707" s="154">
        <v>244258</v>
      </c>
      <c r="N707" s="154">
        <v>244279</v>
      </c>
      <c r="O707" s="154">
        <v>244411</v>
      </c>
      <c r="P707" s="154">
        <v>244645</v>
      </c>
      <c r="Q707" s="154">
        <v>244790</v>
      </c>
      <c r="R707" s="154">
        <v>244823</v>
      </c>
      <c r="S707" s="154">
        <v>244830</v>
      </c>
      <c r="T707" s="154">
        <v>244863</v>
      </c>
      <c r="U707" s="154">
        <v>244997</v>
      </c>
      <c r="V707" s="154">
        <v>245130</v>
      </c>
      <c r="W707" s="154">
        <v>245272</v>
      </c>
      <c r="X707" s="154">
        <v>245431</v>
      </c>
      <c r="Y707" s="154">
        <v>245584</v>
      </c>
      <c r="Z707" s="154">
        <v>245684</v>
      </c>
      <c r="AA707" s="154">
        <v>245724</v>
      </c>
      <c r="AB707" s="154">
        <v>245764</v>
      </c>
      <c r="AC707" s="154">
        <v>245916</v>
      </c>
      <c r="AD707" s="154">
        <v>246037</v>
      </c>
      <c r="AE707" s="154">
        <v>246089</v>
      </c>
      <c r="AF707" s="154">
        <v>246231</v>
      </c>
      <c r="AG707" s="154">
        <v>246244</v>
      </c>
      <c r="AH707" s="154">
        <v>246393</v>
      </c>
      <c r="AI707" s="154">
        <v>246432</v>
      </c>
      <c r="AJ707" s="154">
        <v>246582</v>
      </c>
      <c r="AK707" s="154">
        <v>246714</v>
      </c>
      <c r="AL707" s="154">
        <v>246739</v>
      </c>
      <c r="AP707" cm="1">
        <f t="array" ref="AP707">IF(AQ707="","",SUM(IFERROR(H707:AL707-H706:AL706,0))*AQ707/100)</f>
        <v>442.94999999999993</v>
      </c>
      <c r="AQ707">
        <f>_xlfn.XLOOKUP(D707,log_prices!M:M,log_prices!L:L,,0)</f>
        <v>14.999999999999998</v>
      </c>
      <c r="AS707">
        <v>707</v>
      </c>
      <c r="AT707" cm="1">
        <f t="array" ref="AT707">IF(AQ707="","",SUM(IFERROR(H707:AL707-H706:AL706,0)))</f>
        <v>2953</v>
      </c>
    </row>
    <row r="708" spans="1:46" hidden="1" x14ac:dyDescent="0.25">
      <c r="A708">
        <v>707</v>
      </c>
      <c r="B708">
        <v>2025</v>
      </c>
      <c r="C708">
        <v>10</v>
      </c>
      <c r="D708" t="s">
        <v>274</v>
      </c>
      <c r="E708">
        <v>31</v>
      </c>
      <c r="F708">
        <v>9</v>
      </c>
      <c r="G708" t="s">
        <v>536</v>
      </c>
      <c r="H708" s="154">
        <v>371741</v>
      </c>
      <c r="I708" s="154">
        <v>371878</v>
      </c>
      <c r="J708" s="154">
        <v>372065</v>
      </c>
      <c r="K708" s="154">
        <v>372202</v>
      </c>
      <c r="L708" s="154" t="s">
        <v>424</v>
      </c>
      <c r="M708" s="154">
        <v>372438</v>
      </c>
      <c r="N708" s="154">
        <v>372571</v>
      </c>
      <c r="O708" s="154">
        <v>372708</v>
      </c>
      <c r="P708" s="154">
        <v>372845</v>
      </c>
      <c r="Q708" s="154">
        <v>372982</v>
      </c>
      <c r="R708" s="154">
        <v>373119</v>
      </c>
      <c r="S708" s="154">
        <v>373256</v>
      </c>
      <c r="T708" s="154">
        <v>373393</v>
      </c>
      <c r="U708" s="154">
        <v>373530</v>
      </c>
      <c r="V708" s="154">
        <v>373667</v>
      </c>
      <c r="W708" s="154">
        <v>373806</v>
      </c>
      <c r="X708" s="154">
        <v>373994</v>
      </c>
      <c r="Y708" s="154">
        <v>374164</v>
      </c>
      <c r="Z708" s="154">
        <v>374366</v>
      </c>
      <c r="AA708" s="154">
        <v>374572</v>
      </c>
      <c r="AB708" s="154">
        <v>374745</v>
      </c>
      <c r="AC708" s="154">
        <v>374883</v>
      </c>
      <c r="AD708" s="154">
        <v>375021</v>
      </c>
      <c r="AE708" s="154">
        <v>375158</v>
      </c>
      <c r="AF708" s="154">
        <v>375328</v>
      </c>
      <c r="AG708" s="154" t="s">
        <v>424</v>
      </c>
      <c r="AH708" s="154">
        <v>375535</v>
      </c>
      <c r="AI708" s="154">
        <v>375703</v>
      </c>
      <c r="AJ708" s="154">
        <v>375841</v>
      </c>
      <c r="AK708" s="154">
        <v>375978</v>
      </c>
      <c r="AL708" s="154">
        <v>376115</v>
      </c>
      <c r="AS708">
        <v>708</v>
      </c>
    </row>
    <row r="709" spans="1:46" hidden="1" x14ac:dyDescent="0.25">
      <c r="A709">
        <v>708</v>
      </c>
      <c r="B709">
        <v>2025</v>
      </c>
      <c r="C709">
        <v>10</v>
      </c>
      <c r="D709" t="s">
        <v>274</v>
      </c>
      <c r="E709">
        <v>31</v>
      </c>
      <c r="F709">
        <v>9</v>
      </c>
      <c r="G709" t="s">
        <v>537</v>
      </c>
      <c r="H709" s="154">
        <v>371878</v>
      </c>
      <c r="I709" s="154">
        <v>372065</v>
      </c>
      <c r="J709" s="154">
        <v>372202</v>
      </c>
      <c r="K709" s="154">
        <v>372339</v>
      </c>
      <c r="L709" s="154" t="s">
        <v>424</v>
      </c>
      <c r="M709" s="154">
        <v>372571</v>
      </c>
      <c r="N709" s="154">
        <v>372708</v>
      </c>
      <c r="O709" s="154">
        <v>372845</v>
      </c>
      <c r="P709" s="154">
        <v>372982</v>
      </c>
      <c r="Q709" s="154">
        <v>373119</v>
      </c>
      <c r="R709" s="154">
        <v>373256</v>
      </c>
      <c r="S709" s="154">
        <v>373393</v>
      </c>
      <c r="T709" s="154">
        <v>373530</v>
      </c>
      <c r="U709" s="154">
        <v>373667</v>
      </c>
      <c r="V709" s="154">
        <v>373806</v>
      </c>
      <c r="W709" s="154">
        <v>373994</v>
      </c>
      <c r="X709" s="154">
        <v>374164</v>
      </c>
      <c r="Y709" s="154">
        <v>374366</v>
      </c>
      <c r="Z709" s="154">
        <v>374572</v>
      </c>
      <c r="AA709" s="154">
        <v>374745</v>
      </c>
      <c r="AB709" s="154">
        <v>374883</v>
      </c>
      <c r="AC709" s="154">
        <v>375021</v>
      </c>
      <c r="AD709" s="154">
        <v>375158</v>
      </c>
      <c r="AE709" s="154">
        <v>375328</v>
      </c>
      <c r="AF709" s="154">
        <v>375535</v>
      </c>
      <c r="AG709" s="154" t="s">
        <v>424</v>
      </c>
      <c r="AH709" s="154">
        <v>375703</v>
      </c>
      <c r="AI709" s="154">
        <v>375841</v>
      </c>
      <c r="AJ709" s="154">
        <v>375978</v>
      </c>
      <c r="AK709" s="154">
        <v>376115</v>
      </c>
      <c r="AL709" s="154">
        <v>376252</v>
      </c>
      <c r="AP709" cm="1">
        <f t="array" ref="AP709">IF(AQ709="","",SUM(IFERROR(H709:AL709-H708:AL708,0))*AQ709/100)</f>
        <v>794.15999999999985</v>
      </c>
      <c r="AQ709">
        <f>_xlfn.XLOOKUP(D709,log_prices!M:M,log_prices!L:L,,0)</f>
        <v>17.999999999999996</v>
      </c>
      <c r="AS709">
        <v>709</v>
      </c>
      <c r="AT709" cm="1">
        <f t="array" ref="AT709">IF(AQ709="","",SUM(IFERROR(H709:AL709-H708:AL708,0)))</f>
        <v>4412</v>
      </c>
    </row>
    <row r="710" spans="1:46" hidden="1" x14ac:dyDescent="0.25">
      <c r="A710">
        <v>709</v>
      </c>
      <c r="B710">
        <v>2025</v>
      </c>
      <c r="C710">
        <v>10</v>
      </c>
      <c r="D710" t="s">
        <v>270</v>
      </c>
      <c r="E710">
        <v>31</v>
      </c>
      <c r="F710">
        <v>9</v>
      </c>
      <c r="G710" t="s">
        <v>536</v>
      </c>
      <c r="H710" s="154">
        <v>273630</v>
      </c>
      <c r="I710" s="154">
        <v>273713</v>
      </c>
      <c r="J710" s="154">
        <v>273804</v>
      </c>
      <c r="K710" s="154">
        <v>273889</v>
      </c>
      <c r="L710" s="154">
        <v>273984</v>
      </c>
      <c r="M710" s="154">
        <v>274034</v>
      </c>
      <c r="N710" s="154">
        <v>274097</v>
      </c>
      <c r="O710" s="154">
        <v>274191</v>
      </c>
      <c r="P710" s="154">
        <v>274294</v>
      </c>
      <c r="Q710" s="154">
        <v>274383</v>
      </c>
      <c r="R710" s="154">
        <v>274538</v>
      </c>
      <c r="S710" s="154">
        <v>274594</v>
      </c>
      <c r="T710" s="154">
        <v>274655</v>
      </c>
      <c r="U710" s="154">
        <v>274753</v>
      </c>
      <c r="V710" s="154">
        <v>274794</v>
      </c>
      <c r="W710" s="154">
        <v>274894</v>
      </c>
      <c r="X710" s="154">
        <v>274986</v>
      </c>
      <c r="Y710" s="154">
        <v>275075</v>
      </c>
      <c r="Z710" s="154">
        <v>275176</v>
      </c>
      <c r="AA710" s="154">
        <v>275273</v>
      </c>
      <c r="AB710" s="154">
        <v>275361</v>
      </c>
      <c r="AC710" s="154">
        <v>275453</v>
      </c>
      <c r="AD710" s="154">
        <v>275538</v>
      </c>
      <c r="AE710" s="154">
        <v>275644</v>
      </c>
      <c r="AF710" s="154">
        <v>275739</v>
      </c>
      <c r="AG710" s="154">
        <v>275838</v>
      </c>
      <c r="AH710" s="154">
        <v>275911</v>
      </c>
      <c r="AI710" s="154">
        <v>276018</v>
      </c>
      <c r="AJ710" s="154">
        <v>276099</v>
      </c>
      <c r="AK710" s="154">
        <v>276182</v>
      </c>
      <c r="AL710" s="154">
        <v>276279</v>
      </c>
      <c r="AS710">
        <v>710</v>
      </c>
    </row>
    <row r="711" spans="1:46" hidden="1" x14ac:dyDescent="0.25">
      <c r="A711">
        <v>710</v>
      </c>
      <c r="B711">
        <v>2025</v>
      </c>
      <c r="C711">
        <v>10</v>
      </c>
      <c r="D711" t="s">
        <v>270</v>
      </c>
      <c r="E711">
        <v>31</v>
      </c>
      <c r="F711">
        <v>9</v>
      </c>
      <c r="G711" t="s">
        <v>537</v>
      </c>
      <c r="H711" s="154">
        <v>273713</v>
      </c>
      <c r="I711" s="154">
        <v>273804</v>
      </c>
      <c r="J711" s="154">
        <v>273889</v>
      </c>
      <c r="K711" s="154">
        <v>273984</v>
      </c>
      <c r="L711" s="154">
        <v>274034</v>
      </c>
      <c r="M711" s="154">
        <v>274097</v>
      </c>
      <c r="N711" s="154">
        <v>274191</v>
      </c>
      <c r="O711" s="154">
        <v>274294</v>
      </c>
      <c r="P711" s="154">
        <v>274383</v>
      </c>
      <c r="Q711" s="154">
        <v>274450</v>
      </c>
      <c r="R711" s="154">
        <v>274594</v>
      </c>
      <c r="S711" s="154">
        <v>274655</v>
      </c>
      <c r="T711" s="154">
        <v>274753</v>
      </c>
      <c r="U711" s="154">
        <v>274794</v>
      </c>
      <c r="V711" s="154">
        <v>274894</v>
      </c>
      <c r="W711" s="154">
        <v>274986</v>
      </c>
      <c r="X711" s="154">
        <v>275075</v>
      </c>
      <c r="Y711" s="154">
        <v>275176</v>
      </c>
      <c r="Z711" s="154">
        <v>275273</v>
      </c>
      <c r="AA711" s="154">
        <v>275361</v>
      </c>
      <c r="AB711" s="154">
        <v>275453</v>
      </c>
      <c r="AC711" s="154">
        <v>275538</v>
      </c>
      <c r="AD711" s="154">
        <v>275644</v>
      </c>
      <c r="AE711" s="154">
        <v>275739</v>
      </c>
      <c r="AF711" s="154">
        <v>275838</v>
      </c>
      <c r="AG711" s="154">
        <v>275911</v>
      </c>
      <c r="AH711" s="154">
        <v>276018</v>
      </c>
      <c r="AI711" s="154">
        <v>276099</v>
      </c>
      <c r="AJ711" s="154">
        <v>276182</v>
      </c>
      <c r="AK711" s="154">
        <v>276279</v>
      </c>
      <c r="AL711" s="154">
        <v>276382</v>
      </c>
      <c r="AP711" cm="1">
        <f t="array" ref="AP711">IF(AQ711="","",SUM(IFERROR(H711:AL711-H710:AL710,0))*AQ711/100)</f>
        <v>399.6</v>
      </c>
      <c r="AQ711">
        <f>_xlfn.XLOOKUP(D711,log_prices!M:M,log_prices!L:L,,0)</f>
        <v>15</v>
      </c>
      <c r="AS711">
        <v>711</v>
      </c>
      <c r="AT711" cm="1">
        <f t="array" ref="AT711">IF(AQ711="","",SUM(IFERROR(H711:AL711-H710:AL710,0)))</f>
        <v>2664</v>
      </c>
    </row>
    <row r="712" spans="1:46" hidden="1" x14ac:dyDescent="0.25">
      <c r="A712">
        <v>711</v>
      </c>
      <c r="B712">
        <v>2025</v>
      </c>
      <c r="C712">
        <v>10</v>
      </c>
      <c r="D712" t="s">
        <v>248</v>
      </c>
      <c r="E712">
        <v>31</v>
      </c>
      <c r="F712">
        <v>9</v>
      </c>
      <c r="G712" t="s">
        <v>536</v>
      </c>
      <c r="H712" s="154">
        <v>373536</v>
      </c>
      <c r="I712" s="154">
        <v>373772</v>
      </c>
      <c r="J712" s="154">
        <v>373859</v>
      </c>
      <c r="K712" s="154">
        <v>373988</v>
      </c>
      <c r="L712" s="154" t="s">
        <v>424</v>
      </c>
      <c r="M712" s="154">
        <v>374274</v>
      </c>
      <c r="N712" s="154">
        <v>374437</v>
      </c>
      <c r="O712" s="154">
        <v>374484</v>
      </c>
      <c r="P712" s="154">
        <v>374553</v>
      </c>
      <c r="Q712" s="154">
        <v>374623</v>
      </c>
      <c r="R712" s="154">
        <v>374661</v>
      </c>
      <c r="S712" s="154">
        <v>374724</v>
      </c>
      <c r="T712" s="154">
        <v>374761</v>
      </c>
      <c r="U712" s="154">
        <v>374989</v>
      </c>
      <c r="V712" s="154">
        <v>375125</v>
      </c>
      <c r="W712" s="154">
        <v>375376</v>
      </c>
      <c r="X712" s="154">
        <v>375528</v>
      </c>
      <c r="Y712" s="154">
        <v>375758</v>
      </c>
      <c r="Z712" s="154">
        <v>375994</v>
      </c>
      <c r="AA712" s="154">
        <v>376187</v>
      </c>
      <c r="AB712" s="154">
        <v>376295</v>
      </c>
      <c r="AC712" s="154">
        <v>376464</v>
      </c>
      <c r="AD712" s="154">
        <v>376711</v>
      </c>
      <c r="AE712" s="154">
        <v>376858</v>
      </c>
      <c r="AF712" s="154">
        <v>376905</v>
      </c>
      <c r="AG712" s="154">
        <v>376964</v>
      </c>
      <c r="AH712" s="154">
        <v>376998</v>
      </c>
      <c r="AI712" s="154">
        <v>377183</v>
      </c>
      <c r="AJ712" s="154">
        <v>377400</v>
      </c>
      <c r="AK712" s="154">
        <v>377482</v>
      </c>
      <c r="AL712" s="154">
        <v>377857</v>
      </c>
      <c r="AS712">
        <v>712</v>
      </c>
    </row>
    <row r="713" spans="1:46" hidden="1" x14ac:dyDescent="0.25">
      <c r="A713">
        <v>712</v>
      </c>
      <c r="B713">
        <v>2025</v>
      </c>
      <c r="C713">
        <v>10</v>
      </c>
      <c r="D713" t="s">
        <v>248</v>
      </c>
      <c r="E713">
        <v>31</v>
      </c>
      <c r="F713">
        <v>9</v>
      </c>
      <c r="G713" t="s">
        <v>537</v>
      </c>
      <c r="H713" s="154">
        <v>373772</v>
      </c>
      <c r="I713" s="154">
        <v>373859</v>
      </c>
      <c r="J713" s="154">
        <v>373988</v>
      </c>
      <c r="K713" s="154">
        <v>374163</v>
      </c>
      <c r="L713" s="154" t="s">
        <v>424</v>
      </c>
      <c r="M713" s="154">
        <v>374437</v>
      </c>
      <c r="N713" s="154">
        <v>374484</v>
      </c>
      <c r="O713" s="154">
        <v>374553</v>
      </c>
      <c r="P713" s="154">
        <v>374622</v>
      </c>
      <c r="Q713" s="154">
        <v>374661</v>
      </c>
      <c r="R713" s="154">
        <v>374724</v>
      </c>
      <c r="S713" s="154">
        <v>374760</v>
      </c>
      <c r="T713" s="154">
        <v>374886</v>
      </c>
      <c r="U713" s="154">
        <v>375108</v>
      </c>
      <c r="V713" s="154">
        <v>375202</v>
      </c>
      <c r="W713" s="154">
        <v>375528</v>
      </c>
      <c r="X713" s="154">
        <v>375667</v>
      </c>
      <c r="Y713" s="154">
        <v>375994</v>
      </c>
      <c r="Z713" s="154">
        <v>376187</v>
      </c>
      <c r="AA713" s="154">
        <v>376295</v>
      </c>
      <c r="AB713" s="154">
        <v>376423</v>
      </c>
      <c r="AC713" s="154">
        <v>376711</v>
      </c>
      <c r="AD713" s="154">
        <v>376857</v>
      </c>
      <c r="AE713" s="154">
        <v>376909</v>
      </c>
      <c r="AF713" s="154">
        <v>376964</v>
      </c>
      <c r="AG713" s="154">
        <v>376998</v>
      </c>
      <c r="AH713" s="154">
        <v>377059</v>
      </c>
      <c r="AI713" s="154">
        <v>377359</v>
      </c>
      <c r="AJ713" s="154">
        <v>377458</v>
      </c>
      <c r="AK713" s="154">
        <v>377664</v>
      </c>
      <c r="AL713" s="154">
        <v>378139</v>
      </c>
      <c r="AP713" cm="1">
        <f t="array" ref="AP713">IF(AQ713="","",SUM(IFERROR(H713:AL713-H712:AL712,0))*AQ713/100)</f>
        <v>552.75</v>
      </c>
      <c r="AQ713">
        <f>_xlfn.XLOOKUP(D713,log_prices!M:M,log_prices!L:L,,0)</f>
        <v>15</v>
      </c>
      <c r="AS713">
        <v>713</v>
      </c>
      <c r="AT713" cm="1">
        <f t="array" ref="AT713">IF(AQ713="","",SUM(IFERROR(H713:AL713-H712:AL712,0)))</f>
        <v>3685</v>
      </c>
    </row>
    <row r="714" spans="1:46" hidden="1" x14ac:dyDescent="0.25">
      <c r="A714">
        <v>713</v>
      </c>
      <c r="B714">
        <v>2025</v>
      </c>
      <c r="C714">
        <v>10</v>
      </c>
      <c r="D714" t="s">
        <v>232</v>
      </c>
      <c r="E714">
        <v>31</v>
      </c>
      <c r="F714">
        <v>9</v>
      </c>
      <c r="G714" t="s">
        <v>536</v>
      </c>
      <c r="H714" s="154">
        <v>490518</v>
      </c>
      <c r="I714" s="154">
        <v>490543</v>
      </c>
      <c r="J714" s="154">
        <v>490569</v>
      </c>
      <c r="K714" s="154">
        <v>490624</v>
      </c>
      <c r="L714" s="154">
        <v>490738</v>
      </c>
      <c r="M714" s="154">
        <v>490830</v>
      </c>
      <c r="N714" s="154">
        <v>490856</v>
      </c>
      <c r="O714" s="154">
        <v>490877</v>
      </c>
      <c r="P714" s="154">
        <v>490996</v>
      </c>
      <c r="Q714" s="154">
        <v>491186</v>
      </c>
      <c r="R714" s="154">
        <v>491309</v>
      </c>
      <c r="S714" s="154">
        <v>491402</v>
      </c>
      <c r="T714" s="154">
        <v>491615</v>
      </c>
      <c r="U714" s="154">
        <v>491638</v>
      </c>
      <c r="V714" s="154">
        <v>491699</v>
      </c>
      <c r="W714" s="154">
        <v>491748</v>
      </c>
      <c r="X714" s="154">
        <v>491771</v>
      </c>
      <c r="Y714" s="154">
        <v>491785</v>
      </c>
      <c r="Z714" s="154">
        <v>491826</v>
      </c>
      <c r="AA714" s="154">
        <v>491842</v>
      </c>
      <c r="AB714" s="154">
        <v>492129</v>
      </c>
      <c r="AC714" s="154">
        <v>492277</v>
      </c>
      <c r="AD714" s="154">
        <v>492534</v>
      </c>
      <c r="AE714" s="154">
        <v>492658</v>
      </c>
      <c r="AF714" s="154">
        <v>492683</v>
      </c>
      <c r="AG714" s="154" t="s">
        <v>424</v>
      </c>
      <c r="AH714" s="154">
        <v>492837</v>
      </c>
      <c r="AI714" s="154">
        <v>492955</v>
      </c>
      <c r="AJ714" s="154">
        <v>492992</v>
      </c>
      <c r="AK714" s="154">
        <v>493019</v>
      </c>
      <c r="AL714" s="154" t="s">
        <v>424</v>
      </c>
      <c r="AS714">
        <v>714</v>
      </c>
    </row>
    <row r="715" spans="1:46" hidden="1" x14ac:dyDescent="0.25">
      <c r="A715">
        <v>714</v>
      </c>
      <c r="B715">
        <v>2025</v>
      </c>
      <c r="C715">
        <v>10</v>
      </c>
      <c r="D715" t="s">
        <v>232</v>
      </c>
      <c r="E715">
        <v>31</v>
      </c>
      <c r="F715">
        <v>9</v>
      </c>
      <c r="G715" t="s">
        <v>537</v>
      </c>
      <c r="H715" s="154">
        <v>490543</v>
      </c>
      <c r="I715" s="154">
        <v>490569</v>
      </c>
      <c r="J715" s="154">
        <v>490624</v>
      </c>
      <c r="K715" s="154">
        <v>490738</v>
      </c>
      <c r="L715" s="154">
        <v>490830</v>
      </c>
      <c r="M715" s="154">
        <v>490855</v>
      </c>
      <c r="N715" s="154">
        <v>490877</v>
      </c>
      <c r="O715" s="154">
        <v>490991</v>
      </c>
      <c r="P715" s="154">
        <v>491186</v>
      </c>
      <c r="Q715" s="154">
        <v>491309</v>
      </c>
      <c r="R715" s="154">
        <v>491402</v>
      </c>
      <c r="S715" s="154">
        <v>491615</v>
      </c>
      <c r="T715" s="154">
        <v>491638</v>
      </c>
      <c r="U715" s="154">
        <v>491699</v>
      </c>
      <c r="V715" s="154">
        <v>491748</v>
      </c>
      <c r="W715" s="154">
        <v>491771</v>
      </c>
      <c r="X715" s="154">
        <v>491785</v>
      </c>
      <c r="Y715" s="154">
        <v>491826</v>
      </c>
      <c r="Z715" s="154">
        <v>491842</v>
      </c>
      <c r="AA715" s="154">
        <v>491965</v>
      </c>
      <c r="AB715" s="154">
        <v>492270</v>
      </c>
      <c r="AC715" s="154">
        <v>492362</v>
      </c>
      <c r="AD715" s="154">
        <v>492658</v>
      </c>
      <c r="AE715" s="154">
        <v>492683</v>
      </c>
      <c r="AF715" s="154">
        <v>492743</v>
      </c>
      <c r="AG715" s="154" t="s">
        <v>424</v>
      </c>
      <c r="AH715" s="154">
        <v>492955</v>
      </c>
      <c r="AI715" s="154">
        <v>492992</v>
      </c>
      <c r="AJ715" s="154">
        <v>493019</v>
      </c>
      <c r="AK715" s="154">
        <v>493055</v>
      </c>
      <c r="AL715" s="154" t="s">
        <v>424</v>
      </c>
      <c r="AP715" cm="1">
        <f t="array" ref="AP715">IF(AQ715="","",SUM(IFERROR(H715:AL715-H714:AL714,0))*AQ715/100)</f>
        <v>314.10000000000002</v>
      </c>
      <c r="AQ715">
        <f>_xlfn.XLOOKUP(D715,log_prices!M:M,log_prices!L:L,,0)</f>
        <v>15</v>
      </c>
      <c r="AS715">
        <v>715</v>
      </c>
      <c r="AT715" cm="1">
        <f t="array" ref="AT715">IF(AQ715="","",SUM(IFERROR(H715:AL715-H714:AL714,0)))</f>
        <v>2094</v>
      </c>
    </row>
    <row r="716" spans="1:46" hidden="1" x14ac:dyDescent="0.25">
      <c r="A716">
        <v>715</v>
      </c>
      <c r="B716">
        <v>2025</v>
      </c>
      <c r="C716">
        <v>10</v>
      </c>
      <c r="D716" t="s">
        <v>263</v>
      </c>
      <c r="E716">
        <v>31</v>
      </c>
      <c r="F716">
        <v>9</v>
      </c>
      <c r="G716" t="s">
        <v>536</v>
      </c>
      <c r="H716" s="154">
        <v>331132</v>
      </c>
      <c r="I716" s="154">
        <v>331272</v>
      </c>
      <c r="J716" s="154">
        <v>331331</v>
      </c>
      <c r="K716" s="154">
        <v>331413</v>
      </c>
      <c r="L716" s="154">
        <v>331481</v>
      </c>
      <c r="M716" s="154">
        <v>331528</v>
      </c>
      <c r="N716" s="154">
        <v>331596</v>
      </c>
      <c r="O716" s="154">
        <v>331744</v>
      </c>
      <c r="P716" s="154">
        <v>331808</v>
      </c>
      <c r="Q716" s="154">
        <v>331872</v>
      </c>
      <c r="R716" s="154">
        <v>331934</v>
      </c>
      <c r="S716" s="154">
        <v>332118</v>
      </c>
      <c r="T716" s="154">
        <v>332188</v>
      </c>
      <c r="U716" s="154">
        <v>332327</v>
      </c>
      <c r="V716" s="154">
        <v>332373</v>
      </c>
      <c r="W716" s="154">
        <v>332392</v>
      </c>
      <c r="X716" s="154">
        <v>332484</v>
      </c>
      <c r="Y716" s="154">
        <v>332566</v>
      </c>
      <c r="Z716" s="154">
        <v>332649</v>
      </c>
      <c r="AA716" s="154">
        <v>332717</v>
      </c>
      <c r="AB716" s="154">
        <v>332795</v>
      </c>
      <c r="AC716" s="154">
        <v>332865</v>
      </c>
      <c r="AD716" s="154">
        <v>332935</v>
      </c>
      <c r="AE716" s="154">
        <v>332993</v>
      </c>
      <c r="AF716" s="154">
        <v>333061</v>
      </c>
      <c r="AG716" s="154">
        <v>333126</v>
      </c>
      <c r="AH716" s="154">
        <v>333174</v>
      </c>
      <c r="AI716" s="154">
        <v>333242</v>
      </c>
      <c r="AJ716" s="154">
        <v>333295</v>
      </c>
      <c r="AK716" s="154">
        <v>333351</v>
      </c>
      <c r="AL716" s="154">
        <v>333409</v>
      </c>
      <c r="AS716">
        <v>716</v>
      </c>
    </row>
    <row r="717" spans="1:46" hidden="1" x14ac:dyDescent="0.25">
      <c r="A717">
        <v>716</v>
      </c>
      <c r="B717">
        <v>2025</v>
      </c>
      <c r="C717">
        <v>10</v>
      </c>
      <c r="D717" t="s">
        <v>263</v>
      </c>
      <c r="E717">
        <v>31</v>
      </c>
      <c r="F717">
        <v>9</v>
      </c>
      <c r="G717" t="s">
        <v>537</v>
      </c>
      <c r="H717" s="154">
        <v>331245</v>
      </c>
      <c r="I717" s="154">
        <v>331308</v>
      </c>
      <c r="J717" s="154">
        <v>331384</v>
      </c>
      <c r="K717" s="154">
        <v>331456</v>
      </c>
      <c r="L717" s="154">
        <v>331508</v>
      </c>
      <c r="M717" s="154">
        <v>331575</v>
      </c>
      <c r="N717" s="154">
        <v>331717</v>
      </c>
      <c r="O717" s="154">
        <v>331788</v>
      </c>
      <c r="P717" s="154">
        <v>331855</v>
      </c>
      <c r="Q717" s="154">
        <v>331914</v>
      </c>
      <c r="R717" s="154">
        <v>331978</v>
      </c>
      <c r="S717" s="154">
        <v>332170</v>
      </c>
      <c r="T717" s="154">
        <v>332309</v>
      </c>
      <c r="U717" s="154">
        <v>332373</v>
      </c>
      <c r="V717" s="154">
        <v>332392</v>
      </c>
      <c r="W717" s="154">
        <v>332453</v>
      </c>
      <c r="X717" s="154">
        <v>332539</v>
      </c>
      <c r="Y717" s="154">
        <v>332614</v>
      </c>
      <c r="Z717" s="154">
        <v>332700</v>
      </c>
      <c r="AA717" s="154">
        <v>332765</v>
      </c>
      <c r="AB717" s="154">
        <v>332840</v>
      </c>
      <c r="AC717" s="154">
        <v>332907</v>
      </c>
      <c r="AD717" s="154">
        <v>332972</v>
      </c>
      <c r="AE717" s="154">
        <v>333035</v>
      </c>
      <c r="AF717" s="154">
        <v>333109</v>
      </c>
      <c r="AG717" s="154">
        <v>333174</v>
      </c>
      <c r="AH717" s="154">
        <v>333224</v>
      </c>
      <c r="AI717" s="154">
        <v>333275</v>
      </c>
      <c r="AJ717" s="154">
        <v>333332</v>
      </c>
      <c r="AK717" s="154">
        <v>333384</v>
      </c>
      <c r="AL717" s="154">
        <v>333434</v>
      </c>
      <c r="AP717" cm="1">
        <f t="array" ref="AP717">IF(AQ717="","",SUM(IFERROR(H717:AL717-H716:AL716,0))*AQ717/100)</f>
        <v>233.7</v>
      </c>
      <c r="AQ717">
        <f>_xlfn.XLOOKUP(D717,log_prices!M:M,log_prices!L:L,,0)</f>
        <v>15</v>
      </c>
      <c r="AS717">
        <v>717</v>
      </c>
      <c r="AT717" cm="1">
        <f t="array" ref="AT717">IF(AQ717="","",SUM(IFERROR(H717:AL717-H716:AL716,0)))</f>
        <v>1558</v>
      </c>
    </row>
    <row r="718" spans="1:46" hidden="1" x14ac:dyDescent="0.25">
      <c r="A718">
        <v>717</v>
      </c>
      <c r="B718">
        <v>2025</v>
      </c>
      <c r="C718">
        <v>10</v>
      </c>
      <c r="D718" t="s">
        <v>279</v>
      </c>
      <c r="E718">
        <v>31</v>
      </c>
      <c r="F718">
        <v>9</v>
      </c>
      <c r="G718" t="s">
        <v>536</v>
      </c>
      <c r="H718" s="154">
        <v>872588</v>
      </c>
      <c r="I718" s="154">
        <v>872668</v>
      </c>
      <c r="J718" s="154">
        <v>872741</v>
      </c>
      <c r="K718" s="154">
        <v>872818</v>
      </c>
      <c r="L718" s="154">
        <v>872870</v>
      </c>
      <c r="M718" s="154">
        <v>872899</v>
      </c>
      <c r="N718" s="154">
        <v>872934</v>
      </c>
      <c r="O718" s="154">
        <v>872981</v>
      </c>
      <c r="P718" s="154">
        <v>873047</v>
      </c>
      <c r="Q718" s="154">
        <v>873133</v>
      </c>
      <c r="R718" s="154">
        <v>873229</v>
      </c>
      <c r="S718" s="154">
        <v>873307</v>
      </c>
      <c r="T718" s="154">
        <v>873441</v>
      </c>
      <c r="U718" s="154">
        <v>873548</v>
      </c>
      <c r="V718" s="154">
        <v>873659</v>
      </c>
      <c r="W718" s="154">
        <v>873705</v>
      </c>
      <c r="X718" s="154">
        <v>873800</v>
      </c>
      <c r="Y718" s="154">
        <v>873860</v>
      </c>
      <c r="Z718" s="154">
        <v>873878</v>
      </c>
      <c r="AA718" s="154">
        <v>873891</v>
      </c>
      <c r="AB718" s="154">
        <v>873924</v>
      </c>
      <c r="AC718" s="154">
        <v>873949</v>
      </c>
      <c r="AD718" s="154">
        <v>873983</v>
      </c>
      <c r="AE718" s="154">
        <v>874011</v>
      </c>
      <c r="AF718" s="154">
        <v>874023</v>
      </c>
      <c r="AG718" s="154" t="s">
        <v>424</v>
      </c>
      <c r="AH718" s="154">
        <v>874029</v>
      </c>
      <c r="AI718" s="154">
        <v>874047</v>
      </c>
      <c r="AJ718" s="154">
        <v>874057</v>
      </c>
      <c r="AK718" s="154">
        <v>874078</v>
      </c>
      <c r="AL718" s="154" t="s">
        <v>424</v>
      </c>
      <c r="AS718">
        <v>718</v>
      </c>
    </row>
    <row r="719" spans="1:46" hidden="1" x14ac:dyDescent="0.25">
      <c r="A719">
        <v>718</v>
      </c>
      <c r="B719">
        <v>2025</v>
      </c>
      <c r="C719">
        <v>10</v>
      </c>
      <c r="D719" t="s">
        <v>279</v>
      </c>
      <c r="E719">
        <v>31</v>
      </c>
      <c r="F719">
        <v>9</v>
      </c>
      <c r="G719" t="s">
        <v>537</v>
      </c>
      <c r="H719" s="154">
        <v>872668</v>
      </c>
      <c r="I719" s="154">
        <v>872741</v>
      </c>
      <c r="J719" s="154">
        <v>872818</v>
      </c>
      <c r="K719" s="154">
        <v>872870</v>
      </c>
      <c r="L719" s="154">
        <v>872899</v>
      </c>
      <c r="M719" s="154">
        <v>872934</v>
      </c>
      <c r="N719" s="154">
        <v>872981</v>
      </c>
      <c r="O719" s="154">
        <v>873047</v>
      </c>
      <c r="P719" s="154">
        <v>873133</v>
      </c>
      <c r="Q719" s="154">
        <v>873229</v>
      </c>
      <c r="R719" s="154">
        <v>873307</v>
      </c>
      <c r="S719" s="154">
        <v>873441</v>
      </c>
      <c r="T719" s="154">
        <v>873548</v>
      </c>
      <c r="U719" s="154">
        <v>873659</v>
      </c>
      <c r="V719" s="154">
        <v>873705</v>
      </c>
      <c r="W719" s="154">
        <v>873800</v>
      </c>
      <c r="X719" s="154">
        <v>873860</v>
      </c>
      <c r="Y719" s="154">
        <v>873878</v>
      </c>
      <c r="Z719" s="154">
        <v>873891</v>
      </c>
      <c r="AA719" s="154">
        <v>873924</v>
      </c>
      <c r="AB719" s="154">
        <v>873949</v>
      </c>
      <c r="AC719" s="154">
        <v>873983</v>
      </c>
      <c r="AD719" s="154">
        <v>874011</v>
      </c>
      <c r="AE719" s="154">
        <v>874023</v>
      </c>
      <c r="AF719" s="154">
        <v>874029</v>
      </c>
      <c r="AG719" s="154" t="s">
        <v>424</v>
      </c>
      <c r="AH719" s="154">
        <v>874047</v>
      </c>
      <c r="AI719" s="154">
        <v>874057</v>
      </c>
      <c r="AJ719" s="154">
        <v>874078</v>
      </c>
      <c r="AK719" s="154">
        <v>874105</v>
      </c>
      <c r="AL719" s="154" t="s">
        <v>424</v>
      </c>
      <c r="AP719" cm="1">
        <f t="array" ref="AP719">IF(AQ719="","",SUM(IFERROR(H719:AL719-H718:AL718,0))*AQ719/100)</f>
        <v>227.55</v>
      </c>
      <c r="AQ719">
        <f>_xlfn.XLOOKUP(D719,log_prices!M:M,log_prices!L:L,,0)</f>
        <v>15</v>
      </c>
      <c r="AS719">
        <v>719</v>
      </c>
      <c r="AT719" cm="1">
        <f t="array" ref="AT719">IF(AQ719="","",SUM(IFERROR(H719:AL719-H718:AL718,0)))</f>
        <v>1517</v>
      </c>
    </row>
    <row r="720" spans="1:46" hidden="1" x14ac:dyDescent="0.25">
      <c r="A720">
        <v>719</v>
      </c>
      <c r="B720">
        <v>2025</v>
      </c>
      <c r="C720">
        <v>10</v>
      </c>
      <c r="D720" t="s">
        <v>283</v>
      </c>
      <c r="E720">
        <v>31</v>
      </c>
      <c r="F720">
        <v>9</v>
      </c>
      <c r="G720" t="s">
        <v>536</v>
      </c>
      <c r="H720" s="154" t="s">
        <v>424</v>
      </c>
      <c r="I720" s="154" t="s">
        <v>424</v>
      </c>
      <c r="J720" s="154" t="s">
        <v>424</v>
      </c>
      <c r="K720" s="154" t="s">
        <v>424</v>
      </c>
      <c r="L720" s="154" t="s">
        <v>424</v>
      </c>
      <c r="M720" s="154" t="s">
        <v>424</v>
      </c>
      <c r="N720" s="154" t="s">
        <v>424</v>
      </c>
      <c r="O720" s="154" t="s">
        <v>424</v>
      </c>
      <c r="P720" s="154" t="s">
        <v>424</v>
      </c>
      <c r="Q720" s="154" t="s">
        <v>424</v>
      </c>
      <c r="R720" s="154" t="s">
        <v>424</v>
      </c>
      <c r="S720" s="154" t="s">
        <v>424</v>
      </c>
      <c r="T720" s="154" t="s">
        <v>424</v>
      </c>
      <c r="U720" s="154" t="s">
        <v>424</v>
      </c>
      <c r="V720" s="154" t="s">
        <v>424</v>
      </c>
      <c r="W720" s="154" t="s">
        <v>424</v>
      </c>
      <c r="X720" s="154" t="s">
        <v>424</v>
      </c>
      <c r="Y720" s="154" t="s">
        <v>424</v>
      </c>
      <c r="Z720" s="154" t="s">
        <v>424</v>
      </c>
      <c r="AA720" s="154">
        <v>229511</v>
      </c>
      <c r="AB720" s="154">
        <v>229531</v>
      </c>
      <c r="AC720" s="154">
        <v>229563</v>
      </c>
      <c r="AD720" s="154">
        <v>229583</v>
      </c>
      <c r="AE720" s="154">
        <v>229602</v>
      </c>
      <c r="AF720" s="154">
        <v>229639</v>
      </c>
      <c r="AG720" s="154">
        <v>229670</v>
      </c>
      <c r="AH720" s="154">
        <v>229810</v>
      </c>
      <c r="AI720" s="154">
        <v>229844</v>
      </c>
      <c r="AJ720" s="154">
        <v>229868</v>
      </c>
      <c r="AK720" s="154">
        <v>229895</v>
      </c>
      <c r="AL720" s="154">
        <v>229934</v>
      </c>
      <c r="AS720">
        <v>720</v>
      </c>
    </row>
    <row r="721" spans="1:46" hidden="1" x14ac:dyDescent="0.25">
      <c r="A721">
        <v>720</v>
      </c>
      <c r="B721">
        <v>2025</v>
      </c>
      <c r="C721">
        <v>10</v>
      </c>
      <c r="D721" t="s">
        <v>283</v>
      </c>
      <c r="E721">
        <v>31</v>
      </c>
      <c r="F721">
        <v>9</v>
      </c>
      <c r="G721" t="s">
        <v>537</v>
      </c>
      <c r="H721" s="154" t="s">
        <v>424</v>
      </c>
      <c r="I721" s="154" t="s">
        <v>424</v>
      </c>
      <c r="J721" s="154" t="s">
        <v>424</v>
      </c>
      <c r="K721" s="154" t="s">
        <v>424</v>
      </c>
      <c r="L721" s="154" t="s">
        <v>424</v>
      </c>
      <c r="M721" s="154" t="s">
        <v>424</v>
      </c>
      <c r="N721" s="154" t="s">
        <v>424</v>
      </c>
      <c r="O721" s="154" t="s">
        <v>424</v>
      </c>
      <c r="P721" s="154" t="s">
        <v>424</v>
      </c>
      <c r="Q721" s="154" t="s">
        <v>424</v>
      </c>
      <c r="R721" s="154" t="s">
        <v>424</v>
      </c>
      <c r="S721" s="154" t="s">
        <v>424</v>
      </c>
      <c r="T721" s="154" t="s">
        <v>424</v>
      </c>
      <c r="U721" s="154" t="s">
        <v>424</v>
      </c>
      <c r="V721" s="154" t="s">
        <v>424</v>
      </c>
      <c r="W721" s="154" t="s">
        <v>424</v>
      </c>
      <c r="X721" s="154" t="s">
        <v>424</v>
      </c>
      <c r="Y721" s="154" t="s">
        <v>424</v>
      </c>
      <c r="Z721" s="154" t="s">
        <v>424</v>
      </c>
      <c r="AA721" s="154">
        <v>229531</v>
      </c>
      <c r="AB721" s="154">
        <v>229563</v>
      </c>
      <c r="AC721" s="154">
        <v>229583</v>
      </c>
      <c r="AD721" s="154">
        <v>229602</v>
      </c>
      <c r="AE721" s="154">
        <v>229639</v>
      </c>
      <c r="AF721" s="154">
        <v>229670</v>
      </c>
      <c r="AG721" s="154">
        <v>229810</v>
      </c>
      <c r="AH721" s="154">
        <v>229844</v>
      </c>
      <c r="AI721" s="154">
        <v>229868</v>
      </c>
      <c r="AJ721" s="154">
        <v>229895</v>
      </c>
      <c r="AK721" s="154">
        <v>229934</v>
      </c>
      <c r="AL721" s="154">
        <v>229966</v>
      </c>
      <c r="AP721" cm="1">
        <f t="array" ref="AP721">IF(AQ721="","",SUM(IFERROR(H721:AL721-H720:AL720,0))*AQ721/100)</f>
        <v>68.25</v>
      </c>
      <c r="AQ721">
        <f>_xlfn.XLOOKUP(D721,log_prices!M:M,log_prices!L:L,,0)</f>
        <v>15</v>
      </c>
      <c r="AS721">
        <v>721</v>
      </c>
      <c r="AT721" cm="1">
        <f t="array" ref="AT721">IF(AQ721="","",SUM(IFERROR(H721:AL721-H720:AL720,0)))</f>
        <v>455</v>
      </c>
    </row>
    <row r="722" spans="1:46" hidden="1" x14ac:dyDescent="0.25">
      <c r="A722">
        <v>721</v>
      </c>
      <c r="B722">
        <v>2025</v>
      </c>
      <c r="C722">
        <v>10</v>
      </c>
      <c r="D722" t="s">
        <v>260</v>
      </c>
      <c r="E722">
        <v>31</v>
      </c>
      <c r="F722">
        <v>9</v>
      </c>
      <c r="G722" t="s">
        <v>536</v>
      </c>
      <c r="H722" s="154">
        <v>810034</v>
      </c>
      <c r="I722" s="154">
        <v>810187</v>
      </c>
      <c r="J722" s="154">
        <v>810351</v>
      </c>
      <c r="K722" s="154">
        <v>810543</v>
      </c>
      <c r="L722" s="154">
        <v>810679</v>
      </c>
      <c r="M722" s="154">
        <v>810824</v>
      </c>
      <c r="N722" s="154">
        <v>810938</v>
      </c>
      <c r="O722" s="154">
        <v>811232</v>
      </c>
      <c r="P722" s="154">
        <v>811414</v>
      </c>
      <c r="Q722" s="154">
        <v>811581</v>
      </c>
      <c r="R722" s="154">
        <v>811729</v>
      </c>
      <c r="S722" s="154" t="s">
        <v>424</v>
      </c>
      <c r="T722" s="154">
        <v>811957</v>
      </c>
      <c r="U722" s="154">
        <v>812113</v>
      </c>
      <c r="V722" s="154">
        <v>812265</v>
      </c>
      <c r="W722" s="154">
        <v>812424</v>
      </c>
      <c r="X722" s="154">
        <v>812576</v>
      </c>
      <c r="Y722" s="154">
        <v>812729</v>
      </c>
      <c r="Z722" s="154" t="s">
        <v>424</v>
      </c>
      <c r="AA722" s="154">
        <v>812879</v>
      </c>
      <c r="AB722" s="154">
        <v>813072</v>
      </c>
      <c r="AC722" s="154">
        <v>813236</v>
      </c>
      <c r="AD722" s="154">
        <v>813386</v>
      </c>
      <c r="AE722" s="154">
        <v>813548</v>
      </c>
      <c r="AF722" s="154">
        <v>813680</v>
      </c>
      <c r="AG722" s="154">
        <v>813821</v>
      </c>
      <c r="AH722" s="154">
        <v>813985</v>
      </c>
      <c r="AI722" s="154">
        <v>814143</v>
      </c>
      <c r="AJ722" s="154">
        <v>814293</v>
      </c>
      <c r="AK722" s="154">
        <v>814464</v>
      </c>
      <c r="AL722" s="154">
        <v>814644</v>
      </c>
      <c r="AS722">
        <v>722</v>
      </c>
    </row>
    <row r="723" spans="1:46" hidden="1" x14ac:dyDescent="0.25">
      <c r="A723">
        <v>722</v>
      </c>
      <c r="B723">
        <v>2025</v>
      </c>
      <c r="C723">
        <v>10</v>
      </c>
      <c r="D723" t="s">
        <v>260</v>
      </c>
      <c r="E723">
        <v>31</v>
      </c>
      <c r="F723">
        <v>9</v>
      </c>
      <c r="G723" t="s">
        <v>537</v>
      </c>
      <c r="H723" s="154">
        <v>810187</v>
      </c>
      <c r="I723" s="154">
        <v>810351</v>
      </c>
      <c r="J723" s="154">
        <v>810543</v>
      </c>
      <c r="K723" s="154">
        <v>810679</v>
      </c>
      <c r="L723" s="154">
        <v>810824</v>
      </c>
      <c r="M723" s="154">
        <v>810938</v>
      </c>
      <c r="N723" s="154">
        <v>811232</v>
      </c>
      <c r="O723" s="154">
        <v>811414</v>
      </c>
      <c r="P723" s="154">
        <v>811581</v>
      </c>
      <c r="Q723" s="154">
        <v>811729</v>
      </c>
      <c r="R723" s="154">
        <v>811897</v>
      </c>
      <c r="S723" s="154" t="s">
        <v>424</v>
      </c>
      <c r="T723" s="154">
        <v>812113</v>
      </c>
      <c r="U723" s="154">
        <v>812265</v>
      </c>
      <c r="V723" s="154">
        <v>812424</v>
      </c>
      <c r="W723" s="154">
        <v>812576</v>
      </c>
      <c r="X723" s="154">
        <v>812729</v>
      </c>
      <c r="Y723" s="154">
        <v>812879</v>
      </c>
      <c r="Z723" s="154" t="s">
        <v>424</v>
      </c>
      <c r="AA723" s="154">
        <v>813072</v>
      </c>
      <c r="AB723" s="154">
        <v>813236</v>
      </c>
      <c r="AC723" s="154">
        <v>813386</v>
      </c>
      <c r="AD723" s="154">
        <v>813548</v>
      </c>
      <c r="AE723" s="154">
        <v>813680</v>
      </c>
      <c r="AF723" s="154">
        <v>813821</v>
      </c>
      <c r="AG723" s="154">
        <v>813985</v>
      </c>
      <c r="AH723" s="154">
        <v>814143</v>
      </c>
      <c r="AI723" s="154">
        <v>814293</v>
      </c>
      <c r="AJ723" s="154">
        <v>814464</v>
      </c>
      <c r="AK723" s="154">
        <v>814644</v>
      </c>
      <c r="AL723" s="154">
        <v>814794</v>
      </c>
      <c r="AP723" cm="1">
        <f t="array" ref="AP723">IF(AQ723="","",SUM(IFERROR(H723:AL723-H722:AL722,0))*AQ723/100)</f>
        <v>846</v>
      </c>
      <c r="AQ723">
        <f>_xlfn.XLOOKUP(D723,log_prices!M:M,log_prices!L:L,,0)</f>
        <v>18</v>
      </c>
      <c r="AS723">
        <v>723</v>
      </c>
      <c r="AT723" cm="1">
        <f t="array" ref="AT723">IF(AQ723="","",SUM(IFERROR(H723:AL723-H722:AL722,0)))</f>
        <v>4700</v>
      </c>
    </row>
    <row r="724" spans="1:46" hidden="1" x14ac:dyDescent="0.25">
      <c r="A724">
        <v>723</v>
      </c>
      <c r="B724">
        <v>2025</v>
      </c>
      <c r="C724">
        <v>10</v>
      </c>
      <c r="D724" t="s">
        <v>272</v>
      </c>
      <c r="E724">
        <v>31</v>
      </c>
      <c r="F724">
        <v>9</v>
      </c>
      <c r="G724" t="s">
        <v>536</v>
      </c>
      <c r="H724" s="154">
        <v>283093</v>
      </c>
      <c r="I724" s="154">
        <v>283201</v>
      </c>
      <c r="J724" s="154">
        <v>283246</v>
      </c>
      <c r="K724" s="154">
        <v>283357</v>
      </c>
      <c r="L724" s="154">
        <v>283387</v>
      </c>
      <c r="M724" s="154">
        <v>283486</v>
      </c>
      <c r="N724" s="154">
        <v>283591</v>
      </c>
      <c r="O724" s="154">
        <v>283629</v>
      </c>
      <c r="P724" s="154">
        <v>283788</v>
      </c>
      <c r="Q724" s="154">
        <v>283871</v>
      </c>
      <c r="R724" s="154">
        <v>283903</v>
      </c>
      <c r="S724" s="154">
        <v>283941</v>
      </c>
      <c r="T724" s="154">
        <v>283963</v>
      </c>
      <c r="U724" s="154">
        <v>283978</v>
      </c>
      <c r="V724" s="154">
        <v>284033</v>
      </c>
      <c r="W724" s="154">
        <v>284075</v>
      </c>
      <c r="X724" s="154">
        <v>284180</v>
      </c>
      <c r="Y724" s="154">
        <v>284283</v>
      </c>
      <c r="Z724" s="154">
        <v>284317</v>
      </c>
      <c r="AA724" s="154">
        <v>284338</v>
      </c>
      <c r="AB724" s="154">
        <v>284510</v>
      </c>
      <c r="AC724" s="154">
        <v>284568</v>
      </c>
      <c r="AD724" s="154">
        <v>284734</v>
      </c>
      <c r="AE724" s="154">
        <v>284835</v>
      </c>
      <c r="AF724" s="154">
        <v>284864</v>
      </c>
      <c r="AG724" s="154">
        <v>284878</v>
      </c>
      <c r="AH724" s="154">
        <v>284888</v>
      </c>
      <c r="AI724" s="154">
        <v>285068</v>
      </c>
      <c r="AJ724" s="154">
        <v>285195</v>
      </c>
      <c r="AK724" s="154">
        <v>285241</v>
      </c>
      <c r="AL724" s="154">
        <v>285294</v>
      </c>
      <c r="AS724">
        <v>724</v>
      </c>
    </row>
    <row r="725" spans="1:46" hidden="1" x14ac:dyDescent="0.25">
      <c r="A725">
        <v>724</v>
      </c>
      <c r="B725">
        <v>2025</v>
      </c>
      <c r="C725">
        <v>10</v>
      </c>
      <c r="D725" t="s">
        <v>272</v>
      </c>
      <c r="E725">
        <v>31</v>
      </c>
      <c r="F725">
        <v>9</v>
      </c>
      <c r="G725" t="s">
        <v>537</v>
      </c>
      <c r="H725" s="154">
        <v>283201</v>
      </c>
      <c r="I725" s="154">
        <v>283246</v>
      </c>
      <c r="J725" s="154">
        <v>283357</v>
      </c>
      <c r="K725" s="154">
        <v>283387</v>
      </c>
      <c r="L725" s="154">
        <v>283486</v>
      </c>
      <c r="M725" s="154">
        <v>283591</v>
      </c>
      <c r="N725" s="154">
        <v>283629</v>
      </c>
      <c r="O725" s="154">
        <v>283721</v>
      </c>
      <c r="P725" s="154">
        <v>283871</v>
      </c>
      <c r="Q725" s="154">
        <v>283903</v>
      </c>
      <c r="R725" s="154">
        <v>283941</v>
      </c>
      <c r="S725" s="154">
        <v>283963</v>
      </c>
      <c r="T725" s="154">
        <v>283978</v>
      </c>
      <c r="U725" s="154">
        <v>284033</v>
      </c>
      <c r="V725" s="154">
        <v>284075</v>
      </c>
      <c r="W725" s="154">
        <v>284171</v>
      </c>
      <c r="X725" s="154">
        <v>284283</v>
      </c>
      <c r="Y725" s="154">
        <v>284317</v>
      </c>
      <c r="Z725" s="154">
        <v>284338</v>
      </c>
      <c r="AA725" s="154">
        <v>284510</v>
      </c>
      <c r="AB725" s="154">
        <v>284568</v>
      </c>
      <c r="AC725" s="154">
        <v>284734</v>
      </c>
      <c r="AD725" s="154">
        <v>284835</v>
      </c>
      <c r="AE725" s="154">
        <v>284864</v>
      </c>
      <c r="AF725" s="154">
        <v>284878</v>
      </c>
      <c r="AG725" s="154">
        <v>284888</v>
      </c>
      <c r="AH725" s="154">
        <v>284987</v>
      </c>
      <c r="AI725" s="154">
        <v>285195</v>
      </c>
      <c r="AJ725" s="154">
        <v>285241</v>
      </c>
      <c r="AK725" s="154">
        <v>285294</v>
      </c>
      <c r="AL725" s="154">
        <v>285374</v>
      </c>
      <c r="AP725" cm="1">
        <f t="array" ref="AP725">IF(AQ725="","",SUM(IFERROR(H725:AL725-H724:AL724,0))*AQ725/100)</f>
        <v>318.60000000000002</v>
      </c>
      <c r="AQ725">
        <f>_xlfn.XLOOKUP(D725,log_prices!M:M,log_prices!L:L,,0)</f>
        <v>15</v>
      </c>
      <c r="AS725">
        <v>725</v>
      </c>
      <c r="AT725" cm="1">
        <f t="array" ref="AT725">IF(AQ725="","",SUM(IFERROR(H725:AL725-H724:AL724,0)))</f>
        <v>2124</v>
      </c>
    </row>
    <row r="726" spans="1:46" hidden="1" x14ac:dyDescent="0.25">
      <c r="A726">
        <v>725</v>
      </c>
      <c r="B726">
        <v>2025</v>
      </c>
      <c r="C726">
        <v>10</v>
      </c>
      <c r="D726" t="s">
        <v>268</v>
      </c>
      <c r="E726">
        <v>31</v>
      </c>
      <c r="F726">
        <v>9</v>
      </c>
      <c r="G726" t="s">
        <v>536</v>
      </c>
      <c r="H726" s="154">
        <v>28793</v>
      </c>
      <c r="I726" s="154">
        <v>28880</v>
      </c>
      <c r="J726" s="154">
        <v>29011</v>
      </c>
      <c r="K726" s="154">
        <v>29158</v>
      </c>
      <c r="L726" s="154">
        <v>29245</v>
      </c>
      <c r="M726" s="154">
        <v>29370</v>
      </c>
      <c r="N726" s="154">
        <v>29498</v>
      </c>
      <c r="O726" s="154">
        <v>29518</v>
      </c>
      <c r="P726" s="154">
        <v>29547</v>
      </c>
      <c r="Q726" s="154">
        <v>29576</v>
      </c>
      <c r="R726" s="154">
        <v>29601</v>
      </c>
      <c r="S726" s="154">
        <v>29634</v>
      </c>
      <c r="T726" s="154">
        <v>29689</v>
      </c>
      <c r="U726" s="154">
        <v>29737</v>
      </c>
      <c r="V726" s="154">
        <v>29761</v>
      </c>
      <c r="W726" s="154">
        <v>29817</v>
      </c>
      <c r="X726" s="154">
        <v>29874</v>
      </c>
      <c r="Y726" s="154">
        <v>29892</v>
      </c>
      <c r="Z726" s="154">
        <v>30007</v>
      </c>
      <c r="AA726" s="154">
        <v>30038</v>
      </c>
      <c r="AB726" s="154">
        <v>30045</v>
      </c>
      <c r="AC726" s="154">
        <v>30094</v>
      </c>
      <c r="AD726" s="154">
        <v>30132</v>
      </c>
      <c r="AE726" s="154">
        <v>30155</v>
      </c>
      <c r="AF726" s="154">
        <v>30208</v>
      </c>
      <c r="AG726" s="154">
        <v>30260</v>
      </c>
      <c r="AH726" s="154">
        <v>30300</v>
      </c>
      <c r="AI726" s="154">
        <v>30340</v>
      </c>
      <c r="AJ726" s="154">
        <v>30350</v>
      </c>
      <c r="AK726" s="154">
        <v>30371</v>
      </c>
      <c r="AL726" s="154">
        <v>30390</v>
      </c>
      <c r="AS726">
        <v>726</v>
      </c>
    </row>
    <row r="727" spans="1:46" hidden="1" x14ac:dyDescent="0.25">
      <c r="A727">
        <v>726</v>
      </c>
      <c r="B727">
        <v>2025</v>
      </c>
      <c r="C727">
        <v>10</v>
      </c>
      <c r="D727" t="s">
        <v>268</v>
      </c>
      <c r="E727">
        <v>31</v>
      </c>
      <c r="F727">
        <v>9</v>
      </c>
      <c r="G727" t="s">
        <v>537</v>
      </c>
      <c r="H727" s="154">
        <v>28880</v>
      </c>
      <c r="I727" s="154">
        <v>29007</v>
      </c>
      <c r="J727" s="154">
        <v>29158</v>
      </c>
      <c r="K727" s="154">
        <v>29245</v>
      </c>
      <c r="L727" s="154">
        <v>29370</v>
      </c>
      <c r="M727" s="154">
        <v>29498</v>
      </c>
      <c r="N727" s="154">
        <v>29518</v>
      </c>
      <c r="O727" s="154">
        <v>29547</v>
      </c>
      <c r="P727" s="154">
        <v>29576</v>
      </c>
      <c r="Q727" s="154">
        <v>29601</v>
      </c>
      <c r="R727" s="154">
        <v>29634</v>
      </c>
      <c r="S727" s="154">
        <v>29689</v>
      </c>
      <c r="T727" s="154">
        <v>29737</v>
      </c>
      <c r="U727" s="154">
        <v>29761</v>
      </c>
      <c r="V727" s="154">
        <v>29817</v>
      </c>
      <c r="W727" s="154">
        <v>29874</v>
      </c>
      <c r="X727" s="154">
        <v>29892</v>
      </c>
      <c r="Y727" s="154">
        <v>30007</v>
      </c>
      <c r="Z727" s="154">
        <v>30038</v>
      </c>
      <c r="AA727" s="154">
        <v>30045</v>
      </c>
      <c r="AB727" s="154">
        <v>30094</v>
      </c>
      <c r="AC727" s="154">
        <v>30132</v>
      </c>
      <c r="AD727" s="154">
        <v>30155</v>
      </c>
      <c r="AE727" s="154">
        <v>30208</v>
      </c>
      <c r="AF727" s="154">
        <v>30260</v>
      </c>
      <c r="AG727" s="154">
        <v>30300</v>
      </c>
      <c r="AH727" s="154">
        <v>30340</v>
      </c>
      <c r="AI727" s="154">
        <v>30350</v>
      </c>
      <c r="AJ727" s="154">
        <v>30371</v>
      </c>
      <c r="AK727" s="154">
        <v>30390</v>
      </c>
      <c r="AL727" s="154">
        <v>30410</v>
      </c>
      <c r="AP727" cm="1">
        <f t="array" ref="AP727">IF(AQ727="","",SUM(IFERROR(H727:AL727-H726:AL726,0))*AQ727/100)</f>
        <v>241.95</v>
      </c>
      <c r="AQ727">
        <f>_xlfn.XLOOKUP(D727,log_prices!M:M,log_prices!L:L,,0)</f>
        <v>15</v>
      </c>
      <c r="AS727">
        <v>727</v>
      </c>
      <c r="AT727" cm="1">
        <f t="array" ref="AT727">IF(AQ727="","",SUM(IFERROR(H727:AL727-H726:AL726,0)))</f>
        <v>1613</v>
      </c>
    </row>
    <row r="728" spans="1:46" hidden="1" x14ac:dyDescent="0.25">
      <c r="A728">
        <v>727</v>
      </c>
      <c r="B728">
        <v>2025</v>
      </c>
      <c r="C728">
        <v>10</v>
      </c>
      <c r="D728" t="s">
        <v>267</v>
      </c>
      <c r="E728">
        <v>31</v>
      </c>
      <c r="F728">
        <v>9</v>
      </c>
      <c r="G728" t="s">
        <v>536</v>
      </c>
      <c r="H728" s="154">
        <v>340233</v>
      </c>
      <c r="I728" s="154">
        <v>340403</v>
      </c>
      <c r="J728" s="154">
        <v>340552</v>
      </c>
      <c r="K728" s="154">
        <v>340798</v>
      </c>
      <c r="L728" s="154">
        <v>341029</v>
      </c>
      <c r="M728" s="154">
        <v>341274</v>
      </c>
      <c r="N728" s="154">
        <v>341446</v>
      </c>
      <c r="O728" s="154">
        <v>341678</v>
      </c>
      <c r="P728" s="154" t="s">
        <v>424</v>
      </c>
      <c r="Q728" s="154">
        <v>342013</v>
      </c>
      <c r="R728" s="154">
        <v>342178</v>
      </c>
      <c r="S728" s="154">
        <v>342330</v>
      </c>
      <c r="T728" s="154" t="s">
        <v>424</v>
      </c>
      <c r="U728" s="154">
        <v>342702</v>
      </c>
      <c r="V728" s="154">
        <v>342887</v>
      </c>
      <c r="W728" s="154">
        <v>343137</v>
      </c>
      <c r="X728" s="154">
        <v>343395</v>
      </c>
      <c r="Y728" s="154">
        <v>343650</v>
      </c>
      <c r="Z728" s="154">
        <v>343896</v>
      </c>
      <c r="AA728" s="154">
        <v>344226</v>
      </c>
      <c r="AB728" s="154">
        <v>344409</v>
      </c>
      <c r="AC728" s="154" t="s">
        <v>424</v>
      </c>
      <c r="AD728" s="154">
        <v>344736</v>
      </c>
      <c r="AE728" s="154">
        <v>344991</v>
      </c>
      <c r="AF728" s="154">
        <v>345277</v>
      </c>
      <c r="AG728" s="154">
        <v>345459</v>
      </c>
      <c r="AH728" s="154">
        <v>345716</v>
      </c>
      <c r="AI728" s="154">
        <v>345951</v>
      </c>
      <c r="AJ728" s="154">
        <v>346197</v>
      </c>
      <c r="AK728" s="154">
        <v>346365</v>
      </c>
      <c r="AL728" s="154">
        <v>346560</v>
      </c>
      <c r="AS728">
        <v>728</v>
      </c>
    </row>
    <row r="729" spans="1:46" hidden="1" x14ac:dyDescent="0.25">
      <c r="A729">
        <v>728</v>
      </c>
      <c r="B729">
        <v>2025</v>
      </c>
      <c r="C729">
        <v>10</v>
      </c>
      <c r="D729" t="s">
        <v>267</v>
      </c>
      <c r="E729">
        <v>31</v>
      </c>
      <c r="F729">
        <v>9</v>
      </c>
      <c r="G729" t="s">
        <v>537</v>
      </c>
      <c r="H729" s="154">
        <v>340303</v>
      </c>
      <c r="I729" s="154">
        <v>340552</v>
      </c>
      <c r="J729" s="154">
        <v>340719</v>
      </c>
      <c r="K729" s="154">
        <v>341029</v>
      </c>
      <c r="L729" s="154">
        <v>341235</v>
      </c>
      <c r="M729" s="154">
        <v>341446</v>
      </c>
      <c r="N729" s="154">
        <v>341678</v>
      </c>
      <c r="O729" s="154">
        <v>341928</v>
      </c>
      <c r="P729" s="154" t="s">
        <v>424</v>
      </c>
      <c r="Q729" s="154">
        <v>342178</v>
      </c>
      <c r="R729" s="154">
        <v>342330</v>
      </c>
      <c r="S729" s="154">
        <v>342537</v>
      </c>
      <c r="T729" s="154" t="s">
        <v>424</v>
      </c>
      <c r="U729" s="154">
        <v>342887</v>
      </c>
      <c r="V729" s="154">
        <v>343137</v>
      </c>
      <c r="W729" s="154">
        <v>343395</v>
      </c>
      <c r="X729" s="154">
        <v>343604</v>
      </c>
      <c r="Y729" s="154">
        <v>343896</v>
      </c>
      <c r="Z729" s="154">
        <v>344146</v>
      </c>
      <c r="AA729" s="154">
        <v>344409</v>
      </c>
      <c r="AB729" s="154">
        <v>344560</v>
      </c>
      <c r="AC729" s="154" t="s">
        <v>424</v>
      </c>
      <c r="AD729" s="154">
        <v>344991</v>
      </c>
      <c r="AE729" s="154">
        <v>345277</v>
      </c>
      <c r="AF729" s="154">
        <v>345459</v>
      </c>
      <c r="AG729" s="154">
        <v>345716</v>
      </c>
      <c r="AH729" s="154">
        <v>345949</v>
      </c>
      <c r="AI729" s="154">
        <v>346197</v>
      </c>
      <c r="AJ729" s="154">
        <v>346365</v>
      </c>
      <c r="AK729" s="154">
        <v>346560</v>
      </c>
      <c r="AL729" s="154">
        <v>346725</v>
      </c>
      <c r="AP729" cm="1">
        <f t="array" ref="AP729">IF(AQ729="","",SUM(IFERROR(H729:AL729-H728:AL728,0))*AQ729/100)</f>
        <v>858</v>
      </c>
      <c r="AQ729">
        <f>_xlfn.XLOOKUP(D729,log_prices!M:M,log_prices!L:L,,0)</f>
        <v>15</v>
      </c>
      <c r="AS729">
        <v>729</v>
      </c>
      <c r="AT729" cm="1">
        <f t="array" ref="AT729">IF(AQ729="","",SUM(IFERROR(H729:AL729-H728:AL728,0)))</f>
        <v>5720</v>
      </c>
    </row>
    <row r="730" spans="1:46" hidden="1" x14ac:dyDescent="0.25">
      <c r="A730">
        <v>729</v>
      </c>
      <c r="B730">
        <v>2025</v>
      </c>
      <c r="C730">
        <v>10</v>
      </c>
      <c r="D730" t="s">
        <v>234</v>
      </c>
      <c r="E730">
        <v>31</v>
      </c>
      <c r="F730">
        <v>9</v>
      </c>
      <c r="G730" t="s">
        <v>536</v>
      </c>
      <c r="H730" s="154">
        <v>689988</v>
      </c>
      <c r="I730" s="154">
        <v>690041</v>
      </c>
      <c r="J730" s="154">
        <v>690149</v>
      </c>
      <c r="K730" s="154">
        <v>690220</v>
      </c>
      <c r="L730" s="154">
        <v>690258</v>
      </c>
      <c r="M730" s="154">
        <v>690293</v>
      </c>
      <c r="N730" s="154">
        <v>690344</v>
      </c>
      <c r="O730" s="154">
        <v>690543</v>
      </c>
      <c r="P730" s="154">
        <v>690575</v>
      </c>
      <c r="Q730" s="154">
        <v>690604</v>
      </c>
      <c r="R730" s="154">
        <v>690623</v>
      </c>
      <c r="S730" s="154">
        <v>690660</v>
      </c>
      <c r="T730" s="154">
        <v>690687</v>
      </c>
      <c r="U730" s="154">
        <v>690731</v>
      </c>
      <c r="V730" s="154">
        <v>690799</v>
      </c>
      <c r="W730" s="154">
        <v>690832</v>
      </c>
      <c r="X730" s="154">
        <v>690959</v>
      </c>
      <c r="Y730" s="154">
        <v>691001</v>
      </c>
      <c r="Z730" s="154">
        <v>691051</v>
      </c>
      <c r="AA730" s="154">
        <v>691075</v>
      </c>
      <c r="AB730" s="154">
        <v>691108</v>
      </c>
      <c r="AC730" s="154">
        <v>691141</v>
      </c>
      <c r="AD730" s="154">
        <v>691169</v>
      </c>
      <c r="AE730" s="154">
        <v>691215</v>
      </c>
      <c r="AF730" s="154">
        <v>691242</v>
      </c>
      <c r="AG730" s="154" t="s">
        <v>424</v>
      </c>
      <c r="AH730" s="154">
        <v>691532</v>
      </c>
      <c r="AI730" s="154">
        <v>691559</v>
      </c>
      <c r="AJ730" s="154">
        <v>691663</v>
      </c>
      <c r="AK730" s="154">
        <v>691692</v>
      </c>
      <c r="AL730" s="154">
        <v>691808</v>
      </c>
      <c r="AS730">
        <v>730</v>
      </c>
    </row>
    <row r="731" spans="1:46" hidden="1" x14ac:dyDescent="0.25">
      <c r="A731">
        <v>730</v>
      </c>
      <c r="B731">
        <v>2025</v>
      </c>
      <c r="C731">
        <v>10</v>
      </c>
      <c r="D731" t="s">
        <v>234</v>
      </c>
      <c r="E731">
        <v>31</v>
      </c>
      <c r="F731">
        <v>9</v>
      </c>
      <c r="G731" t="s">
        <v>537</v>
      </c>
      <c r="H731" s="154">
        <v>690041</v>
      </c>
      <c r="I731" s="154">
        <v>690125</v>
      </c>
      <c r="J731" s="154">
        <v>690220</v>
      </c>
      <c r="K731" s="154">
        <v>690257</v>
      </c>
      <c r="L731" s="154">
        <v>690293</v>
      </c>
      <c r="M731" s="154">
        <v>690342</v>
      </c>
      <c r="N731" s="154">
        <v>690460</v>
      </c>
      <c r="O731" s="154">
        <v>690573</v>
      </c>
      <c r="P731" s="154">
        <v>690604</v>
      </c>
      <c r="Q731" s="154">
        <v>690622</v>
      </c>
      <c r="R731" s="154">
        <v>690660</v>
      </c>
      <c r="S731" s="154">
        <v>690687</v>
      </c>
      <c r="T731" s="154">
        <v>690731</v>
      </c>
      <c r="U731" s="154">
        <v>690799</v>
      </c>
      <c r="V731" s="154">
        <v>690832</v>
      </c>
      <c r="W731" s="154">
        <v>690959</v>
      </c>
      <c r="X731" s="154">
        <v>691001</v>
      </c>
      <c r="Y731" s="154">
        <v>691051</v>
      </c>
      <c r="Z731" s="154">
        <v>691075</v>
      </c>
      <c r="AA731" s="154">
        <v>691108</v>
      </c>
      <c r="AB731" s="154">
        <v>691141</v>
      </c>
      <c r="AC731" s="154">
        <v>691168</v>
      </c>
      <c r="AD731" s="154">
        <v>691215</v>
      </c>
      <c r="AE731" s="154">
        <v>691242</v>
      </c>
      <c r="AF731" s="154">
        <v>691325</v>
      </c>
      <c r="AG731" s="154" t="s">
        <v>424</v>
      </c>
      <c r="AH731" s="154">
        <v>691559</v>
      </c>
      <c r="AI731" s="154">
        <v>691663</v>
      </c>
      <c r="AJ731" s="154">
        <v>691692</v>
      </c>
      <c r="AK731" s="154">
        <v>691765</v>
      </c>
      <c r="AL731" s="154">
        <v>691861</v>
      </c>
      <c r="AP731" cm="1">
        <f t="array" ref="AP731">IF(AQ731="","",SUM(IFERROR(H731:AL731-H730:AL730,0))*AQ731/100)</f>
        <v>226.35</v>
      </c>
      <c r="AQ731">
        <f>_xlfn.XLOOKUP(D731,log_prices!M:M,log_prices!L:L,,0)</f>
        <v>15</v>
      </c>
      <c r="AS731">
        <v>731</v>
      </c>
      <c r="AT731" cm="1">
        <f t="array" ref="AT731">IF(AQ731="","",SUM(IFERROR(H731:AL731-H730:AL730,0)))</f>
        <v>1509</v>
      </c>
    </row>
    <row r="732" spans="1:46" hidden="1" x14ac:dyDescent="0.25">
      <c r="A732">
        <v>731</v>
      </c>
      <c r="B732">
        <v>2025</v>
      </c>
      <c r="C732">
        <v>10</v>
      </c>
      <c r="D732" t="s">
        <v>278</v>
      </c>
      <c r="E732">
        <v>31</v>
      </c>
      <c r="F732">
        <v>9</v>
      </c>
      <c r="G732" t="s">
        <v>536</v>
      </c>
      <c r="H732" s="154">
        <v>969956</v>
      </c>
      <c r="I732" s="154">
        <v>970514</v>
      </c>
      <c r="J732" s="154">
        <v>970814</v>
      </c>
      <c r="K732" s="154">
        <v>971145</v>
      </c>
      <c r="L732" s="154">
        <v>971504</v>
      </c>
      <c r="M732" s="154">
        <v>971648</v>
      </c>
      <c r="N732" s="154">
        <v>971801</v>
      </c>
      <c r="O732" s="154">
        <v>972103</v>
      </c>
      <c r="P732" s="154">
        <v>972667</v>
      </c>
      <c r="Q732" s="154">
        <v>972992</v>
      </c>
      <c r="R732" s="154">
        <v>973443</v>
      </c>
      <c r="S732" s="154">
        <v>973860</v>
      </c>
      <c r="T732" s="154">
        <v>974303</v>
      </c>
      <c r="U732" s="154">
        <v>974697</v>
      </c>
      <c r="V732" s="154">
        <v>975200</v>
      </c>
      <c r="W732" s="154">
        <v>975606</v>
      </c>
      <c r="X732" s="154">
        <v>975997</v>
      </c>
      <c r="Y732" s="154">
        <v>976195</v>
      </c>
      <c r="Z732" s="154">
        <v>976337</v>
      </c>
      <c r="AA732" s="154">
        <v>976733</v>
      </c>
      <c r="AB732" s="154">
        <v>977084</v>
      </c>
      <c r="AC732" s="154">
        <v>977660</v>
      </c>
      <c r="AD732" s="154">
        <v>977895</v>
      </c>
      <c r="AE732" s="154">
        <v>978072</v>
      </c>
      <c r="AF732" s="154">
        <v>978486</v>
      </c>
      <c r="AG732" s="154">
        <v>978920</v>
      </c>
      <c r="AH732" s="154">
        <v>979480</v>
      </c>
      <c r="AI732" s="154">
        <v>979646</v>
      </c>
      <c r="AJ732" s="154">
        <v>980127</v>
      </c>
      <c r="AK732" s="154">
        <v>980389</v>
      </c>
      <c r="AL732" s="154">
        <v>980676</v>
      </c>
      <c r="AS732">
        <v>732</v>
      </c>
    </row>
    <row r="733" spans="1:46" hidden="1" x14ac:dyDescent="0.25">
      <c r="A733">
        <v>732</v>
      </c>
      <c r="B733">
        <v>2025</v>
      </c>
      <c r="C733">
        <v>10</v>
      </c>
      <c r="D733" t="s">
        <v>278</v>
      </c>
      <c r="E733">
        <v>31</v>
      </c>
      <c r="F733">
        <v>9</v>
      </c>
      <c r="G733" t="s">
        <v>537</v>
      </c>
      <c r="H733" s="154">
        <v>970385</v>
      </c>
      <c r="I733" s="154">
        <v>970808</v>
      </c>
      <c r="J733" s="154">
        <v>971145</v>
      </c>
      <c r="K733" s="154">
        <v>971504</v>
      </c>
      <c r="L733" s="154">
        <v>971648</v>
      </c>
      <c r="M733" s="154">
        <v>971801</v>
      </c>
      <c r="N733" s="154">
        <v>972103</v>
      </c>
      <c r="O733" s="154">
        <v>972667</v>
      </c>
      <c r="P733" s="154">
        <v>972992</v>
      </c>
      <c r="Q733" s="154">
        <v>973443</v>
      </c>
      <c r="R733" s="154">
        <v>973854</v>
      </c>
      <c r="S733" s="154">
        <v>974303</v>
      </c>
      <c r="T733" s="154">
        <v>974697</v>
      </c>
      <c r="U733" s="154">
        <v>975200</v>
      </c>
      <c r="V733" s="154">
        <v>975606</v>
      </c>
      <c r="W733" s="154">
        <v>975997</v>
      </c>
      <c r="X733" s="154">
        <v>976195</v>
      </c>
      <c r="Y733" s="154">
        <v>976337</v>
      </c>
      <c r="Z733" s="154">
        <v>976733</v>
      </c>
      <c r="AA733" s="154">
        <v>977084</v>
      </c>
      <c r="AB733" s="154">
        <v>977660</v>
      </c>
      <c r="AC733" s="154">
        <v>977801</v>
      </c>
      <c r="AD733" s="154">
        <v>978070</v>
      </c>
      <c r="AE733" s="154">
        <v>978486</v>
      </c>
      <c r="AF733" s="154">
        <v>978882</v>
      </c>
      <c r="AG733" s="154">
        <v>979380</v>
      </c>
      <c r="AH733" s="154">
        <v>979645</v>
      </c>
      <c r="AI733" s="154">
        <v>979933</v>
      </c>
      <c r="AJ733" s="154">
        <v>980268</v>
      </c>
      <c r="AK733" s="154">
        <v>980676</v>
      </c>
      <c r="AL733" s="154">
        <v>981132</v>
      </c>
      <c r="AP733" cm="1">
        <f t="array" ref="AP733">IF(AQ733="","",SUM(IFERROR(H733:AL733-H732:AL732,0))*AQ733/100)</f>
        <v>1101.0099284999999</v>
      </c>
      <c r="AQ733" s="164">
        <v>10.50081</v>
      </c>
      <c r="AS733">
        <v>733</v>
      </c>
      <c r="AT733" cm="1">
        <f t="array" ref="AT733">IF(AQ733="","",SUM(IFERROR(H733:AL733-H732:AL732,0)))</f>
        <v>10485</v>
      </c>
    </row>
    <row r="734" spans="1:46" hidden="1" x14ac:dyDescent="0.25">
      <c r="A734">
        <v>733</v>
      </c>
      <c r="B734">
        <v>2025</v>
      </c>
      <c r="C734">
        <v>11</v>
      </c>
      <c r="D734" t="s">
        <v>259</v>
      </c>
      <c r="E734">
        <v>31</v>
      </c>
      <c r="F734">
        <v>10</v>
      </c>
      <c r="G734" t="s">
        <v>534</v>
      </c>
      <c r="H734" s="154" t="s">
        <v>481</v>
      </c>
      <c r="I734" s="154" t="s">
        <v>481</v>
      </c>
      <c r="J734" s="154" t="s">
        <v>481</v>
      </c>
      <c r="K734" s="154" t="s">
        <v>481</v>
      </c>
      <c r="L734" s="154" t="s">
        <v>481</v>
      </c>
      <c r="M734" s="154" t="s">
        <v>481</v>
      </c>
      <c r="N734" s="154" t="s">
        <v>481</v>
      </c>
      <c r="O734" s="154" t="s">
        <v>481</v>
      </c>
      <c r="P734" s="154" t="s">
        <v>424</v>
      </c>
      <c r="Q734" s="154" t="s">
        <v>481</v>
      </c>
      <c r="R734" s="154" t="s">
        <v>481</v>
      </c>
      <c r="S734" s="154" t="s">
        <v>481</v>
      </c>
      <c r="T734" s="154" t="s">
        <v>481</v>
      </c>
      <c r="U734" s="154" t="s">
        <v>481</v>
      </c>
      <c r="V734" s="154" t="s">
        <v>481</v>
      </c>
      <c r="W734" s="154" t="s">
        <v>481</v>
      </c>
      <c r="X734" s="154" t="s">
        <v>481</v>
      </c>
      <c r="Y734" s="154" t="s">
        <v>481</v>
      </c>
      <c r="Z734" s="154" t="s">
        <v>481</v>
      </c>
      <c r="AA734" s="154" t="s">
        <v>481</v>
      </c>
      <c r="AB734" s="154" t="s">
        <v>481</v>
      </c>
      <c r="AC734" s="154" t="s">
        <v>481</v>
      </c>
      <c r="AD734" s="154" t="s">
        <v>481</v>
      </c>
      <c r="AE734" s="154" t="s">
        <v>481</v>
      </c>
      <c r="AF734" s="154" t="s">
        <v>481</v>
      </c>
      <c r="AG734" s="154" t="s">
        <v>481</v>
      </c>
      <c r="AH734" s="154" t="s">
        <v>481</v>
      </c>
      <c r="AI734" s="154" t="s">
        <v>481</v>
      </c>
      <c r="AJ734" s="154" t="s">
        <v>481</v>
      </c>
      <c r="AK734" s="154" t="s">
        <v>481</v>
      </c>
      <c r="AL734" s="154" t="s">
        <v>424</v>
      </c>
      <c r="AS734">
        <v>734</v>
      </c>
    </row>
    <row r="735" spans="1:46" hidden="1" x14ac:dyDescent="0.25">
      <c r="A735">
        <v>734</v>
      </c>
      <c r="B735">
        <v>2025</v>
      </c>
      <c r="C735">
        <v>11</v>
      </c>
      <c r="D735" t="s">
        <v>259</v>
      </c>
      <c r="E735">
        <v>31</v>
      </c>
      <c r="F735">
        <v>10</v>
      </c>
      <c r="G735" t="s">
        <v>535</v>
      </c>
      <c r="H735" s="154">
        <v>0.77083333333333326</v>
      </c>
      <c r="I735" s="154">
        <v>0.77083333333333326</v>
      </c>
      <c r="J735" s="154">
        <v>0.8125</v>
      </c>
      <c r="K735" s="154">
        <v>0.85416666666666663</v>
      </c>
      <c r="L735" s="154">
        <v>0.77083333333333326</v>
      </c>
      <c r="M735" s="154">
        <v>0.8125</v>
      </c>
      <c r="N735" s="154">
        <v>0.85416666666666663</v>
      </c>
      <c r="O735" s="154">
        <v>0.77083333333333326</v>
      </c>
      <c r="P735" s="154" t="s">
        <v>424</v>
      </c>
      <c r="Q735" s="154">
        <v>0.85416666666666663</v>
      </c>
      <c r="R735" s="154">
        <v>0.8125</v>
      </c>
      <c r="S735" s="154">
        <v>0.85416666666666663</v>
      </c>
      <c r="T735" s="154">
        <v>0.77083333333333326</v>
      </c>
      <c r="U735" s="154">
        <v>0.85416666666666663</v>
      </c>
      <c r="V735" s="154">
        <v>0.8125</v>
      </c>
      <c r="W735" s="154">
        <v>0.77083333333333326</v>
      </c>
      <c r="X735" s="154">
        <v>0.85416666666666663</v>
      </c>
      <c r="Y735" s="154">
        <v>0.85416666666666663</v>
      </c>
      <c r="Z735" s="154">
        <v>0.8125</v>
      </c>
      <c r="AA735" s="154">
        <v>0.77083333333333326</v>
      </c>
      <c r="AB735" s="154">
        <v>0.77083333333333326</v>
      </c>
      <c r="AC735" s="154">
        <v>0.77083333333333326</v>
      </c>
      <c r="AD735" s="154">
        <v>0.77083333333333326</v>
      </c>
      <c r="AE735" s="154">
        <v>0.85416666666666663</v>
      </c>
      <c r="AF735" s="154">
        <v>0.85416666666666663</v>
      </c>
      <c r="AG735" s="154">
        <v>0.8125</v>
      </c>
      <c r="AH735" s="154">
        <v>0.8125</v>
      </c>
      <c r="AI735" s="154">
        <v>0.8125</v>
      </c>
      <c r="AJ735" s="154">
        <v>0.77083333333333326</v>
      </c>
      <c r="AK735" s="154">
        <v>0.77083333333333326</v>
      </c>
      <c r="AL735" s="154" t="s">
        <v>424</v>
      </c>
      <c r="AM735" cm="1">
        <f t="array" ref="AM735">SUM(_xlfn.LET(_xlpm.r,((IFERROR(H735:AL735-H734:AL734,0))*24)/10,IF(_xlpm.r&gt;1,1,_xlpm.r)))</f>
        <v>29</v>
      </c>
      <c r="AO735" cm="1">
        <f t="array" ref="AO735">SUM(IFERROR(MOD((H735:AL735-H734:AL734)*24,11),""))</f>
        <v>84</v>
      </c>
      <c r="AS735">
        <v>735</v>
      </c>
    </row>
    <row r="736" spans="1:46" hidden="1" x14ac:dyDescent="0.25">
      <c r="A736">
        <v>735</v>
      </c>
      <c r="B736">
        <v>2025</v>
      </c>
      <c r="C736">
        <v>11</v>
      </c>
      <c r="D736" t="s">
        <v>280</v>
      </c>
      <c r="E736">
        <v>31</v>
      </c>
      <c r="F736">
        <v>10</v>
      </c>
      <c r="G736" t="s">
        <v>534</v>
      </c>
      <c r="H736" s="154" t="s">
        <v>486</v>
      </c>
      <c r="I736" s="154" t="s">
        <v>486</v>
      </c>
      <c r="J736" s="154" t="s">
        <v>486</v>
      </c>
      <c r="K736" s="154" t="s">
        <v>486</v>
      </c>
      <c r="L736" s="154" t="s">
        <v>486</v>
      </c>
      <c r="M736" s="154" t="s">
        <v>486</v>
      </c>
      <c r="N736" s="154" t="s">
        <v>486</v>
      </c>
      <c r="O736" s="154" t="s">
        <v>486</v>
      </c>
      <c r="P736" s="154" t="s">
        <v>424</v>
      </c>
      <c r="Q736" s="154" t="s">
        <v>486</v>
      </c>
      <c r="R736" s="154" t="s">
        <v>486</v>
      </c>
      <c r="S736" s="154" t="s">
        <v>486</v>
      </c>
      <c r="T736" s="154" t="s">
        <v>486</v>
      </c>
      <c r="U736" s="154" t="s">
        <v>486</v>
      </c>
      <c r="V736" s="154" t="s">
        <v>486</v>
      </c>
      <c r="W736" s="154" t="s">
        <v>486</v>
      </c>
      <c r="X736" s="154" t="s">
        <v>486</v>
      </c>
      <c r="Y736" s="154" t="s">
        <v>486</v>
      </c>
      <c r="Z736" s="154" t="s">
        <v>486</v>
      </c>
      <c r="AA736" s="154" t="s">
        <v>486</v>
      </c>
      <c r="AB736" s="154" t="s">
        <v>486</v>
      </c>
      <c r="AC736" s="154" t="s">
        <v>486</v>
      </c>
      <c r="AD736" s="154" t="s">
        <v>424</v>
      </c>
      <c r="AE736" s="154" t="s">
        <v>486</v>
      </c>
      <c r="AF736" s="154" t="s">
        <v>486</v>
      </c>
      <c r="AG736" s="154" t="s">
        <v>486</v>
      </c>
      <c r="AH736" s="154" t="s">
        <v>486</v>
      </c>
      <c r="AI736" s="154" t="s">
        <v>486</v>
      </c>
      <c r="AJ736" s="154" t="s">
        <v>486</v>
      </c>
      <c r="AK736" s="154" t="s">
        <v>486</v>
      </c>
      <c r="AL736" s="154" t="s">
        <v>424</v>
      </c>
      <c r="AS736">
        <v>736</v>
      </c>
    </row>
    <row r="737" spans="1:45" hidden="1" x14ac:dyDescent="0.25">
      <c r="A737">
        <v>736</v>
      </c>
      <c r="B737">
        <v>2025</v>
      </c>
      <c r="C737">
        <v>11</v>
      </c>
      <c r="D737" t="s">
        <v>280</v>
      </c>
      <c r="E737">
        <v>31</v>
      </c>
      <c r="F737">
        <v>10</v>
      </c>
      <c r="G737" t="s">
        <v>535</v>
      </c>
      <c r="H737" s="154">
        <v>0.79166666666666674</v>
      </c>
      <c r="I737" s="154">
        <v>0.79166666666666674</v>
      </c>
      <c r="J737" s="154">
        <v>0.79166666666666674</v>
      </c>
      <c r="K737" s="154">
        <v>0.79166666666666674</v>
      </c>
      <c r="L737" s="154">
        <v>0.79166666666666674</v>
      </c>
      <c r="M737" s="154">
        <v>0.79166666666666674</v>
      </c>
      <c r="N737" s="154">
        <v>0.79166666666666674</v>
      </c>
      <c r="O737" s="154">
        <v>0.79166666666666674</v>
      </c>
      <c r="P737" s="154" t="s">
        <v>424</v>
      </c>
      <c r="Q737" s="154">
        <v>0.79166666666666674</v>
      </c>
      <c r="R737" s="154">
        <v>0.79166666666666674</v>
      </c>
      <c r="S737" s="154">
        <v>0.79166666666666674</v>
      </c>
      <c r="T737" s="154">
        <v>0.79166666666666674</v>
      </c>
      <c r="U737" s="154">
        <v>0.79166666666666674</v>
      </c>
      <c r="V737" s="154">
        <v>0.79166666666666674</v>
      </c>
      <c r="W737" s="154">
        <v>0.79166666666666674</v>
      </c>
      <c r="X737" s="154">
        <v>0.79166666666666674</v>
      </c>
      <c r="Y737" s="154">
        <v>0.79166666666666674</v>
      </c>
      <c r="Z737" s="154">
        <v>0.79166666666666674</v>
      </c>
      <c r="AA737" s="154">
        <v>0.79166666666666674</v>
      </c>
      <c r="AB737" s="154">
        <v>0.79166666666666674</v>
      </c>
      <c r="AC737" s="154">
        <v>0.79166666666666674</v>
      </c>
      <c r="AD737" s="154" t="s">
        <v>424</v>
      </c>
      <c r="AE737" s="154">
        <v>0.79166666666666674</v>
      </c>
      <c r="AF737" s="154">
        <v>0.79166666666666674</v>
      </c>
      <c r="AG737" s="154">
        <v>0.79166666666666674</v>
      </c>
      <c r="AH737" s="154">
        <v>0.79166666666666674</v>
      </c>
      <c r="AI737" s="154">
        <v>0.79166666666666674</v>
      </c>
      <c r="AJ737" s="154">
        <v>0.79166666666666674</v>
      </c>
      <c r="AK737" s="154">
        <v>0.79166666666666674</v>
      </c>
      <c r="AL737" s="154" t="s">
        <v>424</v>
      </c>
      <c r="AM737" cm="1">
        <f t="array" ref="AM737">SUM(_xlfn.LET(_xlpm.r,((IFERROR(H737:AL737-H736:AL736,0))*24)/10,IF(_xlpm.r&gt;1,1,_xlpm.r)))</f>
        <v>28</v>
      </c>
      <c r="AO737" cm="1">
        <f t="array" ref="AO737">SUM(IFERROR(MOD((H737:AL737-H736:AL736)*24,11),""))</f>
        <v>84</v>
      </c>
      <c r="AS737">
        <v>737</v>
      </c>
    </row>
    <row r="738" spans="1:45" hidden="1" x14ac:dyDescent="0.25">
      <c r="A738">
        <v>737</v>
      </c>
      <c r="B738">
        <v>2025</v>
      </c>
      <c r="C738">
        <v>11</v>
      </c>
      <c r="D738" t="s">
        <v>269</v>
      </c>
      <c r="E738">
        <v>31</v>
      </c>
      <c r="F738">
        <v>10</v>
      </c>
      <c r="G738" t="s">
        <v>534</v>
      </c>
      <c r="H738" s="154" t="s">
        <v>479</v>
      </c>
      <c r="I738" s="154" t="s">
        <v>479</v>
      </c>
      <c r="J738" s="154" t="s">
        <v>479</v>
      </c>
      <c r="K738" s="154" t="s">
        <v>479</v>
      </c>
      <c r="L738" s="154" t="s">
        <v>479</v>
      </c>
      <c r="M738" s="154" t="s">
        <v>479</v>
      </c>
      <c r="N738" s="154" t="s">
        <v>479</v>
      </c>
      <c r="O738" s="154" t="s">
        <v>479</v>
      </c>
      <c r="P738" s="154" t="s">
        <v>479</v>
      </c>
      <c r="Q738" s="154" t="s">
        <v>479</v>
      </c>
      <c r="R738" s="154" t="s">
        <v>479</v>
      </c>
      <c r="S738" s="154" t="s">
        <v>479</v>
      </c>
      <c r="T738" s="154" t="s">
        <v>424</v>
      </c>
      <c r="U738" s="154" t="s">
        <v>424</v>
      </c>
      <c r="V738" s="154" t="s">
        <v>424</v>
      </c>
      <c r="W738" s="154" t="s">
        <v>424</v>
      </c>
      <c r="X738" s="154" t="s">
        <v>424</v>
      </c>
      <c r="Y738" s="154" t="s">
        <v>424</v>
      </c>
      <c r="Z738" s="154" t="s">
        <v>424</v>
      </c>
      <c r="AA738" s="154" t="s">
        <v>424</v>
      </c>
      <c r="AB738" s="154" t="s">
        <v>424</v>
      </c>
      <c r="AC738" s="154" t="s">
        <v>424</v>
      </c>
      <c r="AD738" s="154" t="s">
        <v>424</v>
      </c>
      <c r="AE738" s="154" t="s">
        <v>424</v>
      </c>
      <c r="AF738" s="154" t="s">
        <v>424</v>
      </c>
      <c r="AG738" s="154" t="s">
        <v>424</v>
      </c>
      <c r="AH738" s="154" t="s">
        <v>424</v>
      </c>
      <c r="AI738" s="154" t="s">
        <v>424</v>
      </c>
      <c r="AJ738" s="154" t="s">
        <v>424</v>
      </c>
      <c r="AK738" s="154" t="s">
        <v>424</v>
      </c>
      <c r="AL738" s="154" t="s">
        <v>424</v>
      </c>
      <c r="AS738">
        <v>738</v>
      </c>
    </row>
    <row r="739" spans="1:45" hidden="1" x14ac:dyDescent="0.25">
      <c r="A739">
        <v>738</v>
      </c>
      <c r="B739">
        <v>2025</v>
      </c>
      <c r="C739">
        <v>11</v>
      </c>
      <c r="D739" t="s">
        <v>269</v>
      </c>
      <c r="E739">
        <v>31</v>
      </c>
      <c r="F739">
        <v>10</v>
      </c>
      <c r="G739" t="s">
        <v>535</v>
      </c>
      <c r="H739" s="154" t="s">
        <v>480</v>
      </c>
      <c r="I739" s="154" t="s">
        <v>480</v>
      </c>
      <c r="J739" s="154" t="s">
        <v>480</v>
      </c>
      <c r="K739" s="154" t="s">
        <v>480</v>
      </c>
      <c r="L739" s="154" t="s">
        <v>480</v>
      </c>
      <c r="M739" s="154" t="s">
        <v>480</v>
      </c>
      <c r="N739" s="154" t="s">
        <v>480</v>
      </c>
      <c r="O739" s="154" t="s">
        <v>480</v>
      </c>
      <c r="P739" s="154" t="s">
        <v>480</v>
      </c>
      <c r="Q739" s="154" t="s">
        <v>480</v>
      </c>
      <c r="R739" s="154" t="s">
        <v>480</v>
      </c>
      <c r="S739" s="154" t="s">
        <v>480</v>
      </c>
      <c r="T739" s="154" t="s">
        <v>424</v>
      </c>
      <c r="U739" s="154" t="s">
        <v>424</v>
      </c>
      <c r="V739" s="154" t="s">
        <v>424</v>
      </c>
      <c r="W739" s="154" t="s">
        <v>424</v>
      </c>
      <c r="X739" s="154" t="s">
        <v>424</v>
      </c>
      <c r="Y739" s="154" t="s">
        <v>424</v>
      </c>
      <c r="Z739" s="154" t="s">
        <v>424</v>
      </c>
      <c r="AA739" s="154" t="s">
        <v>424</v>
      </c>
      <c r="AB739" s="154" t="s">
        <v>424</v>
      </c>
      <c r="AC739" s="154" t="s">
        <v>424</v>
      </c>
      <c r="AD739" s="154" t="s">
        <v>424</v>
      </c>
      <c r="AE739" s="154" t="s">
        <v>424</v>
      </c>
      <c r="AF739" s="154" t="s">
        <v>424</v>
      </c>
      <c r="AG739" s="154" t="s">
        <v>424</v>
      </c>
      <c r="AH739" s="154" t="s">
        <v>424</v>
      </c>
      <c r="AI739" s="154" t="s">
        <v>424</v>
      </c>
      <c r="AJ739" s="154" t="s">
        <v>424</v>
      </c>
      <c r="AK739" s="154" t="s">
        <v>424</v>
      </c>
      <c r="AL739" s="154" t="s">
        <v>424</v>
      </c>
      <c r="AM739" cm="1">
        <f t="array" ref="AM739">SUM(_xlfn.LET(_xlpm.r,((IFERROR(H739:AL739-H738:AL738,0))*24)/10,IF(_xlpm.r&gt;1,1,_xlpm.r)))</f>
        <v>12</v>
      </c>
      <c r="AO739" cm="1">
        <f t="array" ref="AO739">SUM(IFERROR(MOD((H739:AL739-H738:AL738)*24,11),""))</f>
        <v>0</v>
      </c>
      <c r="AS739">
        <v>739</v>
      </c>
    </row>
    <row r="740" spans="1:45" hidden="1" x14ac:dyDescent="0.25">
      <c r="A740">
        <v>739</v>
      </c>
      <c r="B740">
        <v>2025</v>
      </c>
      <c r="C740">
        <v>11</v>
      </c>
      <c r="D740" t="s">
        <v>266</v>
      </c>
      <c r="E740">
        <v>31</v>
      </c>
      <c r="F740">
        <v>10</v>
      </c>
      <c r="G740" t="s">
        <v>534</v>
      </c>
      <c r="H740" s="154" t="s">
        <v>486</v>
      </c>
      <c r="I740" s="154" t="s">
        <v>486</v>
      </c>
      <c r="J740" s="154" t="s">
        <v>486</v>
      </c>
      <c r="K740" s="154" t="s">
        <v>486</v>
      </c>
      <c r="L740" s="154" t="s">
        <v>486</v>
      </c>
      <c r="M740" s="154" t="s">
        <v>486</v>
      </c>
      <c r="N740" s="154" t="s">
        <v>486</v>
      </c>
      <c r="O740" s="154" t="s">
        <v>486</v>
      </c>
      <c r="P740" s="154" t="s">
        <v>424</v>
      </c>
      <c r="Q740" s="154" t="s">
        <v>486</v>
      </c>
      <c r="R740" s="154" t="s">
        <v>486</v>
      </c>
      <c r="S740" s="154" t="s">
        <v>486</v>
      </c>
      <c r="T740" s="154" t="s">
        <v>486</v>
      </c>
      <c r="U740" s="154" t="s">
        <v>486</v>
      </c>
      <c r="V740" s="154" t="s">
        <v>486</v>
      </c>
      <c r="W740" s="154" t="s">
        <v>486</v>
      </c>
      <c r="X740" s="154" t="s">
        <v>486</v>
      </c>
      <c r="Y740" s="154" t="s">
        <v>486</v>
      </c>
      <c r="Z740" s="154" t="s">
        <v>486</v>
      </c>
      <c r="AA740" s="154" t="s">
        <v>486</v>
      </c>
      <c r="AB740" s="154" t="s">
        <v>486</v>
      </c>
      <c r="AC740" s="154" t="s">
        <v>486</v>
      </c>
      <c r="AD740" s="154" t="s">
        <v>486</v>
      </c>
      <c r="AE740" s="154" t="s">
        <v>486</v>
      </c>
      <c r="AF740" s="154" t="s">
        <v>486</v>
      </c>
      <c r="AG740" s="154" t="s">
        <v>486</v>
      </c>
      <c r="AH740" s="154" t="s">
        <v>486</v>
      </c>
      <c r="AI740" s="154" t="s">
        <v>486</v>
      </c>
      <c r="AJ740" s="154" t="s">
        <v>486</v>
      </c>
      <c r="AK740" s="154" t="s">
        <v>486</v>
      </c>
      <c r="AL740" s="154" t="s">
        <v>424</v>
      </c>
      <c r="AS740">
        <v>740</v>
      </c>
    </row>
    <row r="741" spans="1:45" hidden="1" x14ac:dyDescent="0.25">
      <c r="A741">
        <v>740</v>
      </c>
      <c r="B741">
        <v>2025</v>
      </c>
      <c r="C741">
        <v>11</v>
      </c>
      <c r="D741" t="s">
        <v>266</v>
      </c>
      <c r="E741">
        <v>31</v>
      </c>
      <c r="F741">
        <v>10</v>
      </c>
      <c r="G741" t="s">
        <v>535</v>
      </c>
      <c r="H741" s="154">
        <v>0.79166666666666674</v>
      </c>
      <c r="I741" s="154">
        <v>0.79166666666666674</v>
      </c>
      <c r="J741" s="154">
        <v>0.79166666666666674</v>
      </c>
      <c r="K741" s="154">
        <v>0.79166666666666674</v>
      </c>
      <c r="L741" s="154">
        <v>0.79166666666666674</v>
      </c>
      <c r="M741" s="154">
        <v>0.79166666666666674</v>
      </c>
      <c r="N741" s="154">
        <v>0.79166666666666674</v>
      </c>
      <c r="O741" s="154">
        <v>0.79166666666666674</v>
      </c>
      <c r="P741" s="154" t="s">
        <v>424</v>
      </c>
      <c r="Q741" s="154">
        <v>0.79166666666666674</v>
      </c>
      <c r="R741" s="154">
        <v>0.79166666666666674</v>
      </c>
      <c r="S741" s="154">
        <v>0.79166666666666674</v>
      </c>
      <c r="T741" s="154">
        <v>0.79166666666666674</v>
      </c>
      <c r="U741" s="154">
        <v>0.79166666666666674</v>
      </c>
      <c r="V741" s="154">
        <v>0.79166666666666674</v>
      </c>
      <c r="W741" s="154">
        <v>0.79166666666666674</v>
      </c>
      <c r="X741" s="154">
        <v>0.79166666666666674</v>
      </c>
      <c r="Y741" s="154">
        <v>0.79166666666666674</v>
      </c>
      <c r="Z741" s="154">
        <v>0.79166666666666674</v>
      </c>
      <c r="AA741" s="154">
        <v>0.79166666666666674</v>
      </c>
      <c r="AB741" s="154">
        <v>0.79166666666666674</v>
      </c>
      <c r="AC741" s="154">
        <v>0.79166666666666674</v>
      </c>
      <c r="AD741" s="154">
        <v>0.79166666666666674</v>
      </c>
      <c r="AE741" s="154">
        <v>0.79166666666666674</v>
      </c>
      <c r="AF741" s="154">
        <v>0.79166666666666674</v>
      </c>
      <c r="AG741" s="154">
        <v>0.79166666666666674</v>
      </c>
      <c r="AH741" s="154">
        <v>0.79166666666666674</v>
      </c>
      <c r="AI741" s="154">
        <v>0.79166666666666674</v>
      </c>
      <c r="AJ741" s="154">
        <v>0.79166666666666674</v>
      </c>
      <c r="AK741" s="154">
        <v>0.79166666666666674</v>
      </c>
      <c r="AL741" s="154" t="s">
        <v>424</v>
      </c>
      <c r="AM741" cm="1">
        <f t="array" ref="AM741">SUM(_xlfn.LET(_xlpm.r,((IFERROR(H741:AL741-H740:AL740,0))*24)/10,IF(_xlpm.r&gt;1,1,_xlpm.r)))</f>
        <v>29</v>
      </c>
      <c r="AO741" cm="1">
        <f t="array" ref="AO741">SUM(IFERROR(MOD((H741:AL741-H740:AL740)*24,11),""))</f>
        <v>87</v>
      </c>
      <c r="AS741">
        <v>741</v>
      </c>
    </row>
    <row r="742" spans="1:45" hidden="1" x14ac:dyDescent="0.25">
      <c r="A742">
        <v>741</v>
      </c>
      <c r="B742">
        <v>2025</v>
      </c>
      <c r="C742">
        <v>11</v>
      </c>
      <c r="D742" t="s">
        <v>275</v>
      </c>
      <c r="E742">
        <v>31</v>
      </c>
      <c r="F742">
        <v>10</v>
      </c>
      <c r="G742" t="s">
        <v>534</v>
      </c>
      <c r="H742" s="154" t="s">
        <v>479</v>
      </c>
      <c r="I742" s="154" t="s">
        <v>479</v>
      </c>
      <c r="J742" s="154" t="s">
        <v>479</v>
      </c>
      <c r="K742" s="154" t="s">
        <v>479</v>
      </c>
      <c r="L742" s="154" t="s">
        <v>479</v>
      </c>
      <c r="M742" s="154" t="s">
        <v>479</v>
      </c>
      <c r="N742" s="154" t="s">
        <v>479</v>
      </c>
      <c r="O742" s="154" t="s">
        <v>479</v>
      </c>
      <c r="P742" s="154" t="s">
        <v>424</v>
      </c>
      <c r="Q742" s="154" t="s">
        <v>479</v>
      </c>
      <c r="R742" s="154" t="s">
        <v>479</v>
      </c>
      <c r="S742" s="154" t="s">
        <v>479</v>
      </c>
      <c r="T742" s="154" t="s">
        <v>479</v>
      </c>
      <c r="U742" s="154" t="s">
        <v>479</v>
      </c>
      <c r="V742" s="154" t="s">
        <v>479</v>
      </c>
      <c r="W742" s="154" t="s">
        <v>479</v>
      </c>
      <c r="X742" s="154" t="s">
        <v>479</v>
      </c>
      <c r="Y742" s="154" t="s">
        <v>479</v>
      </c>
      <c r="Z742" s="154" t="s">
        <v>479</v>
      </c>
      <c r="AA742" s="154" t="s">
        <v>479</v>
      </c>
      <c r="AB742" s="154" t="s">
        <v>479</v>
      </c>
      <c r="AC742" s="154" t="s">
        <v>479</v>
      </c>
      <c r="AD742" s="154" t="s">
        <v>424</v>
      </c>
      <c r="AE742" s="154" t="s">
        <v>479</v>
      </c>
      <c r="AF742" s="154" t="s">
        <v>479</v>
      </c>
      <c r="AG742" s="154" t="s">
        <v>479</v>
      </c>
      <c r="AH742" s="154" t="s">
        <v>479</v>
      </c>
      <c r="AI742" s="154" t="s">
        <v>479</v>
      </c>
      <c r="AJ742" s="154" t="s">
        <v>479</v>
      </c>
      <c r="AK742" s="154" t="s">
        <v>479</v>
      </c>
      <c r="AL742" s="154" t="s">
        <v>424</v>
      </c>
      <c r="AS742">
        <v>742</v>
      </c>
    </row>
    <row r="743" spans="1:45" hidden="1" x14ac:dyDescent="0.25">
      <c r="A743">
        <v>742</v>
      </c>
      <c r="B743">
        <v>2025</v>
      </c>
      <c r="C743">
        <v>11</v>
      </c>
      <c r="D743" t="s">
        <v>275</v>
      </c>
      <c r="E743">
        <v>31</v>
      </c>
      <c r="F743">
        <v>10</v>
      </c>
      <c r="G743" t="s">
        <v>535</v>
      </c>
      <c r="H743" s="154" t="s">
        <v>492</v>
      </c>
      <c r="I743" s="154" t="s">
        <v>492</v>
      </c>
      <c r="J743" s="154" t="s">
        <v>492</v>
      </c>
      <c r="K743" s="154" t="s">
        <v>492</v>
      </c>
      <c r="L743" s="154" t="s">
        <v>492</v>
      </c>
      <c r="M743" s="154" t="s">
        <v>492</v>
      </c>
      <c r="N743" s="154" t="s">
        <v>492</v>
      </c>
      <c r="O743" s="154" t="s">
        <v>492</v>
      </c>
      <c r="P743" s="154" t="s">
        <v>424</v>
      </c>
      <c r="Q743" s="154" t="s">
        <v>492</v>
      </c>
      <c r="R743" s="154" t="s">
        <v>492</v>
      </c>
      <c r="S743" s="154" t="s">
        <v>492</v>
      </c>
      <c r="T743" s="154" t="s">
        <v>492</v>
      </c>
      <c r="U743" s="154" t="s">
        <v>492</v>
      </c>
      <c r="V743" s="154" t="s">
        <v>492</v>
      </c>
      <c r="W743" s="154" t="s">
        <v>492</v>
      </c>
      <c r="X743" s="154" t="s">
        <v>492</v>
      </c>
      <c r="Y743" s="154" t="s">
        <v>492</v>
      </c>
      <c r="Z743" s="154" t="s">
        <v>492</v>
      </c>
      <c r="AA743" s="154" t="s">
        <v>492</v>
      </c>
      <c r="AB743" s="154" t="s">
        <v>492</v>
      </c>
      <c r="AC743" s="154" t="s">
        <v>492</v>
      </c>
      <c r="AD743" s="154" t="s">
        <v>424</v>
      </c>
      <c r="AE743" s="154" t="s">
        <v>492</v>
      </c>
      <c r="AF743" s="154" t="s">
        <v>492</v>
      </c>
      <c r="AG743" s="154" t="s">
        <v>492</v>
      </c>
      <c r="AH743" s="154" t="s">
        <v>492</v>
      </c>
      <c r="AI743" s="154" t="s">
        <v>492</v>
      </c>
      <c r="AJ743" s="154" t="s">
        <v>492</v>
      </c>
      <c r="AK743" s="154" t="s">
        <v>492</v>
      </c>
      <c r="AL743" s="154" t="s">
        <v>424</v>
      </c>
      <c r="AM743" cm="1">
        <f t="array" ref="AM743">SUM(_xlfn.LET(_xlpm.r,((IFERROR(H743:AL743-H742:AL742,0))*24)/10,IF(_xlpm.r&gt;1,1,_xlpm.r)))</f>
        <v>28</v>
      </c>
      <c r="AO743" cm="1">
        <f t="array" ref="AO743">SUM(IFERROR(MOD((H743:AL743-H742:AL742)*24,11),""))</f>
        <v>27.999999999999972</v>
      </c>
      <c r="AS743">
        <v>743</v>
      </c>
    </row>
    <row r="744" spans="1:45" hidden="1" x14ac:dyDescent="0.25">
      <c r="A744">
        <v>743</v>
      </c>
      <c r="B744">
        <v>2025</v>
      </c>
      <c r="C744">
        <v>11</v>
      </c>
      <c r="D744" t="s">
        <v>265</v>
      </c>
      <c r="E744">
        <v>31</v>
      </c>
      <c r="F744">
        <v>10</v>
      </c>
      <c r="G744" t="s">
        <v>534</v>
      </c>
      <c r="H744" s="154" t="s">
        <v>479</v>
      </c>
      <c r="I744" s="154" t="s">
        <v>479</v>
      </c>
      <c r="J744" s="154" t="s">
        <v>479</v>
      </c>
      <c r="K744" s="154" t="s">
        <v>479</v>
      </c>
      <c r="L744" s="154" t="s">
        <v>479</v>
      </c>
      <c r="M744" s="154" t="s">
        <v>479</v>
      </c>
      <c r="N744" s="154" t="s">
        <v>479</v>
      </c>
      <c r="O744" s="154" t="s">
        <v>479</v>
      </c>
      <c r="P744" s="154" t="s">
        <v>424</v>
      </c>
      <c r="Q744" s="154" t="s">
        <v>479</v>
      </c>
      <c r="R744" s="154" t="s">
        <v>479</v>
      </c>
      <c r="S744" s="154" t="s">
        <v>479</v>
      </c>
      <c r="T744" s="154" t="s">
        <v>479</v>
      </c>
      <c r="U744" s="154" t="s">
        <v>479</v>
      </c>
      <c r="V744" s="154" t="s">
        <v>479</v>
      </c>
      <c r="W744" s="154" t="s">
        <v>479</v>
      </c>
      <c r="X744" s="154" t="s">
        <v>479</v>
      </c>
      <c r="Y744" s="154" t="s">
        <v>479</v>
      </c>
      <c r="Z744" s="154" t="s">
        <v>479</v>
      </c>
      <c r="AA744" s="154" t="s">
        <v>479</v>
      </c>
      <c r="AB744" s="154" t="s">
        <v>479</v>
      </c>
      <c r="AC744" s="154" t="s">
        <v>479</v>
      </c>
      <c r="AD744" s="154" t="s">
        <v>479</v>
      </c>
      <c r="AE744" s="154" t="s">
        <v>479</v>
      </c>
      <c r="AF744" s="154" t="s">
        <v>479</v>
      </c>
      <c r="AG744" s="154" t="s">
        <v>479</v>
      </c>
      <c r="AH744" s="154" t="s">
        <v>479</v>
      </c>
      <c r="AI744" s="154" t="s">
        <v>479</v>
      </c>
      <c r="AJ744" s="154" t="s">
        <v>479</v>
      </c>
      <c r="AK744" s="154" t="s">
        <v>479</v>
      </c>
      <c r="AL744" s="154" t="s">
        <v>424</v>
      </c>
      <c r="AS744">
        <v>744</v>
      </c>
    </row>
    <row r="745" spans="1:45" hidden="1" x14ac:dyDescent="0.25">
      <c r="A745">
        <v>744</v>
      </c>
      <c r="B745">
        <v>2025</v>
      </c>
      <c r="C745">
        <v>11</v>
      </c>
      <c r="D745" t="s">
        <v>265</v>
      </c>
      <c r="E745">
        <v>31</v>
      </c>
      <c r="F745">
        <v>10</v>
      </c>
      <c r="G745" t="s">
        <v>535</v>
      </c>
      <c r="H745" s="154">
        <v>0.875</v>
      </c>
      <c r="I745" s="154">
        <v>0.75</v>
      </c>
      <c r="J745" s="154">
        <v>0.79166666666666674</v>
      </c>
      <c r="K745" s="154">
        <v>0.75</v>
      </c>
      <c r="L745" s="154">
        <v>0.875</v>
      </c>
      <c r="M745" s="154">
        <v>0.75</v>
      </c>
      <c r="N745" s="154">
        <v>1</v>
      </c>
      <c r="O745" s="154">
        <v>0.75</v>
      </c>
      <c r="P745" s="154" t="s">
        <v>424</v>
      </c>
      <c r="Q745" s="154">
        <v>0.75</v>
      </c>
      <c r="R745" s="154">
        <v>0.79166666666666674</v>
      </c>
      <c r="S745" s="154">
        <v>0.95833333333333326</v>
      </c>
      <c r="T745" s="154">
        <v>1</v>
      </c>
      <c r="U745" s="154">
        <v>0.91666666666666674</v>
      </c>
      <c r="V745" s="154">
        <v>0.91666666666666674</v>
      </c>
      <c r="W745" s="154">
        <v>0.875</v>
      </c>
      <c r="X745" s="154">
        <v>0.75</v>
      </c>
      <c r="Y745" s="154">
        <v>0.75</v>
      </c>
      <c r="Z745" s="154">
        <v>0.91666666666666674</v>
      </c>
      <c r="AA745" s="154">
        <v>0.75</v>
      </c>
      <c r="AB745" s="154">
        <v>0.91666666666666674</v>
      </c>
      <c r="AC745" s="154">
        <v>0.75</v>
      </c>
      <c r="AD745" s="154">
        <v>1</v>
      </c>
      <c r="AE745" s="154">
        <v>0.875</v>
      </c>
      <c r="AF745" s="154">
        <v>0.95833333333333326</v>
      </c>
      <c r="AG745" s="154">
        <v>0.75</v>
      </c>
      <c r="AH745" s="154">
        <v>0.83333333333333326</v>
      </c>
      <c r="AI745" s="154">
        <v>0.75</v>
      </c>
      <c r="AJ745" s="154">
        <v>0.75</v>
      </c>
      <c r="AK745" s="154">
        <v>0.79166666666666674</v>
      </c>
      <c r="AL745" s="154" t="s">
        <v>424</v>
      </c>
      <c r="AM745" cm="1">
        <f t="array" ref="AM745">SUM(_xlfn.LET(_xlpm.r,((IFERROR(H745:AL745-H744:AL744,0))*24)/10,IF(_xlpm.r&gt;1,1,_xlpm.r)))</f>
        <v>29</v>
      </c>
      <c r="AO745" cm="1">
        <f t="array" ref="AO745">SUM(IFERROR(MOD((H745:AL745-H744:AL744)*24,11),""))</f>
        <v>60.999999999999986</v>
      </c>
      <c r="AS745">
        <v>745</v>
      </c>
    </row>
    <row r="746" spans="1:45" hidden="1" x14ac:dyDescent="0.25">
      <c r="A746">
        <v>745</v>
      </c>
      <c r="B746">
        <v>2025</v>
      </c>
      <c r="C746">
        <v>11</v>
      </c>
      <c r="D746" t="s">
        <v>255</v>
      </c>
      <c r="E746">
        <v>31</v>
      </c>
      <c r="F746">
        <v>10</v>
      </c>
      <c r="G746" t="s">
        <v>534</v>
      </c>
      <c r="H746" s="154" t="s">
        <v>479</v>
      </c>
      <c r="I746" s="154" t="s">
        <v>479</v>
      </c>
      <c r="J746" s="154" t="s">
        <v>479</v>
      </c>
      <c r="K746" s="154" t="s">
        <v>479</v>
      </c>
      <c r="L746" s="154" t="s">
        <v>479</v>
      </c>
      <c r="M746" s="154" t="s">
        <v>479</v>
      </c>
      <c r="N746" s="154" t="s">
        <v>479</v>
      </c>
      <c r="O746" s="154" t="s">
        <v>479</v>
      </c>
      <c r="P746" s="154" t="s">
        <v>479</v>
      </c>
      <c r="Q746" s="154" t="s">
        <v>479</v>
      </c>
      <c r="R746" s="154" t="s">
        <v>479</v>
      </c>
      <c r="S746" s="154" t="s">
        <v>479</v>
      </c>
      <c r="T746" s="154" t="s">
        <v>479</v>
      </c>
      <c r="U746" s="154" t="s">
        <v>479</v>
      </c>
      <c r="V746" s="154" t="s">
        <v>479</v>
      </c>
      <c r="W746" s="154" t="s">
        <v>479</v>
      </c>
      <c r="X746" s="154" t="s">
        <v>479</v>
      </c>
      <c r="Y746" s="154" t="s">
        <v>479</v>
      </c>
      <c r="Z746" s="154" t="s">
        <v>479</v>
      </c>
      <c r="AA746" s="154" t="s">
        <v>479</v>
      </c>
      <c r="AB746" s="154" t="s">
        <v>479</v>
      </c>
      <c r="AC746" s="154" t="s">
        <v>479</v>
      </c>
      <c r="AD746" s="154" t="s">
        <v>479</v>
      </c>
      <c r="AE746" s="154" t="s">
        <v>479</v>
      </c>
      <c r="AF746" s="154" t="s">
        <v>479</v>
      </c>
      <c r="AG746" s="154" t="s">
        <v>479</v>
      </c>
      <c r="AH746" s="154" t="s">
        <v>479</v>
      </c>
      <c r="AI746" s="154" t="s">
        <v>479</v>
      </c>
      <c r="AJ746" s="154" t="s">
        <v>479</v>
      </c>
      <c r="AK746" s="154" t="s">
        <v>479</v>
      </c>
      <c r="AL746" s="154" t="s">
        <v>424</v>
      </c>
      <c r="AS746">
        <v>746</v>
      </c>
    </row>
    <row r="747" spans="1:45" hidden="1" x14ac:dyDescent="0.25">
      <c r="A747">
        <v>746</v>
      </c>
      <c r="B747">
        <v>2025</v>
      </c>
      <c r="C747">
        <v>11</v>
      </c>
      <c r="D747" t="s">
        <v>255</v>
      </c>
      <c r="E747">
        <v>31</v>
      </c>
      <c r="F747">
        <v>10</v>
      </c>
      <c r="G747" t="s">
        <v>535</v>
      </c>
      <c r="H747" s="154" t="s">
        <v>510</v>
      </c>
      <c r="I747" s="154" t="s">
        <v>510</v>
      </c>
      <c r="J747" s="154" t="s">
        <v>510</v>
      </c>
      <c r="K747" s="154" t="s">
        <v>510</v>
      </c>
      <c r="L747" s="154" t="s">
        <v>510</v>
      </c>
      <c r="M747" s="154" t="s">
        <v>510</v>
      </c>
      <c r="N747" s="154" t="s">
        <v>510</v>
      </c>
      <c r="O747" s="154" t="s">
        <v>510</v>
      </c>
      <c r="P747" s="154" t="s">
        <v>510</v>
      </c>
      <c r="Q747" s="154" t="s">
        <v>510</v>
      </c>
      <c r="R747" s="154" t="s">
        <v>510</v>
      </c>
      <c r="S747" s="154" t="s">
        <v>510</v>
      </c>
      <c r="T747" s="154" t="s">
        <v>510</v>
      </c>
      <c r="U747" s="154" t="s">
        <v>510</v>
      </c>
      <c r="V747" s="154" t="s">
        <v>510</v>
      </c>
      <c r="W747" s="154" t="s">
        <v>510</v>
      </c>
      <c r="X747" s="154" t="s">
        <v>510</v>
      </c>
      <c r="Y747" s="154" t="s">
        <v>510</v>
      </c>
      <c r="Z747" s="154" t="s">
        <v>510</v>
      </c>
      <c r="AA747" s="154" t="s">
        <v>510</v>
      </c>
      <c r="AB747" s="154" t="s">
        <v>510</v>
      </c>
      <c r="AC747" s="154" t="s">
        <v>510</v>
      </c>
      <c r="AD747" s="154" t="s">
        <v>510</v>
      </c>
      <c r="AE747" s="154" t="s">
        <v>510</v>
      </c>
      <c r="AF747" s="154" t="s">
        <v>510</v>
      </c>
      <c r="AG747" s="154" t="s">
        <v>510</v>
      </c>
      <c r="AH747" s="154" t="s">
        <v>510</v>
      </c>
      <c r="AI747" s="154" t="s">
        <v>510</v>
      </c>
      <c r="AJ747" s="154" t="s">
        <v>510</v>
      </c>
      <c r="AK747" s="154" t="s">
        <v>510</v>
      </c>
      <c r="AL747" s="154" t="s">
        <v>424</v>
      </c>
      <c r="AM747" cm="1">
        <f t="array" ref="AM747">_xlfn.LET(_xlpm.r,IFERROR((H747:AL747-H746:AL746)*24,""),SUM(IF(_xlpm.r="",0,IF(_xlpm.r=-1,0,1))))</f>
        <v>0</v>
      </c>
      <c r="AN747" cm="1">
        <f t="array" ref="AN747">_xlfn.LET(_xlpm.r,IFERROR((H747:AL747-H746:AL746)*24,""),SUM(IF(_xlpm.r="",0,IF(_xlpm.r=-1,1,0))))</f>
        <v>30</v>
      </c>
      <c r="AO747" cm="1">
        <f t="array" ref="AO747">_xlfn.LET(_xlpm.r,SUM(IFERROR(MOD((H747:AL747-H746:AL746)*24,11),"")),_xlpm.r-AN747*10)</f>
        <v>0</v>
      </c>
      <c r="AS747">
        <v>747</v>
      </c>
    </row>
    <row r="748" spans="1:45" hidden="1" x14ac:dyDescent="0.25">
      <c r="A748">
        <v>747</v>
      </c>
      <c r="B748">
        <v>2025</v>
      </c>
      <c r="C748">
        <v>11</v>
      </c>
      <c r="D748" t="s">
        <v>277</v>
      </c>
      <c r="E748">
        <v>31</v>
      </c>
      <c r="F748">
        <v>10</v>
      </c>
      <c r="G748" t="s">
        <v>534</v>
      </c>
      <c r="H748" s="154" t="s">
        <v>510</v>
      </c>
      <c r="I748" s="154" t="s">
        <v>424</v>
      </c>
      <c r="J748" s="154" t="s">
        <v>510</v>
      </c>
      <c r="K748" s="154" t="s">
        <v>510</v>
      </c>
      <c r="L748" s="154" t="s">
        <v>510</v>
      </c>
      <c r="M748" s="154" t="s">
        <v>510</v>
      </c>
      <c r="N748" s="154" t="s">
        <v>510</v>
      </c>
      <c r="O748" s="154" t="s">
        <v>510</v>
      </c>
      <c r="P748" s="154" t="s">
        <v>424</v>
      </c>
      <c r="Q748" s="154" t="s">
        <v>510</v>
      </c>
      <c r="R748" s="154" t="s">
        <v>510</v>
      </c>
      <c r="S748" s="154" t="s">
        <v>510</v>
      </c>
      <c r="T748" s="154" t="s">
        <v>510</v>
      </c>
      <c r="U748" s="154" t="s">
        <v>510</v>
      </c>
      <c r="V748" s="154" t="s">
        <v>510</v>
      </c>
      <c r="W748" s="154" t="s">
        <v>424</v>
      </c>
      <c r="X748" s="154" t="s">
        <v>510</v>
      </c>
      <c r="Y748" s="154" t="s">
        <v>510</v>
      </c>
      <c r="Z748" s="154" t="s">
        <v>510</v>
      </c>
      <c r="AA748" s="154" t="s">
        <v>510</v>
      </c>
      <c r="AB748" s="154" t="s">
        <v>510</v>
      </c>
      <c r="AC748" s="154" t="s">
        <v>510</v>
      </c>
      <c r="AD748" s="154" t="s">
        <v>510</v>
      </c>
      <c r="AE748" s="154" t="s">
        <v>510</v>
      </c>
      <c r="AF748" s="154" t="s">
        <v>510</v>
      </c>
      <c r="AG748" s="154" t="s">
        <v>510</v>
      </c>
      <c r="AH748" s="154" t="s">
        <v>510</v>
      </c>
      <c r="AI748" s="154" t="s">
        <v>510</v>
      </c>
      <c r="AJ748" s="154" t="s">
        <v>510</v>
      </c>
      <c r="AK748" s="154" t="s">
        <v>510</v>
      </c>
      <c r="AL748" s="154" t="s">
        <v>424</v>
      </c>
      <c r="AS748">
        <v>748</v>
      </c>
    </row>
    <row r="749" spans="1:45" hidden="1" x14ac:dyDescent="0.25">
      <c r="A749">
        <v>748</v>
      </c>
      <c r="B749">
        <v>2025</v>
      </c>
      <c r="C749">
        <v>11</v>
      </c>
      <c r="D749" t="s">
        <v>277</v>
      </c>
      <c r="E749">
        <v>31</v>
      </c>
      <c r="F749">
        <v>10</v>
      </c>
      <c r="G749" t="s">
        <v>535</v>
      </c>
      <c r="H749" s="154">
        <v>0.875</v>
      </c>
      <c r="I749" s="154" t="s">
        <v>424</v>
      </c>
      <c r="J749" s="154">
        <v>0.875</v>
      </c>
      <c r="K749" s="154">
        <v>0.875</v>
      </c>
      <c r="L749" s="154">
        <v>0.875</v>
      </c>
      <c r="M749" s="154">
        <v>0.875</v>
      </c>
      <c r="N749" s="154">
        <v>0.875</v>
      </c>
      <c r="O749" s="154">
        <v>0.875</v>
      </c>
      <c r="P749" s="154" t="s">
        <v>424</v>
      </c>
      <c r="Q749" s="154">
        <v>0.875</v>
      </c>
      <c r="R749" s="154">
        <v>0.875</v>
      </c>
      <c r="S749" s="154">
        <v>0.875</v>
      </c>
      <c r="T749" s="154">
        <v>0.875</v>
      </c>
      <c r="U749" s="154">
        <v>0.875</v>
      </c>
      <c r="V749" s="154">
        <v>0.875</v>
      </c>
      <c r="W749" s="154" t="s">
        <v>424</v>
      </c>
      <c r="X749" s="154">
        <v>0.875</v>
      </c>
      <c r="Y749" s="154">
        <v>0.875</v>
      </c>
      <c r="Z749" s="154">
        <v>0.875</v>
      </c>
      <c r="AA749" s="154">
        <v>0.875</v>
      </c>
      <c r="AB749" s="154">
        <v>0.875</v>
      </c>
      <c r="AC749" s="154">
        <v>0.875</v>
      </c>
      <c r="AD749" s="154">
        <v>0.875</v>
      </c>
      <c r="AE749" s="154">
        <v>0.875</v>
      </c>
      <c r="AF749" s="154">
        <v>0.875</v>
      </c>
      <c r="AG749" s="154">
        <v>0.875</v>
      </c>
      <c r="AH749" s="154">
        <v>0.875</v>
      </c>
      <c r="AI749" s="154">
        <v>0.875</v>
      </c>
      <c r="AJ749" s="154">
        <v>0.875</v>
      </c>
      <c r="AK749" s="154">
        <v>0.875</v>
      </c>
      <c r="AL749" s="154" t="s">
        <v>424</v>
      </c>
      <c r="AM749" cm="1">
        <f t="array" ref="AM749">_xlfn.LET(_xlpm.x,SUM(_xlfn.LET(_xlpm.r,((IFERROR(H749:AL749-H748:AL748,0))*24)/10,IF(_xlpm.r&gt;1,1,_xlpm.r))),IF(_xlpm.x&gt;=27,30,_xlpm.x))</f>
        <v>30</v>
      </c>
      <c r="AO749" cm="1">
        <f t="array" ref="AO749">SUM(IFERROR(MOD((H749:AL749-H748:AL748)*24,11),""))</f>
        <v>108</v>
      </c>
      <c r="AS749">
        <v>749</v>
      </c>
    </row>
    <row r="750" spans="1:45" hidden="1" x14ac:dyDescent="0.25">
      <c r="A750">
        <v>749</v>
      </c>
      <c r="B750">
        <v>2025</v>
      </c>
      <c r="C750">
        <v>11</v>
      </c>
      <c r="D750" t="s">
        <v>276</v>
      </c>
      <c r="E750">
        <v>31</v>
      </c>
      <c r="F750">
        <v>10</v>
      </c>
      <c r="G750" t="s">
        <v>534</v>
      </c>
      <c r="H750" s="154" t="s">
        <v>479</v>
      </c>
      <c r="I750" s="154" t="s">
        <v>479</v>
      </c>
      <c r="J750" s="154" t="s">
        <v>479</v>
      </c>
      <c r="K750" s="154" t="s">
        <v>479</v>
      </c>
      <c r="L750" s="154" t="s">
        <v>479</v>
      </c>
      <c r="M750" s="154" t="s">
        <v>479</v>
      </c>
      <c r="N750" s="154" t="s">
        <v>479</v>
      </c>
      <c r="O750" s="154" t="s">
        <v>479</v>
      </c>
      <c r="P750" s="154" t="s">
        <v>424</v>
      </c>
      <c r="Q750" s="154" t="s">
        <v>479</v>
      </c>
      <c r="R750" s="154" t="s">
        <v>479</v>
      </c>
      <c r="S750" s="154" t="s">
        <v>479</v>
      </c>
      <c r="T750" s="154" t="s">
        <v>479</v>
      </c>
      <c r="U750" s="154" t="s">
        <v>479</v>
      </c>
      <c r="V750" s="154" t="s">
        <v>479</v>
      </c>
      <c r="W750" s="154" t="s">
        <v>479</v>
      </c>
      <c r="X750" s="154" t="s">
        <v>479</v>
      </c>
      <c r="Y750" s="154" t="s">
        <v>479</v>
      </c>
      <c r="Z750" s="154" t="s">
        <v>479</v>
      </c>
      <c r="AA750" s="154" t="s">
        <v>479</v>
      </c>
      <c r="AB750" s="154" t="s">
        <v>479</v>
      </c>
      <c r="AC750" s="154" t="s">
        <v>479</v>
      </c>
      <c r="AD750" s="154" t="s">
        <v>479</v>
      </c>
      <c r="AE750" s="154" t="s">
        <v>479</v>
      </c>
      <c r="AF750" s="154" t="s">
        <v>479</v>
      </c>
      <c r="AG750" s="154" t="s">
        <v>479</v>
      </c>
      <c r="AH750" s="154" t="s">
        <v>479</v>
      </c>
      <c r="AI750" s="154" t="s">
        <v>479</v>
      </c>
      <c r="AJ750" s="154" t="s">
        <v>479</v>
      </c>
      <c r="AK750" s="154" t="s">
        <v>479</v>
      </c>
      <c r="AL750" s="154" t="s">
        <v>424</v>
      </c>
      <c r="AS750">
        <v>750</v>
      </c>
    </row>
    <row r="751" spans="1:45" hidden="1" x14ac:dyDescent="0.25">
      <c r="A751">
        <v>750</v>
      </c>
      <c r="B751">
        <v>2025</v>
      </c>
      <c r="C751">
        <v>11</v>
      </c>
      <c r="D751" t="s">
        <v>276</v>
      </c>
      <c r="E751">
        <v>31</v>
      </c>
      <c r="F751">
        <v>10</v>
      </c>
      <c r="G751" t="s">
        <v>535</v>
      </c>
      <c r="H751" s="154" t="s">
        <v>480</v>
      </c>
      <c r="I751" s="154" t="s">
        <v>480</v>
      </c>
      <c r="J751" s="154" t="s">
        <v>480</v>
      </c>
      <c r="K751" s="154" t="s">
        <v>480</v>
      </c>
      <c r="L751" s="154" t="s">
        <v>480</v>
      </c>
      <c r="M751" s="154" t="s">
        <v>480</v>
      </c>
      <c r="N751" s="154" t="s">
        <v>480</v>
      </c>
      <c r="O751" s="154" t="s">
        <v>480</v>
      </c>
      <c r="P751" s="154" t="s">
        <v>424</v>
      </c>
      <c r="Q751" s="154" t="s">
        <v>480</v>
      </c>
      <c r="R751" s="154" t="s">
        <v>480</v>
      </c>
      <c r="S751" s="154" t="s">
        <v>480</v>
      </c>
      <c r="T751" s="154" t="s">
        <v>480</v>
      </c>
      <c r="U751" s="154" t="s">
        <v>480</v>
      </c>
      <c r="V751" s="154" t="s">
        <v>480</v>
      </c>
      <c r="W751" s="154" t="s">
        <v>480</v>
      </c>
      <c r="X751" s="154" t="s">
        <v>480</v>
      </c>
      <c r="Y751" s="154" t="s">
        <v>480</v>
      </c>
      <c r="Z751" s="154" t="s">
        <v>480</v>
      </c>
      <c r="AA751" s="154" t="s">
        <v>480</v>
      </c>
      <c r="AB751" s="154" t="s">
        <v>480</v>
      </c>
      <c r="AC751" s="154" t="s">
        <v>480</v>
      </c>
      <c r="AD751" s="154" t="s">
        <v>480</v>
      </c>
      <c r="AE751" s="154" t="s">
        <v>480</v>
      </c>
      <c r="AF751" s="154" t="s">
        <v>480</v>
      </c>
      <c r="AG751" s="154" t="s">
        <v>480</v>
      </c>
      <c r="AH751" s="154" t="s">
        <v>480</v>
      </c>
      <c r="AI751" s="154" t="s">
        <v>480</v>
      </c>
      <c r="AJ751" s="154" t="s">
        <v>480</v>
      </c>
      <c r="AK751" s="154" t="s">
        <v>480</v>
      </c>
      <c r="AL751" s="154" t="s">
        <v>424</v>
      </c>
      <c r="AM751" cm="1">
        <f t="array" ref="AM751">SUM(_xlfn.LET(_xlpm.r,((IFERROR(H751:AL751-H750:AL750,0))*24)/10,IF(_xlpm.r&gt;1,1,_xlpm.r)))</f>
        <v>29</v>
      </c>
      <c r="AO751" cm="1">
        <f t="array" ref="AO751">SUM(IFERROR(MOD((H751:AL751-H750:AL750)*24,11),""))</f>
        <v>0</v>
      </c>
      <c r="AS751">
        <v>751</v>
      </c>
    </row>
    <row r="752" spans="1:45" hidden="1" x14ac:dyDescent="0.25">
      <c r="A752">
        <v>751</v>
      </c>
      <c r="B752">
        <v>2025</v>
      </c>
      <c r="C752">
        <v>11</v>
      </c>
      <c r="D752" t="s">
        <v>271</v>
      </c>
      <c r="E752">
        <v>31</v>
      </c>
      <c r="F752">
        <v>10</v>
      </c>
      <c r="G752" t="s">
        <v>534</v>
      </c>
      <c r="H752" s="154" t="s">
        <v>479</v>
      </c>
      <c r="I752" s="154" t="s">
        <v>479</v>
      </c>
      <c r="J752" s="154" t="s">
        <v>479</v>
      </c>
      <c r="K752" s="154" t="s">
        <v>479</v>
      </c>
      <c r="L752" s="154" t="s">
        <v>479</v>
      </c>
      <c r="M752" s="154" t="s">
        <v>479</v>
      </c>
      <c r="N752" s="154" t="s">
        <v>479</v>
      </c>
      <c r="O752" s="154" t="s">
        <v>479</v>
      </c>
      <c r="P752" s="154" t="s">
        <v>424</v>
      </c>
      <c r="Q752" s="154" t="s">
        <v>479</v>
      </c>
      <c r="R752" s="154" t="s">
        <v>479</v>
      </c>
      <c r="S752" s="154" t="s">
        <v>479</v>
      </c>
      <c r="T752" s="154" t="s">
        <v>479</v>
      </c>
      <c r="U752" s="154" t="s">
        <v>479</v>
      </c>
      <c r="V752" s="154" t="s">
        <v>479</v>
      </c>
      <c r="W752" s="154" t="s">
        <v>479</v>
      </c>
      <c r="X752" s="154" t="s">
        <v>479</v>
      </c>
      <c r="Y752" s="154" t="s">
        <v>479</v>
      </c>
      <c r="Z752" s="154" t="s">
        <v>479</v>
      </c>
      <c r="AA752" s="154" t="s">
        <v>479</v>
      </c>
      <c r="AB752" s="154" t="s">
        <v>479</v>
      </c>
      <c r="AC752" s="154" t="s">
        <v>479</v>
      </c>
      <c r="AD752" s="154" t="s">
        <v>424</v>
      </c>
      <c r="AE752" s="154" t="s">
        <v>479</v>
      </c>
      <c r="AF752" s="154" t="s">
        <v>479</v>
      </c>
      <c r="AG752" s="154" t="s">
        <v>479</v>
      </c>
      <c r="AH752" s="154" t="s">
        <v>479</v>
      </c>
      <c r="AI752" s="154" t="s">
        <v>479</v>
      </c>
      <c r="AJ752" s="154" t="s">
        <v>479</v>
      </c>
      <c r="AK752" s="154" t="s">
        <v>479</v>
      </c>
      <c r="AL752" s="154" t="s">
        <v>424</v>
      </c>
      <c r="AS752">
        <v>752</v>
      </c>
    </row>
    <row r="753" spans="1:45" hidden="1" x14ac:dyDescent="0.25">
      <c r="A753">
        <v>752</v>
      </c>
      <c r="B753">
        <v>2025</v>
      </c>
      <c r="C753">
        <v>11</v>
      </c>
      <c r="D753" t="s">
        <v>271</v>
      </c>
      <c r="E753">
        <v>31</v>
      </c>
      <c r="F753">
        <v>10</v>
      </c>
      <c r="G753" t="s">
        <v>535</v>
      </c>
      <c r="H753" s="154" t="s">
        <v>480</v>
      </c>
      <c r="I753" s="154" t="s">
        <v>480</v>
      </c>
      <c r="J753" s="154" t="s">
        <v>480</v>
      </c>
      <c r="K753" s="154" t="s">
        <v>480</v>
      </c>
      <c r="L753" s="154" t="s">
        <v>480</v>
      </c>
      <c r="M753" s="154" t="s">
        <v>480</v>
      </c>
      <c r="N753" s="154" t="s">
        <v>480</v>
      </c>
      <c r="O753" s="154" t="s">
        <v>480</v>
      </c>
      <c r="P753" s="154" t="s">
        <v>424</v>
      </c>
      <c r="Q753" s="154" t="s">
        <v>480</v>
      </c>
      <c r="R753" s="154" t="s">
        <v>480</v>
      </c>
      <c r="S753" s="154" t="s">
        <v>480</v>
      </c>
      <c r="T753" s="154" t="s">
        <v>480</v>
      </c>
      <c r="U753" s="154" t="s">
        <v>480</v>
      </c>
      <c r="V753" s="154" t="s">
        <v>480</v>
      </c>
      <c r="W753" s="154" t="s">
        <v>480</v>
      </c>
      <c r="X753" s="154" t="s">
        <v>480</v>
      </c>
      <c r="Y753" s="154" t="s">
        <v>480</v>
      </c>
      <c r="Z753" s="154" t="s">
        <v>480</v>
      </c>
      <c r="AA753" s="154" t="s">
        <v>480</v>
      </c>
      <c r="AB753" s="154" t="s">
        <v>480</v>
      </c>
      <c r="AC753" s="154" t="s">
        <v>480</v>
      </c>
      <c r="AD753" s="154" t="s">
        <v>424</v>
      </c>
      <c r="AE753" s="154" t="s">
        <v>480</v>
      </c>
      <c r="AF753" s="154" t="s">
        <v>480</v>
      </c>
      <c r="AG753" s="154" t="s">
        <v>480</v>
      </c>
      <c r="AH753" s="154" t="s">
        <v>480</v>
      </c>
      <c r="AI753" s="154" t="s">
        <v>480</v>
      </c>
      <c r="AJ753" s="154" t="s">
        <v>480</v>
      </c>
      <c r="AK753" s="154" t="s">
        <v>480</v>
      </c>
      <c r="AL753" s="154" t="s">
        <v>424</v>
      </c>
      <c r="AM753" cm="1">
        <f t="array" ref="AM753">SUM(_xlfn.LET(_xlpm.r,((IFERROR(H753:AL753-H752:AL752,0))*24)/10,IF(_xlpm.r&gt;1,1,_xlpm.r)))</f>
        <v>28</v>
      </c>
      <c r="AO753" cm="1">
        <f t="array" ref="AO753">SUM(IFERROR(MOD((H753:AL753-H752:AL752)*24,11),""))</f>
        <v>0</v>
      </c>
      <c r="AS753">
        <v>753</v>
      </c>
    </row>
    <row r="754" spans="1:45" hidden="1" x14ac:dyDescent="0.25">
      <c r="A754">
        <v>753</v>
      </c>
      <c r="B754">
        <v>2025</v>
      </c>
      <c r="C754">
        <v>11</v>
      </c>
      <c r="D754" t="s">
        <v>264</v>
      </c>
      <c r="E754">
        <v>31</v>
      </c>
      <c r="F754">
        <v>10</v>
      </c>
      <c r="G754" t="s">
        <v>534</v>
      </c>
      <c r="H754" s="154" t="s">
        <v>479</v>
      </c>
      <c r="I754" s="154" t="s">
        <v>479</v>
      </c>
      <c r="J754" s="154" t="s">
        <v>479</v>
      </c>
      <c r="K754" s="154" t="s">
        <v>479</v>
      </c>
      <c r="L754" s="154" t="s">
        <v>479</v>
      </c>
      <c r="M754" s="154" t="s">
        <v>479</v>
      </c>
      <c r="N754" s="154" t="s">
        <v>479</v>
      </c>
      <c r="O754" s="154" t="s">
        <v>479</v>
      </c>
      <c r="P754" s="154" t="s">
        <v>479</v>
      </c>
      <c r="Q754" s="154" t="s">
        <v>479</v>
      </c>
      <c r="R754" s="154" t="s">
        <v>479</v>
      </c>
      <c r="S754" s="154" t="s">
        <v>479</v>
      </c>
      <c r="T754" s="154" t="s">
        <v>479</v>
      </c>
      <c r="U754" s="154" t="s">
        <v>479</v>
      </c>
      <c r="V754" s="154" t="s">
        <v>479</v>
      </c>
      <c r="W754" s="154" t="s">
        <v>424</v>
      </c>
      <c r="X754" s="154" t="s">
        <v>479</v>
      </c>
      <c r="Y754" s="154" t="s">
        <v>479</v>
      </c>
      <c r="Z754" s="154" t="s">
        <v>479</v>
      </c>
      <c r="AA754" s="154" t="s">
        <v>479</v>
      </c>
      <c r="AB754" s="154" t="s">
        <v>479</v>
      </c>
      <c r="AC754" s="154" t="s">
        <v>479</v>
      </c>
      <c r="AD754" s="154" t="s">
        <v>479</v>
      </c>
      <c r="AE754" s="154" t="s">
        <v>479</v>
      </c>
      <c r="AF754" s="154" t="s">
        <v>479</v>
      </c>
      <c r="AG754" s="154" t="s">
        <v>479</v>
      </c>
      <c r="AH754" s="154" t="s">
        <v>479</v>
      </c>
      <c r="AI754" s="154" t="s">
        <v>479</v>
      </c>
      <c r="AJ754" s="154" t="s">
        <v>479</v>
      </c>
      <c r="AK754" s="154" t="s">
        <v>479</v>
      </c>
      <c r="AL754" s="154" t="s">
        <v>424</v>
      </c>
      <c r="AS754">
        <v>754</v>
      </c>
    </row>
    <row r="755" spans="1:45" hidden="1" x14ac:dyDescent="0.25">
      <c r="A755">
        <v>754</v>
      </c>
      <c r="B755">
        <v>2025</v>
      </c>
      <c r="C755">
        <v>11</v>
      </c>
      <c r="D755" t="s">
        <v>264</v>
      </c>
      <c r="E755">
        <v>31</v>
      </c>
      <c r="F755">
        <v>10</v>
      </c>
      <c r="G755" t="s">
        <v>535</v>
      </c>
      <c r="H755" s="154" t="s">
        <v>480</v>
      </c>
      <c r="I755" s="154" t="s">
        <v>480</v>
      </c>
      <c r="J755" s="154" t="s">
        <v>480</v>
      </c>
      <c r="K755" s="154" t="s">
        <v>480</v>
      </c>
      <c r="L755" s="154" t="s">
        <v>480</v>
      </c>
      <c r="M755" s="154" t="s">
        <v>480</v>
      </c>
      <c r="N755" s="154" t="s">
        <v>480</v>
      </c>
      <c r="O755" s="154" t="s">
        <v>480</v>
      </c>
      <c r="P755" s="154" t="s">
        <v>480</v>
      </c>
      <c r="Q755" s="154" t="s">
        <v>480</v>
      </c>
      <c r="R755" s="154" t="s">
        <v>480</v>
      </c>
      <c r="S755" s="154" t="s">
        <v>480</v>
      </c>
      <c r="T755" s="154" t="s">
        <v>480</v>
      </c>
      <c r="U755" s="154" t="s">
        <v>480</v>
      </c>
      <c r="V755" s="154" t="s">
        <v>480</v>
      </c>
      <c r="W755" s="154" t="s">
        <v>424</v>
      </c>
      <c r="X755" s="154" t="s">
        <v>480</v>
      </c>
      <c r="Y755" s="154" t="s">
        <v>480</v>
      </c>
      <c r="Z755" s="154" t="s">
        <v>480</v>
      </c>
      <c r="AA755" s="154" t="s">
        <v>480</v>
      </c>
      <c r="AB755" s="154" t="s">
        <v>480</v>
      </c>
      <c r="AC755" s="154" t="s">
        <v>480</v>
      </c>
      <c r="AD755" s="154" t="s">
        <v>480</v>
      </c>
      <c r="AE755" s="154" t="s">
        <v>480</v>
      </c>
      <c r="AF755" s="154" t="s">
        <v>480</v>
      </c>
      <c r="AG755" s="154" t="s">
        <v>480</v>
      </c>
      <c r="AH755" s="154" t="s">
        <v>480</v>
      </c>
      <c r="AI755" s="154" t="s">
        <v>480</v>
      </c>
      <c r="AJ755" s="154" t="s">
        <v>480</v>
      </c>
      <c r="AK755" s="154" t="s">
        <v>480</v>
      </c>
      <c r="AL755" s="154" t="s">
        <v>424</v>
      </c>
      <c r="AM755" cm="1">
        <f t="array" ref="AM755">SUM(_xlfn.LET(_xlpm.r,((IFERROR(H755:AL755-H754:AL754,0))*24)/10,IF(_xlpm.r&gt;1,1,_xlpm.r)))</f>
        <v>29</v>
      </c>
      <c r="AO755" cm="1">
        <f t="array" ref="AO755">SUM(IFERROR(MOD((H755:AL755-H754:AL754)*24,11),""))</f>
        <v>0</v>
      </c>
      <c r="AS755">
        <v>755</v>
      </c>
    </row>
    <row r="756" spans="1:45" hidden="1" x14ac:dyDescent="0.25">
      <c r="A756">
        <v>755</v>
      </c>
      <c r="B756">
        <v>2025</v>
      </c>
      <c r="C756">
        <v>11</v>
      </c>
      <c r="D756" t="s">
        <v>281</v>
      </c>
      <c r="E756">
        <v>31</v>
      </c>
      <c r="F756">
        <v>10</v>
      </c>
      <c r="G756" t="s">
        <v>534</v>
      </c>
      <c r="H756" s="154" t="s">
        <v>480</v>
      </c>
      <c r="I756" s="154" t="s">
        <v>480</v>
      </c>
      <c r="J756" s="154" t="s">
        <v>480</v>
      </c>
      <c r="K756" s="154" t="s">
        <v>480</v>
      </c>
      <c r="L756" s="154" t="s">
        <v>480</v>
      </c>
      <c r="M756" s="154" t="s">
        <v>480</v>
      </c>
      <c r="N756" s="154" t="s">
        <v>480</v>
      </c>
      <c r="O756" s="154" t="s">
        <v>480</v>
      </c>
      <c r="P756" s="154" t="s">
        <v>424</v>
      </c>
      <c r="Q756" s="154" t="s">
        <v>480</v>
      </c>
      <c r="R756" s="154" t="s">
        <v>480</v>
      </c>
      <c r="S756" s="154" t="s">
        <v>480</v>
      </c>
      <c r="T756" s="154" t="s">
        <v>480</v>
      </c>
      <c r="U756" s="154" t="s">
        <v>480</v>
      </c>
      <c r="V756" s="154" t="s">
        <v>533</v>
      </c>
      <c r="W756" s="154" t="s">
        <v>533</v>
      </c>
      <c r="X756" s="154" t="s">
        <v>533</v>
      </c>
      <c r="Y756" s="154" t="s">
        <v>533</v>
      </c>
      <c r="Z756" s="154" t="s">
        <v>533</v>
      </c>
      <c r="AA756" s="154" t="s">
        <v>533</v>
      </c>
      <c r="AB756" s="154" t="s">
        <v>533</v>
      </c>
      <c r="AC756" s="154" t="s">
        <v>533</v>
      </c>
      <c r="AD756" s="154" t="s">
        <v>533</v>
      </c>
      <c r="AE756" s="154" t="s">
        <v>533</v>
      </c>
      <c r="AF756" s="154" t="s">
        <v>533</v>
      </c>
      <c r="AG756" s="154" t="s">
        <v>533</v>
      </c>
      <c r="AH756" s="154" t="s">
        <v>533</v>
      </c>
      <c r="AI756" s="154" t="s">
        <v>533</v>
      </c>
      <c r="AJ756" s="154" t="s">
        <v>533</v>
      </c>
      <c r="AK756" s="154" t="s">
        <v>533</v>
      </c>
      <c r="AL756" s="154" t="s">
        <v>424</v>
      </c>
      <c r="AS756">
        <v>756</v>
      </c>
    </row>
    <row r="757" spans="1:45" hidden="1" x14ac:dyDescent="0.25">
      <c r="A757">
        <v>756</v>
      </c>
      <c r="B757">
        <v>2025</v>
      </c>
      <c r="C757">
        <v>11</v>
      </c>
      <c r="D757" t="s">
        <v>281</v>
      </c>
      <c r="E757">
        <v>31</v>
      </c>
      <c r="F757">
        <v>10</v>
      </c>
      <c r="G757" t="s">
        <v>535</v>
      </c>
      <c r="H757" s="154">
        <v>1.25</v>
      </c>
      <c r="I757" s="154">
        <v>1.25</v>
      </c>
      <c r="J757" s="154">
        <v>1.25</v>
      </c>
      <c r="K757" s="154">
        <v>1.375</v>
      </c>
      <c r="L757" s="154">
        <v>1.2083333333333333</v>
      </c>
      <c r="M757" s="154">
        <v>1.25</v>
      </c>
      <c r="N757" s="154">
        <v>1.25</v>
      </c>
      <c r="O757" s="154">
        <v>1.25</v>
      </c>
      <c r="P757" s="154" t="s">
        <v>424</v>
      </c>
      <c r="Q757" s="154">
        <v>1.25</v>
      </c>
      <c r="R757" s="154">
        <v>1.25</v>
      </c>
      <c r="S757" s="154">
        <v>1.25</v>
      </c>
      <c r="T757" s="154">
        <v>1.25</v>
      </c>
      <c r="U757" s="154">
        <v>1.25</v>
      </c>
      <c r="V757" s="154">
        <v>1.0416666666666665</v>
      </c>
      <c r="W757" s="154">
        <v>1.0416666666666665</v>
      </c>
      <c r="X757" s="154">
        <v>1.0416666666666665</v>
      </c>
      <c r="Y757" s="154">
        <v>1.0416666666666665</v>
      </c>
      <c r="Z757" s="154">
        <v>1.0416666666666665</v>
      </c>
      <c r="AA757" s="154">
        <v>1.0416666666666665</v>
      </c>
      <c r="AB757" s="154">
        <v>1</v>
      </c>
      <c r="AC757" s="154">
        <v>1.0833333333333333</v>
      </c>
      <c r="AD757" s="154">
        <v>1.0833333333333333</v>
      </c>
      <c r="AE757" s="154">
        <v>1</v>
      </c>
      <c r="AF757" s="154">
        <v>1</v>
      </c>
      <c r="AG757" s="154">
        <v>1.1666666666666665</v>
      </c>
      <c r="AH757" s="154">
        <v>1.0416666666666665</v>
      </c>
      <c r="AI757" s="154">
        <v>1.125</v>
      </c>
      <c r="AJ757" s="154">
        <v>1.2083333333333333</v>
      </c>
      <c r="AK757" s="154">
        <v>1.0833333333333333</v>
      </c>
      <c r="AL757" s="154" t="s">
        <v>424</v>
      </c>
      <c r="AM757" cm="1">
        <f t="array" ref="AM757">SUM(_xlfn.LET(_xlpm.r,IFERROR(ABS(H757:AL757-H756:AL756),0)*24,IF(_xlpm.r&gt;1,1,_xlpm.r)))</f>
        <v>29</v>
      </c>
      <c r="AO757" cm="1">
        <f t="array" ref="AO757">SUM(_xlfn.LET(_xlpm.r,IFERROR(ABS(H757:AL757-H756:AL756),0)*24,IF(_xlpm.r&gt;11,_xlpm.r-11,0)))</f>
        <v>39.999999999999972</v>
      </c>
      <c r="AS757">
        <v>757</v>
      </c>
    </row>
    <row r="758" spans="1:45" hidden="1" x14ac:dyDescent="0.25">
      <c r="A758">
        <v>757</v>
      </c>
      <c r="B758">
        <v>2025</v>
      </c>
      <c r="C758">
        <v>11</v>
      </c>
      <c r="D758" t="s">
        <v>273</v>
      </c>
      <c r="E758">
        <v>31</v>
      </c>
      <c r="F758">
        <v>10</v>
      </c>
      <c r="G758" t="s">
        <v>534</v>
      </c>
      <c r="H758" s="154" t="s">
        <v>479</v>
      </c>
      <c r="I758" s="154" t="s">
        <v>479</v>
      </c>
      <c r="J758" s="154" t="s">
        <v>479</v>
      </c>
      <c r="K758" s="154" t="s">
        <v>479</v>
      </c>
      <c r="L758" s="154" t="s">
        <v>479</v>
      </c>
      <c r="M758" s="154" t="s">
        <v>479</v>
      </c>
      <c r="N758" s="154" t="s">
        <v>479</v>
      </c>
      <c r="O758" s="154" t="s">
        <v>479</v>
      </c>
      <c r="P758" s="154" t="s">
        <v>424</v>
      </c>
      <c r="Q758" s="154" t="s">
        <v>479</v>
      </c>
      <c r="R758" s="154" t="s">
        <v>479</v>
      </c>
      <c r="S758" s="154" t="s">
        <v>479</v>
      </c>
      <c r="T758" s="154" t="s">
        <v>479</v>
      </c>
      <c r="U758" s="154" t="s">
        <v>479</v>
      </c>
      <c r="V758" s="154" t="s">
        <v>479</v>
      </c>
      <c r="W758" s="154" t="s">
        <v>479</v>
      </c>
      <c r="X758" s="154" t="s">
        <v>479</v>
      </c>
      <c r="Y758" s="154" t="s">
        <v>479</v>
      </c>
      <c r="Z758" s="154" t="s">
        <v>479</v>
      </c>
      <c r="AA758" s="154" t="s">
        <v>479</v>
      </c>
      <c r="AB758" s="154" t="s">
        <v>479</v>
      </c>
      <c r="AC758" s="154" t="s">
        <v>479</v>
      </c>
      <c r="AD758" s="154" t="s">
        <v>479</v>
      </c>
      <c r="AE758" s="154" t="s">
        <v>479</v>
      </c>
      <c r="AF758" s="154" t="s">
        <v>479</v>
      </c>
      <c r="AG758" s="154" t="s">
        <v>479</v>
      </c>
      <c r="AH758" s="154" t="s">
        <v>479</v>
      </c>
      <c r="AI758" s="154" t="s">
        <v>479</v>
      </c>
      <c r="AJ758" s="154" t="s">
        <v>479</v>
      </c>
      <c r="AK758" s="154" t="s">
        <v>479</v>
      </c>
      <c r="AL758" s="154" t="s">
        <v>424</v>
      </c>
      <c r="AS758">
        <v>758</v>
      </c>
    </row>
    <row r="759" spans="1:45" hidden="1" x14ac:dyDescent="0.25">
      <c r="A759">
        <v>758</v>
      </c>
      <c r="B759">
        <v>2025</v>
      </c>
      <c r="C759">
        <v>11</v>
      </c>
      <c r="D759" t="s">
        <v>273</v>
      </c>
      <c r="E759">
        <v>31</v>
      </c>
      <c r="F759">
        <v>10</v>
      </c>
      <c r="G759" t="s">
        <v>535</v>
      </c>
      <c r="H759" s="154">
        <v>0.75</v>
      </c>
      <c r="I759" s="154">
        <v>0.75</v>
      </c>
      <c r="J759" s="154">
        <v>0.875</v>
      </c>
      <c r="K759" s="154">
        <v>0.75</v>
      </c>
      <c r="L759" s="154">
        <v>1.1666666666666667</v>
      </c>
      <c r="M759" s="154">
        <v>0.75</v>
      </c>
      <c r="N759" s="154">
        <v>0.75</v>
      </c>
      <c r="O759" s="154">
        <v>1.1666666666666667</v>
      </c>
      <c r="P759" s="154" t="s">
        <v>424</v>
      </c>
      <c r="Q759" s="154">
        <v>0.75</v>
      </c>
      <c r="R759" s="154">
        <v>0.75</v>
      </c>
      <c r="S759" s="154">
        <v>0.75</v>
      </c>
      <c r="T759" s="154">
        <v>0.75</v>
      </c>
      <c r="U759" s="154">
        <v>0.79166666666666674</v>
      </c>
      <c r="V759" s="154">
        <v>1.125</v>
      </c>
      <c r="W759" s="154">
        <v>0.75</v>
      </c>
      <c r="X759" s="154">
        <v>0.79166666666666674</v>
      </c>
      <c r="Y759" s="154">
        <v>0.75</v>
      </c>
      <c r="Z759" s="154">
        <v>1.125</v>
      </c>
      <c r="AA759" s="154">
        <v>0.75</v>
      </c>
      <c r="AB759" s="154">
        <v>0.75</v>
      </c>
      <c r="AC759" s="154">
        <v>0.75</v>
      </c>
      <c r="AD759" s="154">
        <v>0.75</v>
      </c>
      <c r="AE759" s="154">
        <v>0.79166666666666674</v>
      </c>
      <c r="AF759" s="154">
        <v>0.75</v>
      </c>
      <c r="AG759" s="154">
        <v>0.75</v>
      </c>
      <c r="AH759" s="154">
        <v>0.875</v>
      </c>
      <c r="AI759" s="154">
        <v>0.75</v>
      </c>
      <c r="AJ759" s="154">
        <v>0.75</v>
      </c>
      <c r="AK759" s="154">
        <v>0.75</v>
      </c>
      <c r="AL759" s="154" t="s">
        <v>424</v>
      </c>
      <c r="AM759" cm="1">
        <f t="array" ref="AM759">SUM(_xlfn.LET(_xlpm.r,((IFERROR(H759:AL759-H758:AL758,0))*24)/10,IF(_xlpm.r&gt;1,1,_xlpm.r)))</f>
        <v>29</v>
      </c>
      <c r="AO759" cm="1">
        <f t="array" ref="AO759">SUM(IFERROR(MOD((H759:AL759-H758:AL758)*24,11),""))</f>
        <v>47</v>
      </c>
      <c r="AS759">
        <v>759</v>
      </c>
    </row>
    <row r="760" spans="1:45" hidden="1" x14ac:dyDescent="0.25">
      <c r="A760">
        <v>759</v>
      </c>
      <c r="B760">
        <v>2025</v>
      </c>
      <c r="C760">
        <v>11</v>
      </c>
      <c r="D760" t="s">
        <v>274</v>
      </c>
      <c r="E760">
        <v>31</v>
      </c>
      <c r="F760">
        <v>10</v>
      </c>
      <c r="G760" t="s">
        <v>534</v>
      </c>
      <c r="H760" s="154" t="s">
        <v>479</v>
      </c>
      <c r="I760" s="154" t="s">
        <v>479</v>
      </c>
      <c r="J760" s="154" t="s">
        <v>479</v>
      </c>
      <c r="K760" s="154" t="s">
        <v>479</v>
      </c>
      <c r="L760" s="154" t="s">
        <v>479</v>
      </c>
      <c r="M760" s="154" t="s">
        <v>479</v>
      </c>
      <c r="N760" s="154" t="s">
        <v>479</v>
      </c>
      <c r="O760" s="154" t="s">
        <v>479</v>
      </c>
      <c r="P760" s="154" t="s">
        <v>424</v>
      </c>
      <c r="Q760" s="154" t="s">
        <v>479</v>
      </c>
      <c r="R760" s="154" t="s">
        <v>479</v>
      </c>
      <c r="S760" s="154" t="s">
        <v>479</v>
      </c>
      <c r="T760" s="154" t="s">
        <v>479</v>
      </c>
      <c r="U760" s="154" t="s">
        <v>479</v>
      </c>
      <c r="V760" s="154" t="s">
        <v>479</v>
      </c>
      <c r="W760" s="154" t="s">
        <v>479</v>
      </c>
      <c r="X760" s="154" t="s">
        <v>479</v>
      </c>
      <c r="Y760" s="154" t="s">
        <v>479</v>
      </c>
      <c r="Z760" s="154" t="s">
        <v>479</v>
      </c>
      <c r="AA760" s="154" t="s">
        <v>479</v>
      </c>
      <c r="AB760" s="154" t="s">
        <v>479</v>
      </c>
      <c r="AC760" s="154" t="s">
        <v>479</v>
      </c>
      <c r="AD760" s="154" t="s">
        <v>424</v>
      </c>
      <c r="AE760" s="154" t="s">
        <v>479</v>
      </c>
      <c r="AF760" s="154" t="s">
        <v>479</v>
      </c>
      <c r="AG760" s="154" t="s">
        <v>479</v>
      </c>
      <c r="AH760" s="154" t="s">
        <v>479</v>
      </c>
      <c r="AI760" s="154" t="s">
        <v>479</v>
      </c>
      <c r="AJ760" s="154" t="s">
        <v>479</v>
      </c>
      <c r="AK760" s="154" t="s">
        <v>424</v>
      </c>
      <c r="AL760" s="154" t="s">
        <v>424</v>
      </c>
      <c r="AS760">
        <v>760</v>
      </c>
    </row>
    <row r="761" spans="1:45" hidden="1" x14ac:dyDescent="0.25">
      <c r="A761">
        <v>760</v>
      </c>
      <c r="B761">
        <v>2025</v>
      </c>
      <c r="C761">
        <v>11</v>
      </c>
      <c r="D761" t="s">
        <v>274</v>
      </c>
      <c r="E761">
        <v>31</v>
      </c>
      <c r="F761">
        <v>10</v>
      </c>
      <c r="G761" t="s">
        <v>535</v>
      </c>
      <c r="H761" s="154">
        <v>0.83333333333333326</v>
      </c>
      <c r="I761" s="154">
        <v>0.83333333333333326</v>
      </c>
      <c r="J761" s="154">
        <v>0.83333333333333326</v>
      </c>
      <c r="K761" s="154">
        <v>0.83333333333333326</v>
      </c>
      <c r="L761" s="154">
        <v>0.83333333333333326</v>
      </c>
      <c r="M761" s="154">
        <v>0.83333333333333326</v>
      </c>
      <c r="N761" s="154">
        <v>0.875</v>
      </c>
      <c r="O761" s="154">
        <v>0.83333333333333326</v>
      </c>
      <c r="P761" s="154" t="s">
        <v>424</v>
      </c>
      <c r="Q761" s="154">
        <v>0.83333333333333326</v>
      </c>
      <c r="R761" s="154">
        <v>0.83333333333333326</v>
      </c>
      <c r="S761" s="154">
        <v>0.83333333333333326</v>
      </c>
      <c r="T761" s="154">
        <v>0.83333333333333326</v>
      </c>
      <c r="U761" s="154">
        <v>0.83333333333333326</v>
      </c>
      <c r="V761" s="154">
        <v>0.83333333333333326</v>
      </c>
      <c r="W761" s="154">
        <v>0.83333333333333326</v>
      </c>
      <c r="X761" s="154">
        <v>0.83333333333333326</v>
      </c>
      <c r="Y761" s="154">
        <v>0.875</v>
      </c>
      <c r="Z761" s="154">
        <v>0.83333333333333326</v>
      </c>
      <c r="AA761" s="154">
        <v>0.83333333333333326</v>
      </c>
      <c r="AB761" s="154">
        <v>0.875</v>
      </c>
      <c r="AC761" s="154">
        <v>0.875</v>
      </c>
      <c r="AD761" s="154" t="s">
        <v>424</v>
      </c>
      <c r="AE761" s="154">
        <v>0.83333333333333326</v>
      </c>
      <c r="AF761" s="154">
        <v>0.83333333333333326</v>
      </c>
      <c r="AG761" s="154">
        <v>0.83333333333333326</v>
      </c>
      <c r="AH761" s="154">
        <v>0.83333333333333326</v>
      </c>
      <c r="AI761" s="154">
        <v>0.875</v>
      </c>
      <c r="AJ761" s="154">
        <v>0.875</v>
      </c>
      <c r="AK761" s="154" t="s">
        <v>424</v>
      </c>
      <c r="AL761" s="154" t="s">
        <v>424</v>
      </c>
      <c r="AM761" cm="1">
        <f t="array" ref="AM761">_xlfn.LET(_xlpm.x,SUM(_xlfn.LET(_xlpm.r,((IFERROR(H761:AL761-H760:AL760,0))*24)/10,IF(_xlpm.r&gt;1,1,_xlpm.r))),IF(_xlpm.x&gt;=27,30,_xlpm.x))</f>
        <v>30</v>
      </c>
      <c r="AO761" cm="1">
        <f t="array" ref="AO761">SUM(IFERROR(MOD((H761:AL761-H760:AL760)*24,11),""))</f>
        <v>59.999999999999943</v>
      </c>
      <c r="AS761">
        <v>761</v>
      </c>
    </row>
    <row r="762" spans="1:45" hidden="1" x14ac:dyDescent="0.25">
      <c r="A762">
        <v>761</v>
      </c>
      <c r="B762">
        <v>2025</v>
      </c>
      <c r="C762">
        <v>11</v>
      </c>
      <c r="D762" t="s">
        <v>270</v>
      </c>
      <c r="E762">
        <v>31</v>
      </c>
      <c r="F762">
        <v>10</v>
      </c>
      <c r="G762" t="s">
        <v>534</v>
      </c>
      <c r="H762" s="154" t="s">
        <v>479</v>
      </c>
      <c r="I762" s="154" t="s">
        <v>479</v>
      </c>
      <c r="J762" s="154" t="s">
        <v>479</v>
      </c>
      <c r="K762" s="154" t="s">
        <v>479</v>
      </c>
      <c r="L762" s="154" t="s">
        <v>479</v>
      </c>
      <c r="M762" s="154" t="s">
        <v>479</v>
      </c>
      <c r="N762" s="154" t="s">
        <v>479</v>
      </c>
      <c r="O762" s="154" t="s">
        <v>479</v>
      </c>
      <c r="P762" s="154" t="s">
        <v>424</v>
      </c>
      <c r="Q762" s="154" t="s">
        <v>479</v>
      </c>
      <c r="R762" s="154" t="s">
        <v>479</v>
      </c>
      <c r="S762" s="154" t="s">
        <v>479</v>
      </c>
      <c r="T762" s="154" t="s">
        <v>479</v>
      </c>
      <c r="U762" s="154" t="s">
        <v>479</v>
      </c>
      <c r="V762" s="154" t="s">
        <v>424</v>
      </c>
      <c r="W762" s="154" t="s">
        <v>424</v>
      </c>
      <c r="X762" s="154" t="s">
        <v>424</v>
      </c>
      <c r="Y762" s="154" t="s">
        <v>424</v>
      </c>
      <c r="Z762" s="154" t="s">
        <v>424</v>
      </c>
      <c r="AA762" s="154" t="s">
        <v>424</v>
      </c>
      <c r="AB762" s="154" t="s">
        <v>424</v>
      </c>
      <c r="AC762" s="154" t="s">
        <v>424</v>
      </c>
      <c r="AD762" s="154" t="s">
        <v>424</v>
      </c>
      <c r="AE762" s="154" t="s">
        <v>424</v>
      </c>
      <c r="AF762" s="154" t="s">
        <v>424</v>
      </c>
      <c r="AG762" s="154" t="s">
        <v>424</v>
      </c>
      <c r="AH762" s="154" t="s">
        <v>424</v>
      </c>
      <c r="AI762" s="154" t="s">
        <v>424</v>
      </c>
      <c r="AJ762" s="154" t="s">
        <v>424</v>
      </c>
      <c r="AK762" s="154" t="s">
        <v>424</v>
      </c>
      <c r="AL762" s="154" t="s">
        <v>424</v>
      </c>
      <c r="AS762">
        <v>762</v>
      </c>
    </row>
    <row r="763" spans="1:45" hidden="1" x14ac:dyDescent="0.25">
      <c r="A763">
        <v>762</v>
      </c>
      <c r="B763">
        <v>2025</v>
      </c>
      <c r="C763">
        <v>11</v>
      </c>
      <c r="D763" t="s">
        <v>270</v>
      </c>
      <c r="E763">
        <v>31</v>
      </c>
      <c r="F763">
        <v>10</v>
      </c>
      <c r="G763" t="s">
        <v>535</v>
      </c>
      <c r="H763" s="154">
        <v>0.75</v>
      </c>
      <c r="I763" s="154">
        <v>0.875</v>
      </c>
      <c r="J763" s="154">
        <v>0.875</v>
      </c>
      <c r="K763" s="154">
        <v>0.83333333333333326</v>
      </c>
      <c r="L763" s="154">
        <v>0.75</v>
      </c>
      <c r="M763" s="154">
        <v>0.875</v>
      </c>
      <c r="N763" s="154">
        <v>0.75</v>
      </c>
      <c r="O763" s="154">
        <v>0.75</v>
      </c>
      <c r="P763" s="154" t="s">
        <v>424</v>
      </c>
      <c r="Q763" s="154">
        <v>1</v>
      </c>
      <c r="R763" s="154">
        <v>0.875</v>
      </c>
      <c r="S763" s="154">
        <v>0.75</v>
      </c>
      <c r="T763" s="154">
        <v>0.79166666666666674</v>
      </c>
      <c r="U763" s="154">
        <v>0.75</v>
      </c>
      <c r="V763" s="154" t="s">
        <v>424</v>
      </c>
      <c r="W763" s="154" t="s">
        <v>424</v>
      </c>
      <c r="X763" s="154" t="s">
        <v>424</v>
      </c>
      <c r="Y763" s="154" t="s">
        <v>424</v>
      </c>
      <c r="Z763" s="154" t="s">
        <v>424</v>
      </c>
      <c r="AA763" s="154" t="s">
        <v>424</v>
      </c>
      <c r="AB763" s="154" t="s">
        <v>424</v>
      </c>
      <c r="AC763" s="154" t="s">
        <v>424</v>
      </c>
      <c r="AD763" s="154" t="s">
        <v>424</v>
      </c>
      <c r="AE763" s="154" t="s">
        <v>424</v>
      </c>
      <c r="AF763" s="154" t="s">
        <v>424</v>
      </c>
      <c r="AG763" s="154" t="s">
        <v>424</v>
      </c>
      <c r="AH763" s="154" t="s">
        <v>424</v>
      </c>
      <c r="AI763" s="154" t="s">
        <v>424</v>
      </c>
      <c r="AJ763" s="154" t="s">
        <v>424</v>
      </c>
      <c r="AK763" s="154" t="s">
        <v>424</v>
      </c>
      <c r="AL763" s="154" t="s">
        <v>424</v>
      </c>
      <c r="AM763" cm="1">
        <f t="array" ref="AM763">SUM(_xlfn.LET(_xlpm.r,((IFERROR(H763:AL763-H762:AL762,0))*24)/10,IF(_xlpm.r&gt;1,1,_xlpm.r)))</f>
        <v>13</v>
      </c>
      <c r="AO763" cm="1">
        <f t="array" ref="AO763">SUM(IFERROR(MOD((H763:AL763-H762:AL762)*24,11),""))</f>
        <v>20.999999999999993</v>
      </c>
      <c r="AS763">
        <v>763</v>
      </c>
    </row>
    <row r="764" spans="1:45" hidden="1" x14ac:dyDescent="0.25">
      <c r="A764">
        <v>763</v>
      </c>
      <c r="B764">
        <v>2025</v>
      </c>
      <c r="C764">
        <v>11</v>
      </c>
      <c r="D764" t="s">
        <v>248</v>
      </c>
      <c r="E764">
        <v>31</v>
      </c>
      <c r="F764">
        <v>10</v>
      </c>
      <c r="G764" t="s">
        <v>534</v>
      </c>
      <c r="H764" s="154" t="s">
        <v>479</v>
      </c>
      <c r="I764" s="154" t="s">
        <v>479</v>
      </c>
      <c r="J764" s="154" t="s">
        <v>479</v>
      </c>
      <c r="K764" s="154" t="s">
        <v>479</v>
      </c>
      <c r="L764" s="154" t="s">
        <v>479</v>
      </c>
      <c r="M764" s="154" t="s">
        <v>479</v>
      </c>
      <c r="N764" s="154" t="s">
        <v>479</v>
      </c>
      <c r="O764" s="154" t="s">
        <v>479</v>
      </c>
      <c r="P764" s="154" t="s">
        <v>424</v>
      </c>
      <c r="Q764" s="154" t="s">
        <v>479</v>
      </c>
      <c r="R764" s="154" t="s">
        <v>479</v>
      </c>
      <c r="S764" s="154" t="s">
        <v>479</v>
      </c>
      <c r="T764" s="154" t="s">
        <v>479</v>
      </c>
      <c r="U764" s="154" t="s">
        <v>479</v>
      </c>
      <c r="V764" s="154" t="s">
        <v>479</v>
      </c>
      <c r="W764" s="154" t="s">
        <v>479</v>
      </c>
      <c r="X764" s="154" t="s">
        <v>479</v>
      </c>
      <c r="Y764" s="154" t="s">
        <v>479</v>
      </c>
      <c r="Z764" s="154" t="s">
        <v>479</v>
      </c>
      <c r="AA764" s="154" t="s">
        <v>479</v>
      </c>
      <c r="AB764" s="154" t="s">
        <v>479</v>
      </c>
      <c r="AC764" s="154" t="s">
        <v>479</v>
      </c>
      <c r="AD764" s="154" t="s">
        <v>479</v>
      </c>
      <c r="AE764" s="154" t="s">
        <v>479</v>
      </c>
      <c r="AF764" s="154" t="s">
        <v>479</v>
      </c>
      <c r="AG764" s="154" t="s">
        <v>479</v>
      </c>
      <c r="AH764" s="154" t="s">
        <v>479</v>
      </c>
      <c r="AI764" s="154" t="s">
        <v>479</v>
      </c>
      <c r="AJ764" s="154" t="s">
        <v>479</v>
      </c>
      <c r="AK764" s="154" t="s">
        <v>479</v>
      </c>
      <c r="AL764" s="154" t="s">
        <v>424</v>
      </c>
      <c r="AS764">
        <v>764</v>
      </c>
    </row>
    <row r="765" spans="1:45" hidden="1" x14ac:dyDescent="0.25">
      <c r="A765">
        <v>764</v>
      </c>
      <c r="B765">
        <v>2025</v>
      </c>
      <c r="C765">
        <v>11</v>
      </c>
      <c r="D765" t="s">
        <v>248</v>
      </c>
      <c r="E765">
        <v>31</v>
      </c>
      <c r="F765">
        <v>10</v>
      </c>
      <c r="G765" t="s">
        <v>535</v>
      </c>
      <c r="H765" s="154" t="s">
        <v>493</v>
      </c>
      <c r="I765" s="154" t="s">
        <v>480</v>
      </c>
      <c r="J765" s="154" t="s">
        <v>494</v>
      </c>
      <c r="K765" s="154" t="s">
        <v>480</v>
      </c>
      <c r="L765" s="154" t="s">
        <v>494</v>
      </c>
      <c r="M765" s="154" t="s">
        <v>480</v>
      </c>
      <c r="N765" s="154" t="s">
        <v>493</v>
      </c>
      <c r="O765" s="154" t="s">
        <v>480</v>
      </c>
      <c r="P765" s="154" t="s">
        <v>424</v>
      </c>
      <c r="Q765" s="154" t="s">
        <v>493</v>
      </c>
      <c r="R765" s="154" t="s">
        <v>494</v>
      </c>
      <c r="S765" s="154" t="s">
        <v>480</v>
      </c>
      <c r="T765" s="154" t="s">
        <v>515</v>
      </c>
      <c r="U765" s="154" t="s">
        <v>494</v>
      </c>
      <c r="V765" s="154" t="s">
        <v>480</v>
      </c>
      <c r="W765" s="154" t="s">
        <v>524</v>
      </c>
      <c r="X765" s="154" t="s">
        <v>480</v>
      </c>
      <c r="Y765" s="154" t="s">
        <v>515</v>
      </c>
      <c r="Z765" s="154" t="s">
        <v>480</v>
      </c>
      <c r="AA765" s="154" t="s">
        <v>494</v>
      </c>
      <c r="AB765" s="154" t="s">
        <v>524</v>
      </c>
      <c r="AC765" s="154" t="s">
        <v>480</v>
      </c>
      <c r="AD765" s="154" t="s">
        <v>480</v>
      </c>
      <c r="AE765" s="154" t="s">
        <v>493</v>
      </c>
      <c r="AF765" s="154" t="s">
        <v>493</v>
      </c>
      <c r="AG765" s="154" t="s">
        <v>480</v>
      </c>
      <c r="AH765" s="154" t="s">
        <v>494</v>
      </c>
      <c r="AI765" s="154" t="s">
        <v>480</v>
      </c>
      <c r="AJ765" s="154" t="s">
        <v>480</v>
      </c>
      <c r="AK765" s="154" t="s">
        <v>480</v>
      </c>
      <c r="AL765" s="154" t="s">
        <v>424</v>
      </c>
      <c r="AM765" cm="1">
        <f t="array" ref="AM765">SUM(_xlfn.LET(_xlpm.r,((IFERROR(H765:AL765-H764:AL764,0))*24)/10,IF(_xlpm.r&gt;1,1,_xlpm.r)))</f>
        <v>29</v>
      </c>
      <c r="AO765" cm="1">
        <f t="array" ref="AO765">SUM(IFERROR(MOD((H765:AL765-H764:AL764)*24,11),""))</f>
        <v>46</v>
      </c>
      <c r="AS765">
        <v>765</v>
      </c>
    </row>
    <row r="766" spans="1:45" hidden="1" x14ac:dyDescent="0.25">
      <c r="A766">
        <v>765</v>
      </c>
      <c r="B766">
        <v>2025</v>
      </c>
      <c r="C766">
        <v>11</v>
      </c>
      <c r="D766" t="s">
        <v>232</v>
      </c>
      <c r="E766">
        <v>31</v>
      </c>
      <c r="F766">
        <v>10</v>
      </c>
      <c r="G766" t="s">
        <v>534</v>
      </c>
      <c r="H766" s="154" t="s">
        <v>479</v>
      </c>
      <c r="I766" s="154" t="s">
        <v>479</v>
      </c>
      <c r="J766" s="154" t="s">
        <v>479</v>
      </c>
      <c r="K766" s="154" t="s">
        <v>479</v>
      </c>
      <c r="L766" s="154" t="s">
        <v>479</v>
      </c>
      <c r="M766" s="154" t="s">
        <v>479</v>
      </c>
      <c r="N766" s="154" t="s">
        <v>479</v>
      </c>
      <c r="O766" s="154" t="s">
        <v>479</v>
      </c>
      <c r="P766" s="154" t="s">
        <v>424</v>
      </c>
      <c r="Q766" s="154" t="s">
        <v>479</v>
      </c>
      <c r="R766" s="154" t="s">
        <v>479</v>
      </c>
      <c r="S766" s="154" t="s">
        <v>479</v>
      </c>
      <c r="T766" s="154" t="s">
        <v>479</v>
      </c>
      <c r="U766" s="154" t="s">
        <v>479</v>
      </c>
      <c r="V766" s="154" t="s">
        <v>479</v>
      </c>
      <c r="W766" s="154" t="s">
        <v>479</v>
      </c>
      <c r="X766" s="154" t="s">
        <v>479</v>
      </c>
      <c r="Y766" s="154" t="s">
        <v>479</v>
      </c>
      <c r="Z766" s="154" t="s">
        <v>479</v>
      </c>
      <c r="AA766" s="154" t="s">
        <v>479</v>
      </c>
      <c r="AB766" s="154" t="s">
        <v>479</v>
      </c>
      <c r="AC766" s="154" t="s">
        <v>479</v>
      </c>
      <c r="AD766" s="154" t="s">
        <v>479</v>
      </c>
      <c r="AE766" s="154" t="s">
        <v>479</v>
      </c>
      <c r="AF766" s="154" t="s">
        <v>479</v>
      </c>
      <c r="AG766" s="154" t="s">
        <v>479</v>
      </c>
      <c r="AH766" s="154" t="s">
        <v>479</v>
      </c>
      <c r="AI766" s="154" t="s">
        <v>479</v>
      </c>
      <c r="AJ766" s="154" t="s">
        <v>479</v>
      </c>
      <c r="AK766" s="154" t="s">
        <v>479</v>
      </c>
      <c r="AL766" s="154" t="s">
        <v>424</v>
      </c>
      <c r="AS766">
        <v>766</v>
      </c>
    </row>
    <row r="767" spans="1:45" hidden="1" x14ac:dyDescent="0.25">
      <c r="A767">
        <v>766</v>
      </c>
      <c r="B767">
        <v>2025</v>
      </c>
      <c r="C767">
        <v>11</v>
      </c>
      <c r="D767" t="s">
        <v>232</v>
      </c>
      <c r="E767">
        <v>31</v>
      </c>
      <c r="F767">
        <v>10</v>
      </c>
      <c r="G767" t="s">
        <v>535</v>
      </c>
      <c r="H767" s="154">
        <v>0.91666666666666674</v>
      </c>
      <c r="I767" s="154">
        <v>0.75</v>
      </c>
      <c r="J767" s="154">
        <v>0.79166666666666674</v>
      </c>
      <c r="K767" s="154">
        <v>0.75</v>
      </c>
      <c r="L767" s="154">
        <v>0.75</v>
      </c>
      <c r="M767" s="154">
        <v>0.875</v>
      </c>
      <c r="N767" s="154">
        <v>0.75</v>
      </c>
      <c r="O767" s="154">
        <v>0.75</v>
      </c>
      <c r="P767" s="154" t="s">
        <v>424</v>
      </c>
      <c r="Q767" s="154">
        <v>0.91666666666666674</v>
      </c>
      <c r="R767" s="154">
        <v>0.75</v>
      </c>
      <c r="S767" s="154">
        <v>0.75</v>
      </c>
      <c r="T767" s="154">
        <v>0.75</v>
      </c>
      <c r="U767" s="154">
        <v>0.75</v>
      </c>
      <c r="V767" s="154">
        <v>0.91666666666666674</v>
      </c>
      <c r="W767" s="154">
        <v>0.75</v>
      </c>
      <c r="X767" s="154">
        <v>0.91666666666666674</v>
      </c>
      <c r="Y767" s="154">
        <v>0.75</v>
      </c>
      <c r="Z767" s="154">
        <v>0.75</v>
      </c>
      <c r="AA767" s="154">
        <v>0.75</v>
      </c>
      <c r="AB767" s="154">
        <v>0.75</v>
      </c>
      <c r="AC767" s="154">
        <v>0.75</v>
      </c>
      <c r="AD767" s="154">
        <v>0.75</v>
      </c>
      <c r="AE767" s="154">
        <v>0.75</v>
      </c>
      <c r="AF767" s="154">
        <v>0.875</v>
      </c>
      <c r="AG767" s="154">
        <v>1</v>
      </c>
      <c r="AH767" s="154">
        <v>0.75</v>
      </c>
      <c r="AI767" s="154">
        <v>0.75</v>
      </c>
      <c r="AJ767" s="154">
        <v>0.79166666666666674</v>
      </c>
      <c r="AK767" s="154">
        <v>0.75</v>
      </c>
      <c r="AL767" s="154" t="s">
        <v>424</v>
      </c>
      <c r="AM767" cm="1">
        <f t="array" ref="AM767">SUM(_xlfn.LET(_xlpm.r,((IFERROR(H767:AL767-H766:AL766,0))*24)/10,IF(_xlpm.r&gt;1,1,_xlpm.r)))</f>
        <v>29</v>
      </c>
      <c r="AO767" cm="1">
        <f t="array" ref="AO767">SUM(IFERROR(MOD((H767:AL767-H766:AL766)*24,11),""))</f>
        <v>30</v>
      </c>
      <c r="AS767">
        <v>767</v>
      </c>
    </row>
    <row r="768" spans="1:45" hidden="1" x14ac:dyDescent="0.25">
      <c r="A768">
        <v>767</v>
      </c>
      <c r="B768">
        <v>2025</v>
      </c>
      <c r="C768">
        <v>11</v>
      </c>
      <c r="D768" t="s">
        <v>263</v>
      </c>
      <c r="E768">
        <v>31</v>
      </c>
      <c r="F768">
        <v>10</v>
      </c>
      <c r="G768" t="s">
        <v>534</v>
      </c>
      <c r="H768" s="154" t="s">
        <v>479</v>
      </c>
      <c r="I768" s="154" t="s">
        <v>479</v>
      </c>
      <c r="J768" s="154" t="s">
        <v>479</v>
      </c>
      <c r="K768" s="154" t="s">
        <v>479</v>
      </c>
      <c r="L768" s="154" t="s">
        <v>479</v>
      </c>
      <c r="M768" s="154" t="s">
        <v>479</v>
      </c>
      <c r="N768" s="154" t="s">
        <v>479</v>
      </c>
      <c r="O768" s="154" t="s">
        <v>479</v>
      </c>
      <c r="P768" s="154" t="s">
        <v>424</v>
      </c>
      <c r="Q768" s="154" t="s">
        <v>479</v>
      </c>
      <c r="R768" s="154" t="s">
        <v>479</v>
      </c>
      <c r="S768" s="154" t="s">
        <v>479</v>
      </c>
      <c r="T768" s="154" t="s">
        <v>479</v>
      </c>
      <c r="U768" s="154" t="s">
        <v>479</v>
      </c>
      <c r="V768" s="154" t="s">
        <v>479</v>
      </c>
      <c r="W768" s="154" t="s">
        <v>479</v>
      </c>
      <c r="X768" s="154" t="s">
        <v>479</v>
      </c>
      <c r="Y768" s="154" t="s">
        <v>424</v>
      </c>
      <c r="Z768" s="154" t="s">
        <v>479</v>
      </c>
      <c r="AA768" s="154" t="s">
        <v>479</v>
      </c>
      <c r="AB768" s="154" t="s">
        <v>479</v>
      </c>
      <c r="AC768" s="154" t="s">
        <v>479</v>
      </c>
      <c r="AD768" s="154" t="s">
        <v>424</v>
      </c>
      <c r="AE768" s="154" t="s">
        <v>479</v>
      </c>
      <c r="AF768" s="154" t="s">
        <v>479</v>
      </c>
      <c r="AG768" s="154" t="s">
        <v>479</v>
      </c>
      <c r="AH768" s="154" t="s">
        <v>479</v>
      </c>
      <c r="AI768" s="154" t="s">
        <v>479</v>
      </c>
      <c r="AJ768" s="154" t="s">
        <v>479</v>
      </c>
      <c r="AK768" s="154" t="s">
        <v>479</v>
      </c>
      <c r="AL768" s="154" t="s">
        <v>424</v>
      </c>
      <c r="AS768">
        <v>768</v>
      </c>
    </row>
    <row r="769" spans="1:46" hidden="1" x14ac:dyDescent="0.25">
      <c r="A769">
        <v>768</v>
      </c>
      <c r="B769">
        <v>2025</v>
      </c>
      <c r="C769">
        <v>11</v>
      </c>
      <c r="D769" t="s">
        <v>263</v>
      </c>
      <c r="E769">
        <v>31</v>
      </c>
      <c r="F769">
        <v>10</v>
      </c>
      <c r="G769" t="s">
        <v>535</v>
      </c>
      <c r="H769" s="154">
        <v>0.25</v>
      </c>
      <c r="I769" s="154">
        <v>0.25</v>
      </c>
      <c r="J769" s="154">
        <v>0.25</v>
      </c>
      <c r="K769" s="154">
        <v>0.25</v>
      </c>
      <c r="L769" s="154">
        <v>0.25</v>
      </c>
      <c r="M769" s="154">
        <v>0.25</v>
      </c>
      <c r="N769" s="154">
        <v>0.25</v>
      </c>
      <c r="O769" s="154">
        <v>0.25</v>
      </c>
      <c r="P769" s="154" t="s">
        <v>424</v>
      </c>
      <c r="Q769" s="154">
        <v>0.75</v>
      </c>
      <c r="R769" s="154">
        <v>0.25</v>
      </c>
      <c r="S769" s="154">
        <v>0.25</v>
      </c>
      <c r="T769" s="154">
        <v>0.25</v>
      </c>
      <c r="U769" s="154">
        <v>0.25</v>
      </c>
      <c r="V769" s="154">
        <v>0.25</v>
      </c>
      <c r="W769" s="154">
        <v>0.25</v>
      </c>
      <c r="X769" s="154">
        <v>0.25</v>
      </c>
      <c r="Y769" s="154" t="s">
        <v>424</v>
      </c>
      <c r="Z769" s="154">
        <v>0.25</v>
      </c>
      <c r="AA769" s="154">
        <v>0.25</v>
      </c>
      <c r="AB769" s="154">
        <v>0.25</v>
      </c>
      <c r="AC769" s="154">
        <v>0.25</v>
      </c>
      <c r="AD769" s="154" t="s">
        <v>424</v>
      </c>
      <c r="AE769" s="154">
        <v>0.25</v>
      </c>
      <c r="AF769" s="154">
        <v>0.25</v>
      </c>
      <c r="AG769" s="154">
        <v>0.25</v>
      </c>
      <c r="AH769" s="154">
        <v>0.25</v>
      </c>
      <c r="AI769" s="154">
        <v>0.25</v>
      </c>
      <c r="AJ769" s="154">
        <v>0.25</v>
      </c>
      <c r="AK769" s="154">
        <v>0.25</v>
      </c>
      <c r="AL769" s="154" t="s">
        <v>424</v>
      </c>
      <c r="AM769" cm="1">
        <f t="array" ref="AM769">_xlfn.LET(_xlpm.r,IFERROR((H769:AL769-H768:AL768)*24,""),SUM(IF(_xlpm.r="",0,IF(_xlpm.r=-1,0,1))))</f>
        <v>1</v>
      </c>
      <c r="AN769" cm="1">
        <f t="array" ref="AN769">_xlfn.LET(_xlpm.r,IFERROR((H769:AL769-H768:AL768)*24,""),SUM(IF(_xlpm.r="",0,IF(_xlpm.r=-1,1,0))))</f>
        <v>26</v>
      </c>
      <c r="AO769" cm="1">
        <f t="array" ref="AO769">_xlfn.LET(_xlpm.r,SUM(IFERROR(MOD((H769:AL769-H768:AL768)*24,11),"")),_xlpm.r-AN769*10)</f>
        <v>0</v>
      </c>
      <c r="AS769">
        <v>769</v>
      </c>
    </row>
    <row r="770" spans="1:46" hidden="1" x14ac:dyDescent="0.25">
      <c r="A770">
        <v>769</v>
      </c>
      <c r="B770">
        <v>2025</v>
      </c>
      <c r="C770">
        <v>11</v>
      </c>
      <c r="D770" t="s">
        <v>279</v>
      </c>
      <c r="E770">
        <v>31</v>
      </c>
      <c r="F770">
        <v>10</v>
      </c>
      <c r="G770" t="s">
        <v>534</v>
      </c>
      <c r="H770" s="154" t="s">
        <v>479</v>
      </c>
      <c r="I770" s="154" t="s">
        <v>424</v>
      </c>
      <c r="J770" s="154" t="s">
        <v>479</v>
      </c>
      <c r="K770" s="154" t="s">
        <v>479</v>
      </c>
      <c r="L770" s="154" t="s">
        <v>479</v>
      </c>
      <c r="M770" s="154" t="s">
        <v>479</v>
      </c>
      <c r="N770" s="154" t="s">
        <v>479</v>
      </c>
      <c r="O770" s="154" t="s">
        <v>479</v>
      </c>
      <c r="P770" s="154" t="s">
        <v>424</v>
      </c>
      <c r="Q770" s="154" t="s">
        <v>479</v>
      </c>
      <c r="R770" s="154" t="s">
        <v>479</v>
      </c>
      <c r="S770" s="154" t="s">
        <v>479</v>
      </c>
      <c r="T770" s="154" t="s">
        <v>479</v>
      </c>
      <c r="U770" s="154" t="s">
        <v>479</v>
      </c>
      <c r="V770" s="154" t="s">
        <v>479</v>
      </c>
      <c r="W770" s="154" t="s">
        <v>479</v>
      </c>
      <c r="X770" s="154" t="s">
        <v>479</v>
      </c>
      <c r="Y770" s="154" t="s">
        <v>479</v>
      </c>
      <c r="Z770" s="154" t="s">
        <v>479</v>
      </c>
      <c r="AA770" s="154" t="s">
        <v>479</v>
      </c>
      <c r="AB770" s="154" t="s">
        <v>479</v>
      </c>
      <c r="AC770" s="154" t="s">
        <v>479</v>
      </c>
      <c r="AD770" s="154" t="s">
        <v>479</v>
      </c>
      <c r="AE770" s="154" t="s">
        <v>479</v>
      </c>
      <c r="AF770" s="154" t="s">
        <v>479</v>
      </c>
      <c r="AG770" s="154" t="s">
        <v>479</v>
      </c>
      <c r="AH770" s="154" t="s">
        <v>479</v>
      </c>
      <c r="AI770" s="154" t="s">
        <v>479</v>
      </c>
      <c r="AJ770" s="154" t="s">
        <v>479</v>
      </c>
      <c r="AK770" s="154" t="s">
        <v>479</v>
      </c>
      <c r="AL770" s="154" t="s">
        <v>424</v>
      </c>
      <c r="AS770">
        <v>770</v>
      </c>
    </row>
    <row r="771" spans="1:46" hidden="1" x14ac:dyDescent="0.25">
      <c r="A771">
        <v>770</v>
      </c>
      <c r="B771">
        <v>2025</v>
      </c>
      <c r="C771">
        <v>11</v>
      </c>
      <c r="D771" t="s">
        <v>279</v>
      </c>
      <c r="E771">
        <v>31</v>
      </c>
      <c r="F771">
        <v>10</v>
      </c>
      <c r="G771" t="s">
        <v>535</v>
      </c>
      <c r="H771" s="154" t="s">
        <v>494</v>
      </c>
      <c r="I771" s="154" t="s">
        <v>424</v>
      </c>
      <c r="J771" s="154" t="s">
        <v>493</v>
      </c>
      <c r="K771" s="154">
        <v>0.875</v>
      </c>
      <c r="L771" s="154" t="s">
        <v>493</v>
      </c>
      <c r="M771" s="154" t="s">
        <v>494</v>
      </c>
      <c r="N771" s="154" t="s">
        <v>493</v>
      </c>
      <c r="O771" s="154" t="s">
        <v>493</v>
      </c>
      <c r="P771" s="154" t="s">
        <v>424</v>
      </c>
      <c r="Q771" s="154" t="s">
        <v>493</v>
      </c>
      <c r="R771" s="154" t="s">
        <v>494</v>
      </c>
      <c r="S771" s="154" t="s">
        <v>493</v>
      </c>
      <c r="T771" s="154" t="s">
        <v>494</v>
      </c>
      <c r="U771" s="154" t="s">
        <v>493</v>
      </c>
      <c r="V771" s="154" t="s">
        <v>494</v>
      </c>
      <c r="W771" s="154" t="s">
        <v>493</v>
      </c>
      <c r="X771" s="154" t="s">
        <v>493</v>
      </c>
      <c r="Y771" s="154" t="s">
        <v>494</v>
      </c>
      <c r="Z771" s="154" t="s">
        <v>493</v>
      </c>
      <c r="AA771" s="154" t="s">
        <v>494</v>
      </c>
      <c r="AB771" s="154" t="s">
        <v>493</v>
      </c>
      <c r="AC771" s="154" t="s">
        <v>493</v>
      </c>
      <c r="AD771" s="154" t="s">
        <v>493</v>
      </c>
      <c r="AE771" s="154" t="s">
        <v>493</v>
      </c>
      <c r="AF771" s="154" t="s">
        <v>494</v>
      </c>
      <c r="AG771" s="154" t="s">
        <v>494</v>
      </c>
      <c r="AH771" s="154" t="s">
        <v>493</v>
      </c>
      <c r="AI771" s="154" t="s">
        <v>494</v>
      </c>
      <c r="AJ771" s="154" t="s">
        <v>493</v>
      </c>
      <c r="AK771" s="154" t="s">
        <v>480</v>
      </c>
      <c r="AL771" s="154" t="s">
        <v>424</v>
      </c>
      <c r="AM771" cm="1">
        <f t="array" ref="AM771">SUM(_xlfn.LET(_xlpm.r,((IFERROR(H771:AL771-H770:AL770,0))*24)/10,IF(_xlpm.r&gt;1,1,_xlpm.r)))</f>
        <v>28</v>
      </c>
      <c r="AO771" cm="1">
        <f t="array" ref="AO771">SUM(IFERROR(MOD((H771:AL771-H770:AL770)*24,11),""))</f>
        <v>65</v>
      </c>
      <c r="AS771">
        <v>771</v>
      </c>
    </row>
    <row r="772" spans="1:46" hidden="1" x14ac:dyDescent="0.25">
      <c r="A772">
        <v>771</v>
      </c>
      <c r="B772">
        <v>2025</v>
      </c>
      <c r="C772">
        <v>11</v>
      </c>
      <c r="D772" t="s">
        <v>272</v>
      </c>
      <c r="E772">
        <v>31</v>
      </c>
      <c r="F772">
        <v>10</v>
      </c>
      <c r="G772" t="s">
        <v>534</v>
      </c>
      <c r="H772" s="154" t="s">
        <v>479</v>
      </c>
      <c r="I772" s="154" t="s">
        <v>479</v>
      </c>
      <c r="J772" s="154" t="s">
        <v>479</v>
      </c>
      <c r="K772" s="154" t="s">
        <v>479</v>
      </c>
      <c r="L772" s="154" t="s">
        <v>479</v>
      </c>
      <c r="M772" s="154" t="s">
        <v>479</v>
      </c>
      <c r="N772" s="154" t="s">
        <v>479</v>
      </c>
      <c r="O772" s="154" t="s">
        <v>479</v>
      </c>
      <c r="P772" s="154" t="s">
        <v>424</v>
      </c>
      <c r="Q772" s="154" t="s">
        <v>479</v>
      </c>
      <c r="R772" s="154" t="s">
        <v>479</v>
      </c>
      <c r="S772" s="154" t="s">
        <v>479</v>
      </c>
      <c r="T772" s="154" t="s">
        <v>479</v>
      </c>
      <c r="U772" s="154" t="s">
        <v>479</v>
      </c>
      <c r="V772" s="154" t="s">
        <v>479</v>
      </c>
      <c r="W772" s="154" t="s">
        <v>479</v>
      </c>
      <c r="X772" s="154" t="s">
        <v>479</v>
      </c>
      <c r="Y772" s="154" t="s">
        <v>479</v>
      </c>
      <c r="Z772" s="154" t="s">
        <v>479</v>
      </c>
      <c r="AA772" s="154" t="s">
        <v>479</v>
      </c>
      <c r="AB772" s="154" t="s">
        <v>479</v>
      </c>
      <c r="AC772" s="154" t="s">
        <v>479</v>
      </c>
      <c r="AD772" s="154" t="s">
        <v>479</v>
      </c>
      <c r="AE772" s="154" t="s">
        <v>479</v>
      </c>
      <c r="AF772" s="154" t="s">
        <v>479</v>
      </c>
      <c r="AG772" s="154" t="s">
        <v>479</v>
      </c>
      <c r="AH772" s="154" t="s">
        <v>479</v>
      </c>
      <c r="AI772" s="154" t="s">
        <v>479</v>
      </c>
      <c r="AJ772" s="154" t="s">
        <v>479</v>
      </c>
      <c r="AK772" s="154" t="s">
        <v>479</v>
      </c>
      <c r="AL772" s="154" t="s">
        <v>424</v>
      </c>
      <c r="AS772">
        <v>772</v>
      </c>
    </row>
    <row r="773" spans="1:46" hidden="1" x14ac:dyDescent="0.25">
      <c r="A773">
        <v>772</v>
      </c>
      <c r="B773">
        <v>2025</v>
      </c>
      <c r="C773">
        <v>11</v>
      </c>
      <c r="D773" t="s">
        <v>272</v>
      </c>
      <c r="E773">
        <v>31</v>
      </c>
      <c r="F773">
        <v>10</v>
      </c>
      <c r="G773" t="s">
        <v>535</v>
      </c>
      <c r="H773" s="154">
        <v>1</v>
      </c>
      <c r="I773" s="154">
        <v>0.75</v>
      </c>
      <c r="J773" s="154">
        <v>0.75</v>
      </c>
      <c r="K773" s="154">
        <v>0.83333333333333326</v>
      </c>
      <c r="L773" s="154">
        <v>0.95833333333333326</v>
      </c>
      <c r="M773" s="154">
        <v>1.1666666666666667</v>
      </c>
      <c r="N773" s="154">
        <v>1.125</v>
      </c>
      <c r="O773" s="154">
        <v>0.75</v>
      </c>
      <c r="P773" s="154" t="s">
        <v>424</v>
      </c>
      <c r="Q773" s="154">
        <v>1.1666666666666667</v>
      </c>
      <c r="R773" s="154">
        <v>1.1666666666666667</v>
      </c>
      <c r="S773" s="154">
        <v>0.91666666666666674</v>
      </c>
      <c r="T773" s="154">
        <v>1</v>
      </c>
      <c r="U773" s="154">
        <v>0.83333333333333326</v>
      </c>
      <c r="V773" s="154">
        <v>0.75</v>
      </c>
      <c r="W773" s="154">
        <v>0.75</v>
      </c>
      <c r="X773" s="154">
        <v>0.75</v>
      </c>
      <c r="Y773" s="154">
        <v>0.75</v>
      </c>
      <c r="Z773" s="154">
        <v>0.75</v>
      </c>
      <c r="AA773" s="154">
        <v>0.75</v>
      </c>
      <c r="AB773" s="154">
        <v>0.83333333333333326</v>
      </c>
      <c r="AC773" s="154">
        <v>0.75</v>
      </c>
      <c r="AD773" s="154">
        <v>0.75</v>
      </c>
      <c r="AE773" s="154">
        <v>0.75</v>
      </c>
      <c r="AF773" s="154">
        <v>0.83333333333333326</v>
      </c>
      <c r="AG773" s="154">
        <v>0.75</v>
      </c>
      <c r="AH773" s="154">
        <v>0.875</v>
      </c>
      <c r="AI773" s="154">
        <v>0.75</v>
      </c>
      <c r="AJ773" s="154">
        <v>0.75</v>
      </c>
      <c r="AK773" s="154">
        <v>0.75</v>
      </c>
      <c r="AL773" s="154" t="s">
        <v>424</v>
      </c>
      <c r="AM773" cm="1">
        <f t="array" ref="AM773">SUM(_xlfn.LET(_xlpm.r,((IFERROR(H773:AL773-H772:AL772,0))*24)/10,IF(_xlpm.r&gt;1,1,_xlpm.r)))</f>
        <v>29</v>
      </c>
      <c r="AO773" cm="1">
        <f t="array" ref="AO773">SUM(IFERROR(MOD((H773:AL773-H772:AL772)*24,11),""))</f>
        <v>70.999999999999986</v>
      </c>
      <c r="AS773">
        <v>773</v>
      </c>
    </row>
    <row r="774" spans="1:46" hidden="1" x14ac:dyDescent="0.25">
      <c r="A774">
        <v>773</v>
      </c>
      <c r="B774">
        <v>2025</v>
      </c>
      <c r="C774">
        <v>11</v>
      </c>
      <c r="D774" t="s">
        <v>268</v>
      </c>
      <c r="E774">
        <v>31</v>
      </c>
      <c r="F774">
        <v>10</v>
      </c>
      <c r="G774" t="s">
        <v>534</v>
      </c>
      <c r="H774" s="154" t="s">
        <v>479</v>
      </c>
      <c r="I774" s="154" t="s">
        <v>479</v>
      </c>
      <c r="J774" s="154" t="s">
        <v>479</v>
      </c>
      <c r="K774" s="154" t="s">
        <v>479</v>
      </c>
      <c r="L774" s="154" t="s">
        <v>479</v>
      </c>
      <c r="M774" s="154" t="s">
        <v>479</v>
      </c>
      <c r="N774" s="154" t="s">
        <v>479</v>
      </c>
      <c r="O774" s="154" t="s">
        <v>479</v>
      </c>
      <c r="P774" s="154" t="s">
        <v>424</v>
      </c>
      <c r="Q774" s="154" t="s">
        <v>479</v>
      </c>
      <c r="R774" s="154" t="s">
        <v>479</v>
      </c>
      <c r="S774" s="154" t="s">
        <v>479</v>
      </c>
      <c r="T774" s="154" t="s">
        <v>479</v>
      </c>
      <c r="U774" s="154" t="s">
        <v>479</v>
      </c>
      <c r="V774" s="154" t="s">
        <v>479</v>
      </c>
      <c r="W774" s="154" t="s">
        <v>479</v>
      </c>
      <c r="X774" s="154" t="s">
        <v>479</v>
      </c>
      <c r="Y774" s="154" t="s">
        <v>479</v>
      </c>
      <c r="Z774" s="154" t="s">
        <v>479</v>
      </c>
      <c r="AA774" s="154" t="s">
        <v>479</v>
      </c>
      <c r="AB774" s="154" t="s">
        <v>479</v>
      </c>
      <c r="AC774" s="154" t="s">
        <v>479</v>
      </c>
      <c r="AD774" s="154" t="s">
        <v>479</v>
      </c>
      <c r="AE774" s="154" t="s">
        <v>479</v>
      </c>
      <c r="AF774" s="154" t="s">
        <v>479</v>
      </c>
      <c r="AG774" s="154" t="s">
        <v>479</v>
      </c>
      <c r="AH774" s="154" t="s">
        <v>479</v>
      </c>
      <c r="AI774" s="154" t="s">
        <v>479</v>
      </c>
      <c r="AJ774" s="154" t="s">
        <v>479</v>
      </c>
      <c r="AK774" s="154" t="s">
        <v>479</v>
      </c>
      <c r="AL774" s="154" t="s">
        <v>424</v>
      </c>
      <c r="AS774">
        <v>774</v>
      </c>
    </row>
    <row r="775" spans="1:46" hidden="1" x14ac:dyDescent="0.25">
      <c r="A775">
        <v>774</v>
      </c>
      <c r="B775">
        <v>2025</v>
      </c>
      <c r="C775">
        <v>11</v>
      </c>
      <c r="D775" t="s">
        <v>268</v>
      </c>
      <c r="E775">
        <v>31</v>
      </c>
      <c r="F775">
        <v>10</v>
      </c>
      <c r="G775" t="s">
        <v>535</v>
      </c>
      <c r="H775" s="154">
        <v>0.83333333333333326</v>
      </c>
      <c r="I775" s="154">
        <v>0.83333333333333326</v>
      </c>
      <c r="J775" s="154">
        <v>0.83333333333333326</v>
      </c>
      <c r="K775" s="154">
        <v>0.83333333333333326</v>
      </c>
      <c r="L775" s="154">
        <v>0.83333333333333326</v>
      </c>
      <c r="M775" s="154">
        <v>0.83333333333333326</v>
      </c>
      <c r="N775" s="154">
        <v>0.83333333333333326</v>
      </c>
      <c r="O775" s="154">
        <v>0.83333333333333326</v>
      </c>
      <c r="P775" s="154" t="s">
        <v>424</v>
      </c>
      <c r="Q775" s="154">
        <v>0.83333333333333326</v>
      </c>
      <c r="R775" s="154">
        <v>0.83333333333333326</v>
      </c>
      <c r="S775" s="154">
        <v>0.83333333333333326</v>
      </c>
      <c r="T775" s="154">
        <v>0.83333333333333326</v>
      </c>
      <c r="U775" s="154">
        <v>0.83333333333333326</v>
      </c>
      <c r="V775" s="154">
        <v>0.83333333333333326</v>
      </c>
      <c r="W775" s="154">
        <v>0.83333333333333326</v>
      </c>
      <c r="X775" s="154">
        <v>0.83333333333333326</v>
      </c>
      <c r="Y775" s="154">
        <v>0.83333333333333326</v>
      </c>
      <c r="Z775" s="154">
        <v>0.83333333333333326</v>
      </c>
      <c r="AA775" s="154">
        <v>0.83333333333333326</v>
      </c>
      <c r="AB775" s="154">
        <v>0.83333333333333326</v>
      </c>
      <c r="AC775" s="154">
        <v>0.83333333333333326</v>
      </c>
      <c r="AD775" s="154">
        <v>0.83333333333333326</v>
      </c>
      <c r="AE775" s="154">
        <v>0.83333333333333326</v>
      </c>
      <c r="AF775" s="154">
        <v>0.83333333333333326</v>
      </c>
      <c r="AG775" s="154">
        <v>0.91666666666666674</v>
      </c>
      <c r="AH775" s="154">
        <v>0.83333333333333326</v>
      </c>
      <c r="AI775" s="154">
        <v>0.91666666666666674</v>
      </c>
      <c r="AJ775" s="154">
        <v>0.83333333333333326</v>
      </c>
      <c r="AK775" s="154">
        <v>0.75</v>
      </c>
      <c r="AL775" s="154" t="s">
        <v>424</v>
      </c>
      <c r="AM775" cm="1">
        <f t="array" ref="AM775">SUM(_xlfn.LET(_xlpm.r,((IFERROR(H775:AL775-H774:AL774,0))*24)/10,IF(_xlpm.r&gt;1,1,_xlpm.r)))</f>
        <v>29</v>
      </c>
      <c r="AO775" cm="1">
        <f t="array" ref="AO775">SUM(IFERROR(MOD((H775:AL775-H774:AL774)*24,11),""))</f>
        <v>59.999999999999943</v>
      </c>
      <c r="AS775">
        <v>775</v>
      </c>
    </row>
    <row r="776" spans="1:46" hidden="1" x14ac:dyDescent="0.25">
      <c r="A776">
        <v>775</v>
      </c>
      <c r="B776">
        <v>2025</v>
      </c>
      <c r="C776">
        <v>11</v>
      </c>
      <c r="D776" t="s">
        <v>267</v>
      </c>
      <c r="E776">
        <v>31</v>
      </c>
      <c r="F776">
        <v>10</v>
      </c>
      <c r="G776" t="s">
        <v>534</v>
      </c>
      <c r="H776" s="154" t="s">
        <v>511</v>
      </c>
      <c r="I776" s="154" t="s">
        <v>511</v>
      </c>
      <c r="J776" s="154" t="s">
        <v>511</v>
      </c>
      <c r="K776" s="154" t="s">
        <v>511</v>
      </c>
      <c r="L776" s="154" t="s">
        <v>511</v>
      </c>
      <c r="M776" s="154" t="s">
        <v>511</v>
      </c>
      <c r="N776" s="154" t="s">
        <v>511</v>
      </c>
      <c r="O776" s="154" t="s">
        <v>511</v>
      </c>
      <c r="P776" s="154" t="s">
        <v>511</v>
      </c>
      <c r="Q776" s="154" t="s">
        <v>511</v>
      </c>
      <c r="R776" s="154" t="s">
        <v>511</v>
      </c>
      <c r="S776" s="154" t="s">
        <v>511</v>
      </c>
      <c r="T776" s="154" t="s">
        <v>511</v>
      </c>
      <c r="U776" s="154" t="s">
        <v>511</v>
      </c>
      <c r="V776" s="154" t="s">
        <v>511</v>
      </c>
      <c r="W776" s="154" t="s">
        <v>424</v>
      </c>
      <c r="X776" s="154" t="s">
        <v>511</v>
      </c>
      <c r="Y776" s="154" t="s">
        <v>511</v>
      </c>
      <c r="Z776" s="154" t="s">
        <v>511</v>
      </c>
      <c r="AA776" s="154" t="s">
        <v>511</v>
      </c>
      <c r="AB776" s="154" t="s">
        <v>511</v>
      </c>
      <c r="AC776" s="154" t="s">
        <v>511</v>
      </c>
      <c r="AD776" s="154" t="s">
        <v>511</v>
      </c>
      <c r="AE776" s="154" t="s">
        <v>511</v>
      </c>
      <c r="AF776" s="154" t="s">
        <v>511</v>
      </c>
      <c r="AG776" s="154" t="s">
        <v>511</v>
      </c>
      <c r="AH776" s="154" t="s">
        <v>511</v>
      </c>
      <c r="AI776" s="154" t="s">
        <v>511</v>
      </c>
      <c r="AJ776" s="154" t="s">
        <v>511</v>
      </c>
      <c r="AK776" s="154" t="s">
        <v>511</v>
      </c>
      <c r="AL776" s="154" t="s">
        <v>424</v>
      </c>
      <c r="AS776">
        <v>776</v>
      </c>
    </row>
    <row r="777" spans="1:46" hidden="1" x14ac:dyDescent="0.25">
      <c r="A777">
        <v>776</v>
      </c>
      <c r="B777">
        <v>2025</v>
      </c>
      <c r="C777">
        <v>11</v>
      </c>
      <c r="D777" t="s">
        <v>267</v>
      </c>
      <c r="E777">
        <v>31</v>
      </c>
      <c r="F777">
        <v>10</v>
      </c>
      <c r="G777" t="s">
        <v>535</v>
      </c>
      <c r="H777" s="154">
        <v>0.85416666666666663</v>
      </c>
      <c r="I777" s="154">
        <v>0.85416666666666663</v>
      </c>
      <c r="J777" s="154">
        <v>0.85416666666666663</v>
      </c>
      <c r="K777" s="154">
        <v>0.85416666666666663</v>
      </c>
      <c r="L777" s="154">
        <v>0.85416666666666663</v>
      </c>
      <c r="M777" s="154">
        <v>0.85416666666666663</v>
      </c>
      <c r="N777" s="154">
        <v>0.85416666666666663</v>
      </c>
      <c r="O777" s="154">
        <v>0.85416666666666663</v>
      </c>
      <c r="P777" s="154">
        <v>0.85416666666666663</v>
      </c>
      <c r="Q777" s="154">
        <v>0.85416666666666663</v>
      </c>
      <c r="R777" s="154">
        <v>0.85416666666666663</v>
      </c>
      <c r="S777" s="154">
        <v>0.85416666666666663</v>
      </c>
      <c r="T777" s="154">
        <v>0.85416666666666663</v>
      </c>
      <c r="U777" s="154">
        <v>0.85416666666666663</v>
      </c>
      <c r="V777" s="154">
        <v>0.85416666666666663</v>
      </c>
      <c r="W777" s="154" t="s">
        <v>424</v>
      </c>
      <c r="X777" s="154">
        <v>0.85416666666666663</v>
      </c>
      <c r="Y777" s="154">
        <v>0.85416666666666663</v>
      </c>
      <c r="Z777" s="154">
        <v>0.85416666666666663</v>
      </c>
      <c r="AA777" s="154">
        <v>0.85416666666666663</v>
      </c>
      <c r="AB777" s="154">
        <v>0.85416666666666663</v>
      </c>
      <c r="AC777" s="154">
        <v>0.85416666666666663</v>
      </c>
      <c r="AD777" s="154">
        <v>0.85416666666666663</v>
      </c>
      <c r="AE777" s="154">
        <v>0.85416666666666663</v>
      </c>
      <c r="AF777" s="154">
        <v>0.85416666666666663</v>
      </c>
      <c r="AG777" s="154">
        <v>0.85416666666666663</v>
      </c>
      <c r="AH777" s="154">
        <v>0.85416666666666663</v>
      </c>
      <c r="AI777" s="154">
        <v>0.85416666666666663</v>
      </c>
      <c r="AJ777" s="154">
        <v>0.85416666666666663</v>
      </c>
      <c r="AK777" s="154">
        <v>0.85416666666666663</v>
      </c>
      <c r="AL777" s="154" t="s">
        <v>424</v>
      </c>
      <c r="AM777" cm="1">
        <f t="array" ref="AM777">SUM(_xlfn.LET(_xlpm.r,((IFERROR(H777:AL777-H776:AL776,0))*24)/10,IF(_xlpm.r&gt;1,1,_xlpm.r)))</f>
        <v>29</v>
      </c>
      <c r="AO777" cm="1">
        <f t="array" ref="AO777">SUM(IFERROR(MOD((H777:AL777-H776:AL776)*24,11),""))</f>
        <v>86.999999999999986</v>
      </c>
      <c r="AS777">
        <v>777</v>
      </c>
    </row>
    <row r="778" spans="1:46" hidden="1" x14ac:dyDescent="0.25">
      <c r="A778">
        <v>777</v>
      </c>
      <c r="B778">
        <v>2025</v>
      </c>
      <c r="C778">
        <v>11</v>
      </c>
      <c r="D778" t="s">
        <v>234</v>
      </c>
      <c r="E778">
        <v>31</v>
      </c>
      <c r="F778">
        <v>10</v>
      </c>
      <c r="G778" t="s">
        <v>534</v>
      </c>
      <c r="H778" s="154" t="s">
        <v>479</v>
      </c>
      <c r="I778" s="154" t="s">
        <v>479</v>
      </c>
      <c r="J778" s="154" t="s">
        <v>479</v>
      </c>
      <c r="K778" s="154" t="s">
        <v>479</v>
      </c>
      <c r="L778" s="154" t="s">
        <v>479</v>
      </c>
      <c r="M778" s="154" t="s">
        <v>479</v>
      </c>
      <c r="N778" s="154" t="s">
        <v>479</v>
      </c>
      <c r="O778" s="154" t="s">
        <v>479</v>
      </c>
      <c r="P778" s="154" t="s">
        <v>479</v>
      </c>
      <c r="Q778" s="154" t="s">
        <v>479</v>
      </c>
      <c r="R778" s="154" t="s">
        <v>479</v>
      </c>
      <c r="S778" s="154" t="s">
        <v>479</v>
      </c>
      <c r="T778" s="154" t="s">
        <v>479</v>
      </c>
      <c r="U778" s="154" t="s">
        <v>479</v>
      </c>
      <c r="V778" s="154" t="s">
        <v>479</v>
      </c>
      <c r="W778" s="154" t="s">
        <v>479</v>
      </c>
      <c r="X778" s="154" t="s">
        <v>479</v>
      </c>
      <c r="Y778" s="154" t="s">
        <v>479</v>
      </c>
      <c r="Z778" s="154" t="s">
        <v>479</v>
      </c>
      <c r="AA778" s="154" t="s">
        <v>479</v>
      </c>
      <c r="AB778" s="154" t="s">
        <v>479</v>
      </c>
      <c r="AC778" s="154" t="s">
        <v>479</v>
      </c>
      <c r="AD778" s="154" t="s">
        <v>424</v>
      </c>
      <c r="AE778" s="154" t="s">
        <v>479</v>
      </c>
      <c r="AF778" s="154" t="s">
        <v>479</v>
      </c>
      <c r="AG778" s="154" t="s">
        <v>479</v>
      </c>
      <c r="AH778" s="154" t="s">
        <v>479</v>
      </c>
      <c r="AI778" s="154" t="s">
        <v>479</v>
      </c>
      <c r="AJ778" s="154" t="s">
        <v>479</v>
      </c>
      <c r="AK778" s="154" t="s">
        <v>479</v>
      </c>
      <c r="AL778" s="154" t="s">
        <v>424</v>
      </c>
      <c r="AS778">
        <v>778</v>
      </c>
    </row>
    <row r="779" spans="1:46" hidden="1" x14ac:dyDescent="0.25">
      <c r="A779">
        <v>778</v>
      </c>
      <c r="B779">
        <v>2025</v>
      </c>
      <c r="C779">
        <v>11</v>
      </c>
      <c r="D779" t="s">
        <v>234</v>
      </c>
      <c r="E779">
        <v>31</v>
      </c>
      <c r="F779">
        <v>10</v>
      </c>
      <c r="G779" t="s">
        <v>535</v>
      </c>
      <c r="H779" s="154" t="s">
        <v>515</v>
      </c>
      <c r="I779" s="154" t="s">
        <v>480</v>
      </c>
      <c r="J779" s="154" t="s">
        <v>480</v>
      </c>
      <c r="K779" s="154" t="s">
        <v>492</v>
      </c>
      <c r="L779" s="154" t="s">
        <v>480</v>
      </c>
      <c r="M779" s="154" t="s">
        <v>480</v>
      </c>
      <c r="N779" s="154" t="s">
        <v>493</v>
      </c>
      <c r="O779" s="154" t="s">
        <v>480</v>
      </c>
      <c r="P779" s="154" t="s">
        <v>492</v>
      </c>
      <c r="Q779" s="154" t="s">
        <v>492</v>
      </c>
      <c r="R779" s="154" t="s">
        <v>492</v>
      </c>
      <c r="S779" s="154" t="s">
        <v>494</v>
      </c>
      <c r="T779" s="154" t="s">
        <v>492</v>
      </c>
      <c r="U779" s="154" t="s">
        <v>480</v>
      </c>
      <c r="V779" s="154" t="s">
        <v>493</v>
      </c>
      <c r="W779" s="154" t="s">
        <v>515</v>
      </c>
      <c r="X779" s="154" t="s">
        <v>492</v>
      </c>
      <c r="Y779" s="154" t="s">
        <v>480</v>
      </c>
      <c r="Z779" s="154" t="s">
        <v>492</v>
      </c>
      <c r="AA779" s="154" t="s">
        <v>494</v>
      </c>
      <c r="AB779" s="154" t="s">
        <v>492</v>
      </c>
      <c r="AC779" s="154" t="s">
        <v>493</v>
      </c>
      <c r="AD779" s="154" t="s">
        <v>424</v>
      </c>
      <c r="AE779" s="154" t="s">
        <v>493</v>
      </c>
      <c r="AF779" s="154" t="s">
        <v>493</v>
      </c>
      <c r="AG779" s="154" t="s">
        <v>492</v>
      </c>
      <c r="AH779" s="154" t="s">
        <v>493</v>
      </c>
      <c r="AI779" s="154" t="s">
        <v>480</v>
      </c>
      <c r="AJ779" s="154" t="s">
        <v>493</v>
      </c>
      <c r="AK779" s="154" t="s">
        <v>480</v>
      </c>
      <c r="AL779" s="154" t="s">
        <v>424</v>
      </c>
      <c r="AM779" cm="1">
        <f t="array" ref="AM779">SUM(_xlfn.LET(_xlpm.r,((IFERROR(H779:AL779-H778:AL778,0))*24)/10,IF(_xlpm.r&gt;1,1,_xlpm.r)))</f>
        <v>29</v>
      </c>
      <c r="AO779" cm="1">
        <f t="array" ref="AO779">SUM(IFERROR(MOD((H779:AL779-H778:AL778)*24,11),""))</f>
        <v>36.999999999999993</v>
      </c>
      <c r="AS779">
        <v>779</v>
      </c>
    </row>
    <row r="780" spans="1:46" hidden="1" x14ac:dyDescent="0.25">
      <c r="A780">
        <v>779</v>
      </c>
      <c r="B780">
        <v>2025</v>
      </c>
      <c r="C780">
        <v>11</v>
      </c>
      <c r="D780" t="s">
        <v>278</v>
      </c>
      <c r="E780">
        <v>31</v>
      </c>
      <c r="F780">
        <v>10</v>
      </c>
      <c r="G780" t="s">
        <v>534</v>
      </c>
      <c r="H780" s="154" t="s">
        <v>479</v>
      </c>
      <c r="I780" s="154" t="s">
        <v>479</v>
      </c>
      <c r="J780" s="154" t="s">
        <v>479</v>
      </c>
      <c r="K780" s="154" t="s">
        <v>524</v>
      </c>
      <c r="L780" s="154" t="s">
        <v>528</v>
      </c>
      <c r="M780" s="154" t="s">
        <v>479</v>
      </c>
      <c r="N780" s="154" t="s">
        <v>524</v>
      </c>
      <c r="O780" s="154" t="s">
        <v>479</v>
      </c>
      <c r="P780" s="154" t="s">
        <v>479</v>
      </c>
      <c r="Q780" s="154" t="s">
        <v>479</v>
      </c>
      <c r="R780" s="154" t="s">
        <v>483</v>
      </c>
      <c r="S780" s="154" t="s">
        <v>483</v>
      </c>
      <c r="T780" s="154" t="s">
        <v>479</v>
      </c>
      <c r="U780" s="154" t="s">
        <v>479</v>
      </c>
      <c r="V780" s="154" t="s">
        <v>479</v>
      </c>
      <c r="W780" s="154" t="s">
        <v>479</v>
      </c>
      <c r="X780" s="154" t="s">
        <v>479</v>
      </c>
      <c r="Y780" s="154" t="s">
        <v>479</v>
      </c>
      <c r="Z780" s="154" t="s">
        <v>479</v>
      </c>
      <c r="AA780" s="154" t="s">
        <v>479</v>
      </c>
      <c r="AB780" s="154" t="s">
        <v>479</v>
      </c>
      <c r="AC780" s="154" t="s">
        <v>479</v>
      </c>
      <c r="AD780" s="154" t="s">
        <v>479</v>
      </c>
      <c r="AE780" s="154" t="s">
        <v>524</v>
      </c>
      <c r="AF780" s="154" t="s">
        <v>479</v>
      </c>
      <c r="AG780" s="154" t="s">
        <v>527</v>
      </c>
      <c r="AH780" s="154" t="s">
        <v>524</v>
      </c>
      <c r="AI780" s="154" t="s">
        <v>479</v>
      </c>
      <c r="AJ780" s="154" t="s">
        <v>524</v>
      </c>
      <c r="AK780" s="154" t="s">
        <v>479</v>
      </c>
      <c r="AL780" s="154" t="s">
        <v>424</v>
      </c>
      <c r="AS780">
        <v>780</v>
      </c>
    </row>
    <row r="781" spans="1:46" hidden="1" x14ac:dyDescent="0.25">
      <c r="A781">
        <v>780</v>
      </c>
      <c r="B781">
        <v>2025</v>
      </c>
      <c r="C781">
        <v>11</v>
      </c>
      <c r="D781" t="s">
        <v>278</v>
      </c>
      <c r="E781">
        <v>31</v>
      </c>
      <c r="F781">
        <v>10</v>
      </c>
      <c r="G781" t="s">
        <v>535</v>
      </c>
      <c r="H781" s="154">
        <v>0.75</v>
      </c>
      <c r="I781" s="154">
        <v>0.75</v>
      </c>
      <c r="J781" s="154">
        <v>0.75</v>
      </c>
      <c r="K781" s="154">
        <v>1.75</v>
      </c>
      <c r="L781" s="154">
        <v>0.79166666666666674</v>
      </c>
      <c r="M781" s="154">
        <v>0.75</v>
      </c>
      <c r="N781" s="154">
        <v>1.75</v>
      </c>
      <c r="O781" s="154">
        <v>0.75</v>
      </c>
      <c r="P781" s="154">
        <v>0.95833333333333326</v>
      </c>
      <c r="Q781" s="154">
        <v>0.75</v>
      </c>
      <c r="R781" s="154">
        <v>0.75</v>
      </c>
      <c r="S781" s="154">
        <v>0.75</v>
      </c>
      <c r="T781" s="154">
        <v>0.91666666666666674</v>
      </c>
      <c r="U781" s="154">
        <v>0.91666666666666674</v>
      </c>
      <c r="V781" s="154">
        <v>0.75</v>
      </c>
      <c r="W781" s="154">
        <v>0.75</v>
      </c>
      <c r="X781" s="154">
        <v>0.95833333333333326</v>
      </c>
      <c r="Y781" s="154">
        <v>0.75</v>
      </c>
      <c r="Z781" s="154">
        <v>0.75</v>
      </c>
      <c r="AA781" s="154">
        <v>0.875</v>
      </c>
      <c r="AB781" s="154">
        <v>0.75</v>
      </c>
      <c r="AC781" s="154">
        <v>0.91666666666666674</v>
      </c>
      <c r="AD781" s="154">
        <v>0.875</v>
      </c>
      <c r="AE781" s="154">
        <v>1.75</v>
      </c>
      <c r="AF781" s="154">
        <v>1</v>
      </c>
      <c r="AG781" s="154">
        <v>0.75</v>
      </c>
      <c r="AH781" s="154">
        <v>1.75</v>
      </c>
      <c r="AI781" s="154">
        <v>0.75</v>
      </c>
      <c r="AJ781" s="154">
        <v>1.75</v>
      </c>
      <c r="AK781" s="154">
        <v>0.83333333333333326</v>
      </c>
      <c r="AL781" s="154" t="s">
        <v>424</v>
      </c>
      <c r="AM781" cm="1">
        <f t="array" ref="AM781">SUM(_xlfn.LET(_xlpm.r,((IFERROR(H781:AL781-H780:AL780,0))*24)/10,IF(_xlpm.r&gt;1,1,_xlpm.r)))</f>
        <v>30</v>
      </c>
      <c r="AO781" cm="1">
        <f t="array" ref="AO781">SUM(IFERROR(MOD((H781:AL781-H780:AL780)*24,11),""))</f>
        <v>98</v>
      </c>
      <c r="AS781">
        <v>781</v>
      </c>
    </row>
    <row r="782" spans="1:46" hidden="1" x14ac:dyDescent="0.25">
      <c r="A782">
        <v>781</v>
      </c>
      <c r="B782">
        <v>2025</v>
      </c>
      <c r="C782">
        <v>11</v>
      </c>
      <c r="D782" t="s">
        <v>288</v>
      </c>
      <c r="E782">
        <v>31</v>
      </c>
      <c r="F782">
        <v>10</v>
      </c>
      <c r="G782" t="s">
        <v>536</v>
      </c>
      <c r="H782" s="154" t="s">
        <v>424</v>
      </c>
      <c r="I782" s="154" t="s">
        <v>424</v>
      </c>
      <c r="J782" s="154" t="s">
        <v>424</v>
      </c>
      <c r="K782" s="154" t="s">
        <v>424</v>
      </c>
      <c r="L782" s="154" t="s">
        <v>424</v>
      </c>
      <c r="M782" s="154" t="s">
        <v>424</v>
      </c>
      <c r="N782" s="154" t="s">
        <v>424</v>
      </c>
      <c r="O782" s="154" t="s">
        <v>424</v>
      </c>
      <c r="P782" s="154" t="s">
        <v>424</v>
      </c>
      <c r="Q782" s="154" t="s">
        <v>424</v>
      </c>
      <c r="R782" s="154" t="s">
        <v>424</v>
      </c>
      <c r="S782" s="154" t="s">
        <v>424</v>
      </c>
      <c r="T782" s="154" t="s">
        <v>424</v>
      </c>
      <c r="U782" s="154" t="s">
        <v>424</v>
      </c>
      <c r="V782" s="154">
        <v>336546</v>
      </c>
      <c r="W782" s="154">
        <v>336565</v>
      </c>
      <c r="X782" s="154">
        <v>336635</v>
      </c>
      <c r="Y782" s="154">
        <v>336697</v>
      </c>
      <c r="Z782" s="154">
        <v>336745</v>
      </c>
      <c r="AA782" s="154">
        <v>336774</v>
      </c>
      <c r="AB782" s="154">
        <v>336817</v>
      </c>
      <c r="AC782" s="154">
        <v>336844</v>
      </c>
      <c r="AD782" s="154">
        <v>336914</v>
      </c>
      <c r="AE782" s="154">
        <v>337106</v>
      </c>
      <c r="AF782" s="154">
        <v>337149</v>
      </c>
      <c r="AG782" s="154">
        <v>337234</v>
      </c>
      <c r="AH782" s="154">
        <v>337307</v>
      </c>
      <c r="AI782" s="154">
        <v>337346</v>
      </c>
      <c r="AJ782" s="154">
        <v>337380</v>
      </c>
      <c r="AK782" s="154">
        <v>337403</v>
      </c>
      <c r="AL782" s="154" t="s">
        <v>424</v>
      </c>
      <c r="AS782">
        <v>782</v>
      </c>
    </row>
    <row r="783" spans="1:46" hidden="1" x14ac:dyDescent="0.25">
      <c r="A783">
        <v>782</v>
      </c>
      <c r="B783">
        <v>2025</v>
      </c>
      <c r="C783">
        <v>11</v>
      </c>
      <c r="D783" t="s">
        <v>288</v>
      </c>
      <c r="E783">
        <v>31</v>
      </c>
      <c r="F783">
        <v>10</v>
      </c>
      <c r="G783" t="s">
        <v>537</v>
      </c>
      <c r="H783" s="154" t="s">
        <v>424</v>
      </c>
      <c r="I783" s="154" t="s">
        <v>424</v>
      </c>
      <c r="J783" s="154" t="s">
        <v>424</v>
      </c>
      <c r="K783" s="154" t="s">
        <v>424</v>
      </c>
      <c r="L783" s="154" t="s">
        <v>424</v>
      </c>
      <c r="M783" s="154" t="s">
        <v>424</v>
      </c>
      <c r="N783" s="154" t="s">
        <v>424</v>
      </c>
      <c r="O783" s="154" t="s">
        <v>424</v>
      </c>
      <c r="P783" s="154" t="s">
        <v>424</v>
      </c>
      <c r="Q783" s="154" t="s">
        <v>424</v>
      </c>
      <c r="R783" s="154" t="s">
        <v>424</v>
      </c>
      <c r="S783" s="154" t="s">
        <v>424</v>
      </c>
      <c r="T783" s="154" t="s">
        <v>424</v>
      </c>
      <c r="U783" s="154" t="s">
        <v>424</v>
      </c>
      <c r="V783" s="154">
        <v>336565</v>
      </c>
      <c r="W783" s="154">
        <v>336635</v>
      </c>
      <c r="X783" s="154">
        <v>336697</v>
      </c>
      <c r="Y783" s="154">
        <v>336745</v>
      </c>
      <c r="Z783" s="154">
        <v>336774</v>
      </c>
      <c r="AA783" s="154">
        <v>336817</v>
      </c>
      <c r="AB783" s="154">
        <v>336844</v>
      </c>
      <c r="AC783" s="154">
        <v>336914</v>
      </c>
      <c r="AD783" s="154">
        <v>337084</v>
      </c>
      <c r="AE783" s="154">
        <v>337149</v>
      </c>
      <c r="AF783" s="154">
        <v>337234</v>
      </c>
      <c r="AG783" s="154">
        <v>337307</v>
      </c>
      <c r="AH783" s="154">
        <v>337346</v>
      </c>
      <c r="AI783" s="154">
        <v>337380</v>
      </c>
      <c r="AJ783" s="154">
        <v>337403</v>
      </c>
      <c r="AK783" s="154">
        <v>337424</v>
      </c>
      <c r="AL783" s="154" t="s">
        <v>424</v>
      </c>
      <c r="AP783" cm="1">
        <f t="array" ref="AP783">IF(AQ783="","",SUM(IFERROR(H783:AL783-H782:AL782,0))*AQ783/100)</f>
        <v>128.4</v>
      </c>
      <c r="AQ783">
        <f>_xlfn.XLOOKUP(D783,log_prices!M:M,log_prices!L:L,,0)</f>
        <v>15</v>
      </c>
      <c r="AS783">
        <v>783</v>
      </c>
      <c r="AT783" cm="1">
        <f t="array" ref="AT783">IF(AQ783="","",SUM(IFERROR(H783:AL783-H782:AL782,0)))</f>
        <v>856</v>
      </c>
    </row>
    <row r="784" spans="1:46" hidden="1" x14ac:dyDescent="0.25">
      <c r="A784">
        <v>783</v>
      </c>
      <c r="B784">
        <v>2025</v>
      </c>
      <c r="C784">
        <v>11</v>
      </c>
      <c r="D784" t="s">
        <v>259</v>
      </c>
      <c r="E784">
        <v>31</v>
      </c>
      <c r="F784">
        <v>10</v>
      </c>
      <c r="G784" t="s">
        <v>536</v>
      </c>
      <c r="H784" s="154">
        <v>387382</v>
      </c>
      <c r="I784" s="154">
        <v>387515</v>
      </c>
      <c r="J784" s="154">
        <v>387637</v>
      </c>
      <c r="K784" s="154">
        <v>387785</v>
      </c>
      <c r="L784" s="154">
        <v>387948</v>
      </c>
      <c r="M784" s="154">
        <v>388100</v>
      </c>
      <c r="N784" s="154">
        <v>388246</v>
      </c>
      <c r="O784" s="154">
        <v>388413</v>
      </c>
      <c r="P784" s="154" t="s">
        <v>424</v>
      </c>
      <c r="Q784" s="154">
        <v>388567</v>
      </c>
      <c r="R784" s="154">
        <v>388730</v>
      </c>
      <c r="S784" s="154">
        <v>388899</v>
      </c>
      <c r="T784" s="154">
        <v>389073</v>
      </c>
      <c r="U784" s="154">
        <v>389224</v>
      </c>
      <c r="V784" s="154">
        <v>389371</v>
      </c>
      <c r="W784" s="154">
        <v>389532</v>
      </c>
      <c r="X784" s="154">
        <v>389668</v>
      </c>
      <c r="Y784" s="154">
        <v>389816</v>
      </c>
      <c r="Z784" s="154">
        <v>389978</v>
      </c>
      <c r="AA784" s="154">
        <v>390135</v>
      </c>
      <c r="AB784" s="154">
        <v>390284</v>
      </c>
      <c r="AC784" s="154">
        <v>390437</v>
      </c>
      <c r="AD784" s="154">
        <v>390595</v>
      </c>
      <c r="AE784" s="154">
        <v>390707</v>
      </c>
      <c r="AF784" s="154">
        <v>390881</v>
      </c>
      <c r="AG784" s="154">
        <v>391047</v>
      </c>
      <c r="AH784" s="154">
        <v>391219</v>
      </c>
      <c r="AI784" s="154">
        <v>391378</v>
      </c>
      <c r="AJ784" s="154">
        <v>391525</v>
      </c>
      <c r="AK784" s="154">
        <v>391667</v>
      </c>
      <c r="AL784" s="154" t="s">
        <v>424</v>
      </c>
      <c r="AS784">
        <v>784</v>
      </c>
    </row>
    <row r="785" spans="1:46" hidden="1" x14ac:dyDescent="0.25">
      <c r="A785">
        <v>784</v>
      </c>
      <c r="B785">
        <v>2025</v>
      </c>
      <c r="C785">
        <v>11</v>
      </c>
      <c r="D785" t="s">
        <v>259</v>
      </c>
      <c r="E785">
        <v>31</v>
      </c>
      <c r="F785">
        <v>10</v>
      </c>
      <c r="G785" t="s">
        <v>537</v>
      </c>
      <c r="H785" s="154">
        <v>387515</v>
      </c>
      <c r="I785" s="154">
        <v>387637</v>
      </c>
      <c r="J785" s="154">
        <v>387785</v>
      </c>
      <c r="K785" s="154">
        <v>387948</v>
      </c>
      <c r="L785" s="154">
        <v>388100</v>
      </c>
      <c r="M785" s="154">
        <v>388246</v>
      </c>
      <c r="N785" s="154">
        <v>388413</v>
      </c>
      <c r="O785" s="154">
        <v>388567</v>
      </c>
      <c r="P785" s="154" t="s">
        <v>424</v>
      </c>
      <c r="Q785" s="154">
        <v>388730</v>
      </c>
      <c r="R785" s="154">
        <v>388899</v>
      </c>
      <c r="S785" s="154">
        <v>389073</v>
      </c>
      <c r="T785" s="154">
        <v>389224</v>
      </c>
      <c r="U785" s="154">
        <v>389371</v>
      </c>
      <c r="V785" s="154">
        <v>389532</v>
      </c>
      <c r="W785" s="154">
        <v>389668</v>
      </c>
      <c r="X785" s="154">
        <v>389816</v>
      </c>
      <c r="Y785" s="154">
        <v>389978</v>
      </c>
      <c r="Z785" s="154">
        <v>390135</v>
      </c>
      <c r="AA785" s="154">
        <v>390284</v>
      </c>
      <c r="AB785" s="154">
        <v>390437</v>
      </c>
      <c r="AC785" s="154">
        <v>390595</v>
      </c>
      <c r="AD785" s="154">
        <v>390707</v>
      </c>
      <c r="AE785" s="154">
        <v>390881</v>
      </c>
      <c r="AF785" s="154">
        <v>391047</v>
      </c>
      <c r="AG785" s="154">
        <v>391219</v>
      </c>
      <c r="AH785" s="154">
        <v>391378</v>
      </c>
      <c r="AI785" s="154">
        <v>391525</v>
      </c>
      <c r="AJ785" s="154">
        <v>391667</v>
      </c>
      <c r="AK785" s="154">
        <v>391803</v>
      </c>
      <c r="AL785" s="154" t="s">
        <v>424</v>
      </c>
      <c r="AP785" cm="1">
        <f t="array" ref="AP785">IF(AQ785="","",SUM(IFERROR(H785:AL785-H784:AL784,0))*AQ785/100)</f>
        <v>663.15</v>
      </c>
      <c r="AQ785">
        <f>_xlfn.XLOOKUP(D785,log_prices!M:M,log_prices!L:L,,0)</f>
        <v>15</v>
      </c>
      <c r="AS785">
        <v>785</v>
      </c>
      <c r="AT785" cm="1">
        <f t="array" ref="AT785">IF(AQ785="","",SUM(IFERROR(H785:AL785-H784:AL784,0)))</f>
        <v>4421</v>
      </c>
    </row>
    <row r="786" spans="1:46" hidden="1" x14ac:dyDescent="0.25">
      <c r="A786">
        <v>785</v>
      </c>
      <c r="B786">
        <v>2025</v>
      </c>
      <c r="C786">
        <v>11</v>
      </c>
      <c r="D786" t="s">
        <v>289</v>
      </c>
      <c r="E786">
        <v>31</v>
      </c>
      <c r="F786">
        <v>10</v>
      </c>
      <c r="G786" t="s">
        <v>536</v>
      </c>
      <c r="H786" s="154" t="s">
        <v>424</v>
      </c>
      <c r="I786" s="154" t="s">
        <v>424</v>
      </c>
      <c r="J786" s="154" t="s">
        <v>424</v>
      </c>
      <c r="K786" s="154" t="s">
        <v>424</v>
      </c>
      <c r="L786" s="154" t="s">
        <v>424</v>
      </c>
      <c r="M786" s="154" t="s">
        <v>424</v>
      </c>
      <c r="N786" s="154" t="s">
        <v>424</v>
      </c>
      <c r="O786" s="154" t="s">
        <v>424</v>
      </c>
      <c r="P786" s="154" t="s">
        <v>424</v>
      </c>
      <c r="Q786" s="154" t="s">
        <v>424</v>
      </c>
      <c r="R786" s="154" t="s">
        <v>424</v>
      </c>
      <c r="S786" s="154" t="s">
        <v>424</v>
      </c>
      <c r="T786" s="154" t="s">
        <v>424</v>
      </c>
      <c r="U786" s="154" t="s">
        <v>424</v>
      </c>
      <c r="V786" s="154" t="s">
        <v>424</v>
      </c>
      <c r="W786" s="154" t="s">
        <v>424</v>
      </c>
      <c r="X786" s="154" t="s">
        <v>424</v>
      </c>
      <c r="Y786" s="154" t="s">
        <v>424</v>
      </c>
      <c r="Z786" s="154" t="s">
        <v>424</v>
      </c>
      <c r="AA786" s="154" t="s">
        <v>424</v>
      </c>
      <c r="AB786" s="154" t="s">
        <v>424</v>
      </c>
      <c r="AC786" s="154" t="s">
        <v>424</v>
      </c>
      <c r="AD786" s="154" t="s">
        <v>424</v>
      </c>
      <c r="AE786" s="154" t="s">
        <v>424</v>
      </c>
      <c r="AF786" s="154">
        <v>537670</v>
      </c>
      <c r="AG786" s="154" t="s">
        <v>424</v>
      </c>
      <c r="AH786" s="154" t="s">
        <v>424</v>
      </c>
      <c r="AI786" s="154" t="s">
        <v>424</v>
      </c>
      <c r="AJ786" s="154" t="s">
        <v>424</v>
      </c>
      <c r="AK786" s="154" t="s">
        <v>424</v>
      </c>
      <c r="AL786" s="154" t="s">
        <v>424</v>
      </c>
      <c r="AS786">
        <v>786</v>
      </c>
    </row>
    <row r="787" spans="1:46" hidden="1" x14ac:dyDescent="0.25">
      <c r="A787">
        <v>786</v>
      </c>
      <c r="B787">
        <v>2025</v>
      </c>
      <c r="C787">
        <v>11</v>
      </c>
      <c r="D787" t="s">
        <v>289</v>
      </c>
      <c r="E787">
        <v>31</v>
      </c>
      <c r="F787">
        <v>10</v>
      </c>
      <c r="G787" t="s">
        <v>537</v>
      </c>
      <c r="H787" s="154" t="s">
        <v>424</v>
      </c>
      <c r="I787" s="154" t="s">
        <v>424</v>
      </c>
      <c r="J787" s="154" t="s">
        <v>424</v>
      </c>
      <c r="K787" s="154" t="s">
        <v>424</v>
      </c>
      <c r="L787" s="154" t="s">
        <v>424</v>
      </c>
      <c r="M787" s="154" t="s">
        <v>424</v>
      </c>
      <c r="N787" s="154" t="s">
        <v>424</v>
      </c>
      <c r="O787" s="154" t="s">
        <v>424</v>
      </c>
      <c r="P787" s="154" t="s">
        <v>424</v>
      </c>
      <c r="Q787" s="154" t="s">
        <v>424</v>
      </c>
      <c r="R787" s="154" t="s">
        <v>424</v>
      </c>
      <c r="S787" s="154" t="s">
        <v>424</v>
      </c>
      <c r="T787" s="154" t="s">
        <v>424</v>
      </c>
      <c r="U787" s="154" t="s">
        <v>424</v>
      </c>
      <c r="V787" s="154" t="s">
        <v>424</v>
      </c>
      <c r="W787" s="154" t="s">
        <v>424</v>
      </c>
      <c r="X787" s="154" t="s">
        <v>424</v>
      </c>
      <c r="Y787" s="154" t="s">
        <v>424</v>
      </c>
      <c r="Z787" s="154" t="s">
        <v>424</v>
      </c>
      <c r="AA787" s="154" t="s">
        <v>424</v>
      </c>
      <c r="AB787" s="154" t="s">
        <v>424</v>
      </c>
      <c r="AC787" s="154" t="s">
        <v>424</v>
      </c>
      <c r="AD787" s="154" t="s">
        <v>424</v>
      </c>
      <c r="AE787" s="154" t="s">
        <v>424</v>
      </c>
      <c r="AF787" s="154">
        <v>537800</v>
      </c>
      <c r="AG787" s="154" t="s">
        <v>424</v>
      </c>
      <c r="AH787" s="154" t="s">
        <v>424</v>
      </c>
      <c r="AI787" s="154" t="s">
        <v>424</v>
      </c>
      <c r="AJ787" s="154" t="s">
        <v>424</v>
      </c>
      <c r="AK787" s="154" t="s">
        <v>424</v>
      </c>
      <c r="AL787" s="154" t="s">
        <v>424</v>
      </c>
      <c r="AP787" cm="1">
        <f t="array" ref="AP787">IF(AQ787="","",SUM(IFERROR(H787:AL787-H786:AL786,0))*AQ787/100)</f>
        <v>19.5</v>
      </c>
      <c r="AQ787">
        <f>_xlfn.XLOOKUP(D787,log_prices!M:M,log_prices!L:L,,0)</f>
        <v>15</v>
      </c>
      <c r="AS787">
        <v>787</v>
      </c>
      <c r="AT787" cm="1">
        <f t="array" ref="AT787">IF(AQ787="","",SUM(IFERROR(H787:AL787-H786:AL786,0)))</f>
        <v>130</v>
      </c>
    </row>
    <row r="788" spans="1:46" hidden="1" x14ac:dyDescent="0.25">
      <c r="A788">
        <v>787</v>
      </c>
      <c r="B788">
        <v>2025</v>
      </c>
      <c r="C788">
        <v>11</v>
      </c>
      <c r="D788" t="s">
        <v>284</v>
      </c>
      <c r="E788">
        <v>31</v>
      </c>
      <c r="F788">
        <v>10</v>
      </c>
      <c r="G788" t="s">
        <v>536</v>
      </c>
      <c r="H788" s="154" t="s">
        <v>424</v>
      </c>
      <c r="I788" s="154" t="s">
        <v>424</v>
      </c>
      <c r="J788" s="154" t="s">
        <v>424</v>
      </c>
      <c r="K788" s="154" t="s">
        <v>424</v>
      </c>
      <c r="L788" s="154" t="s">
        <v>424</v>
      </c>
      <c r="M788" s="154" t="s">
        <v>424</v>
      </c>
      <c r="N788" s="154" t="s">
        <v>424</v>
      </c>
      <c r="O788" s="154" t="s">
        <v>424</v>
      </c>
      <c r="P788" s="154" t="s">
        <v>424</v>
      </c>
      <c r="Q788" s="154" t="s">
        <v>424</v>
      </c>
      <c r="R788" s="154">
        <v>507907</v>
      </c>
      <c r="S788" s="154">
        <v>507926</v>
      </c>
      <c r="T788" s="154">
        <v>507961</v>
      </c>
      <c r="U788" s="154">
        <v>507985</v>
      </c>
      <c r="V788" s="154">
        <v>508031</v>
      </c>
      <c r="W788" s="154">
        <v>508131</v>
      </c>
      <c r="X788" s="154">
        <v>508256</v>
      </c>
      <c r="Y788" s="154" t="s">
        <v>424</v>
      </c>
      <c r="Z788" s="154">
        <v>508291</v>
      </c>
      <c r="AA788" s="154">
        <v>508321</v>
      </c>
      <c r="AB788" s="154">
        <v>508345</v>
      </c>
      <c r="AC788" s="154">
        <v>508363</v>
      </c>
      <c r="AD788" s="154" t="s">
        <v>424</v>
      </c>
      <c r="AE788" s="154">
        <v>508602</v>
      </c>
      <c r="AF788" s="154">
        <v>508629</v>
      </c>
      <c r="AG788" s="154">
        <v>508707</v>
      </c>
      <c r="AH788" s="154">
        <v>508892</v>
      </c>
      <c r="AI788" s="154">
        <v>508927</v>
      </c>
      <c r="AJ788" s="154">
        <v>509046</v>
      </c>
      <c r="AK788" s="154">
        <v>509100</v>
      </c>
      <c r="AL788" s="154" t="s">
        <v>424</v>
      </c>
      <c r="AS788">
        <v>788</v>
      </c>
    </row>
    <row r="789" spans="1:46" hidden="1" x14ac:dyDescent="0.25">
      <c r="A789">
        <v>788</v>
      </c>
      <c r="B789">
        <v>2025</v>
      </c>
      <c r="C789">
        <v>11</v>
      </c>
      <c r="D789" t="s">
        <v>284</v>
      </c>
      <c r="E789">
        <v>31</v>
      </c>
      <c r="F789">
        <v>10</v>
      </c>
      <c r="G789" t="s">
        <v>537</v>
      </c>
      <c r="H789" s="154" t="s">
        <v>424</v>
      </c>
      <c r="I789" s="154" t="s">
        <v>424</v>
      </c>
      <c r="J789" s="154" t="s">
        <v>424</v>
      </c>
      <c r="K789" s="154" t="s">
        <v>424</v>
      </c>
      <c r="L789" s="154" t="s">
        <v>424</v>
      </c>
      <c r="M789" s="154" t="s">
        <v>424</v>
      </c>
      <c r="N789" s="154" t="s">
        <v>424</v>
      </c>
      <c r="O789" s="154" t="s">
        <v>424</v>
      </c>
      <c r="P789" s="154" t="s">
        <v>424</v>
      </c>
      <c r="Q789" s="154" t="s">
        <v>424</v>
      </c>
      <c r="R789" s="154">
        <v>507926</v>
      </c>
      <c r="S789" s="154">
        <v>507961</v>
      </c>
      <c r="T789" s="154">
        <v>507984</v>
      </c>
      <c r="U789" s="154">
        <v>508031</v>
      </c>
      <c r="V789" s="154">
        <v>508131</v>
      </c>
      <c r="W789" s="154">
        <v>508256</v>
      </c>
      <c r="X789" s="154">
        <v>508286</v>
      </c>
      <c r="Y789" s="154" t="s">
        <v>424</v>
      </c>
      <c r="Z789" s="154">
        <v>508321</v>
      </c>
      <c r="AA789" s="154">
        <v>508345</v>
      </c>
      <c r="AB789" s="154">
        <v>508363</v>
      </c>
      <c r="AC789" s="154">
        <v>508417</v>
      </c>
      <c r="AD789" s="154" t="s">
        <v>424</v>
      </c>
      <c r="AE789" s="154">
        <v>508629</v>
      </c>
      <c r="AF789" s="154">
        <v>508707</v>
      </c>
      <c r="AG789" s="154">
        <v>508892</v>
      </c>
      <c r="AH789" s="154">
        <v>508927</v>
      </c>
      <c r="AI789" s="154">
        <v>509007</v>
      </c>
      <c r="AJ789" s="154">
        <v>509100</v>
      </c>
      <c r="AK789" s="154">
        <v>509133</v>
      </c>
      <c r="AL789" s="154" t="s">
        <v>424</v>
      </c>
      <c r="AP789" cm="1">
        <f t="array" ref="AP789">IF(AQ789="","",SUM(IFERROR(H789:AL789-H788:AL788,0))*AQ789/100)</f>
        <v>149.4</v>
      </c>
      <c r="AQ789">
        <f>_xlfn.XLOOKUP(D789,log_prices!M:M,log_prices!L:L,,0)</f>
        <v>15</v>
      </c>
      <c r="AS789">
        <v>789</v>
      </c>
      <c r="AT789" cm="1">
        <f t="array" ref="AT789">IF(AQ789="","",SUM(IFERROR(H789:AL789-H788:AL788,0)))</f>
        <v>996</v>
      </c>
    </row>
    <row r="790" spans="1:46" hidden="1" x14ac:dyDescent="0.25">
      <c r="A790">
        <v>789</v>
      </c>
      <c r="B790">
        <v>2025</v>
      </c>
      <c r="C790">
        <v>11</v>
      </c>
      <c r="D790" t="s">
        <v>280</v>
      </c>
      <c r="E790">
        <v>31</v>
      </c>
      <c r="F790">
        <v>10</v>
      </c>
      <c r="G790" t="s">
        <v>536</v>
      </c>
      <c r="H790" s="154">
        <v>232502</v>
      </c>
      <c r="I790" s="154">
        <v>232677</v>
      </c>
      <c r="J790" s="154">
        <v>232850</v>
      </c>
      <c r="K790" s="154">
        <v>233020</v>
      </c>
      <c r="L790" s="154">
        <v>233120</v>
      </c>
      <c r="M790" s="154">
        <v>233290</v>
      </c>
      <c r="N790" s="154">
        <v>233459</v>
      </c>
      <c r="O790" s="154">
        <v>233635</v>
      </c>
      <c r="P790" s="154" t="s">
        <v>424</v>
      </c>
      <c r="Q790" s="154">
        <v>233810</v>
      </c>
      <c r="R790" s="154">
        <v>234037</v>
      </c>
      <c r="S790" s="154">
        <v>234289</v>
      </c>
      <c r="T790" s="154">
        <v>234468</v>
      </c>
      <c r="U790" s="154">
        <v>234640</v>
      </c>
      <c r="V790" s="154">
        <v>234771</v>
      </c>
      <c r="W790" s="154">
        <v>234865</v>
      </c>
      <c r="X790" s="154">
        <v>234959</v>
      </c>
      <c r="Y790" s="154">
        <v>235094</v>
      </c>
      <c r="Z790" s="154">
        <v>235392</v>
      </c>
      <c r="AA790" s="154">
        <v>235523</v>
      </c>
      <c r="AB790" s="154">
        <v>235616</v>
      </c>
      <c r="AC790" s="154">
        <v>235708</v>
      </c>
      <c r="AD790" s="154" t="s">
        <v>424</v>
      </c>
      <c r="AE790" s="154">
        <v>235801</v>
      </c>
      <c r="AF790" s="154">
        <v>235891</v>
      </c>
      <c r="AG790" s="154">
        <v>236024</v>
      </c>
      <c r="AH790" s="154">
        <v>236194</v>
      </c>
      <c r="AI790" s="154">
        <v>236366</v>
      </c>
      <c r="AJ790" s="154">
        <v>236565</v>
      </c>
      <c r="AK790" s="154">
        <v>236735</v>
      </c>
      <c r="AL790" s="154" t="s">
        <v>424</v>
      </c>
      <c r="AS790">
        <v>790</v>
      </c>
    </row>
    <row r="791" spans="1:46" hidden="1" x14ac:dyDescent="0.25">
      <c r="A791">
        <v>790</v>
      </c>
      <c r="B791">
        <v>2025</v>
      </c>
      <c r="C791">
        <v>11</v>
      </c>
      <c r="D791" t="s">
        <v>280</v>
      </c>
      <c r="E791">
        <v>31</v>
      </c>
      <c r="F791">
        <v>10</v>
      </c>
      <c r="G791" t="s">
        <v>537</v>
      </c>
      <c r="H791" s="154">
        <v>232677</v>
      </c>
      <c r="I791" s="154">
        <v>232850</v>
      </c>
      <c r="J791" s="154">
        <v>233020</v>
      </c>
      <c r="K791" s="154">
        <v>233120</v>
      </c>
      <c r="L791" s="154">
        <v>233290</v>
      </c>
      <c r="M791" s="154">
        <v>233459</v>
      </c>
      <c r="N791" s="154">
        <v>233635</v>
      </c>
      <c r="O791" s="154">
        <v>233810</v>
      </c>
      <c r="P791" s="154" t="s">
        <v>424</v>
      </c>
      <c r="Q791" s="154">
        <v>234037</v>
      </c>
      <c r="R791" s="154">
        <v>234289</v>
      </c>
      <c r="S791" s="154">
        <v>234468</v>
      </c>
      <c r="T791" s="154">
        <v>234640</v>
      </c>
      <c r="U791" s="154">
        <v>234771</v>
      </c>
      <c r="V791" s="154">
        <v>234865</v>
      </c>
      <c r="W791" s="154">
        <v>234959</v>
      </c>
      <c r="X791" s="154">
        <v>235094</v>
      </c>
      <c r="Y791" s="154">
        <v>235392</v>
      </c>
      <c r="Z791" s="154">
        <v>235523</v>
      </c>
      <c r="AA791" s="154">
        <v>235616</v>
      </c>
      <c r="AB791" s="154">
        <v>235708</v>
      </c>
      <c r="AC791" s="154">
        <v>235801</v>
      </c>
      <c r="AD791" s="154" t="s">
        <v>424</v>
      </c>
      <c r="AE791" s="154">
        <v>235891</v>
      </c>
      <c r="AF791" s="154">
        <v>236024</v>
      </c>
      <c r="AG791" s="154">
        <v>236194</v>
      </c>
      <c r="AH791" s="154">
        <v>236366</v>
      </c>
      <c r="AI791" s="154">
        <v>236565</v>
      </c>
      <c r="AJ791" s="154">
        <v>236735</v>
      </c>
      <c r="AK791" s="154">
        <v>236905</v>
      </c>
      <c r="AL791" s="154" t="s">
        <v>424</v>
      </c>
      <c r="AP791" cm="1">
        <f t="array" ref="AP791">IF(AQ791="","",SUM(IFERROR(H791:AL791-H790:AL790,0))*AQ791/100)</f>
        <v>572.39</v>
      </c>
      <c r="AQ791">
        <f>_xlfn.XLOOKUP(D791,log_prices!M:M,log_prices!L:L,,0)</f>
        <v>13</v>
      </c>
      <c r="AS791">
        <v>791</v>
      </c>
      <c r="AT791" cm="1">
        <f t="array" ref="AT791">IF(AQ791="","",SUM(IFERROR(H791:AL791-H790:AL790,0)))</f>
        <v>4403</v>
      </c>
    </row>
    <row r="792" spans="1:46" hidden="1" x14ac:dyDescent="0.25">
      <c r="A792">
        <v>791</v>
      </c>
      <c r="B792">
        <v>2025</v>
      </c>
      <c r="C792">
        <v>11</v>
      </c>
      <c r="D792" t="s">
        <v>269</v>
      </c>
      <c r="E792">
        <v>31</v>
      </c>
      <c r="F792">
        <v>10</v>
      </c>
      <c r="G792" t="s">
        <v>536</v>
      </c>
      <c r="H792" s="154">
        <v>31280</v>
      </c>
      <c r="I792" s="154">
        <v>31486</v>
      </c>
      <c r="J792" s="154">
        <v>31698</v>
      </c>
      <c r="K792" s="154">
        <v>31712</v>
      </c>
      <c r="L792" s="154">
        <v>31729</v>
      </c>
      <c r="M792" s="154">
        <v>31758</v>
      </c>
      <c r="N792" s="154">
        <v>31785</v>
      </c>
      <c r="O792" s="154">
        <v>31816</v>
      </c>
      <c r="P792" s="154">
        <v>31880</v>
      </c>
      <c r="Q792" s="154">
        <v>31894</v>
      </c>
      <c r="R792" s="154">
        <v>31911</v>
      </c>
      <c r="S792" s="154">
        <v>31927</v>
      </c>
      <c r="T792" s="154" t="s">
        <v>424</v>
      </c>
      <c r="U792" s="154" t="s">
        <v>424</v>
      </c>
      <c r="V792" s="154" t="s">
        <v>424</v>
      </c>
      <c r="W792" s="154" t="s">
        <v>424</v>
      </c>
      <c r="X792" s="154" t="s">
        <v>424</v>
      </c>
      <c r="Y792" s="154" t="s">
        <v>424</v>
      </c>
      <c r="Z792" s="154" t="s">
        <v>424</v>
      </c>
      <c r="AA792" s="154" t="s">
        <v>424</v>
      </c>
      <c r="AB792" s="154" t="s">
        <v>424</v>
      </c>
      <c r="AC792" s="154" t="s">
        <v>424</v>
      </c>
      <c r="AD792" s="154" t="s">
        <v>424</v>
      </c>
      <c r="AE792" s="154" t="s">
        <v>424</v>
      </c>
      <c r="AF792" s="154" t="s">
        <v>424</v>
      </c>
      <c r="AG792" s="154" t="s">
        <v>424</v>
      </c>
      <c r="AH792" s="154" t="s">
        <v>424</v>
      </c>
      <c r="AI792" s="154" t="s">
        <v>424</v>
      </c>
      <c r="AJ792" s="154" t="s">
        <v>424</v>
      </c>
      <c r="AK792" s="154" t="s">
        <v>424</v>
      </c>
      <c r="AL792" s="154" t="s">
        <v>424</v>
      </c>
      <c r="AS792">
        <v>792</v>
      </c>
    </row>
    <row r="793" spans="1:46" hidden="1" x14ac:dyDescent="0.25">
      <c r="A793">
        <v>792</v>
      </c>
      <c r="B793">
        <v>2025</v>
      </c>
      <c r="C793">
        <v>11</v>
      </c>
      <c r="D793" t="s">
        <v>269</v>
      </c>
      <c r="E793">
        <v>31</v>
      </c>
      <c r="F793">
        <v>10</v>
      </c>
      <c r="G793" t="s">
        <v>537</v>
      </c>
      <c r="H793" s="154">
        <v>31486</v>
      </c>
      <c r="I793" s="154">
        <v>31698</v>
      </c>
      <c r="J793" s="154">
        <v>31712</v>
      </c>
      <c r="K793" s="154">
        <v>31729</v>
      </c>
      <c r="L793" s="154">
        <v>31758</v>
      </c>
      <c r="M793" s="154">
        <v>31785</v>
      </c>
      <c r="N793" s="154">
        <v>31816</v>
      </c>
      <c r="O793" s="154">
        <v>31880</v>
      </c>
      <c r="P793" s="154">
        <v>31894</v>
      </c>
      <c r="Q793" s="154">
        <v>31911</v>
      </c>
      <c r="R793" s="154">
        <v>31927</v>
      </c>
      <c r="S793" s="154">
        <v>31945</v>
      </c>
      <c r="T793" s="154" t="s">
        <v>424</v>
      </c>
      <c r="U793" s="154" t="s">
        <v>424</v>
      </c>
      <c r="V793" s="154" t="s">
        <v>424</v>
      </c>
      <c r="W793" s="154" t="s">
        <v>424</v>
      </c>
      <c r="X793" s="154" t="s">
        <v>424</v>
      </c>
      <c r="Y793" s="154" t="s">
        <v>424</v>
      </c>
      <c r="Z793" s="154" t="s">
        <v>424</v>
      </c>
      <c r="AA793" s="154" t="s">
        <v>424</v>
      </c>
      <c r="AB793" s="154" t="s">
        <v>424</v>
      </c>
      <c r="AC793" s="154" t="s">
        <v>424</v>
      </c>
      <c r="AD793" s="154" t="s">
        <v>424</v>
      </c>
      <c r="AE793" s="154" t="s">
        <v>424</v>
      </c>
      <c r="AF793" s="154" t="s">
        <v>424</v>
      </c>
      <c r="AG793" s="154" t="s">
        <v>424</v>
      </c>
      <c r="AH793" s="154" t="s">
        <v>424</v>
      </c>
      <c r="AI793" s="154" t="s">
        <v>424</v>
      </c>
      <c r="AJ793" s="154" t="s">
        <v>424</v>
      </c>
      <c r="AK793" s="154" t="s">
        <v>424</v>
      </c>
      <c r="AL793" s="154" t="s">
        <v>424</v>
      </c>
      <c r="AP793" cm="1">
        <f t="array" ref="AP793">IF(AQ793="","",SUM(IFERROR(H793:AL793-H792:AL792,0))*AQ793/100)</f>
        <v>99.75</v>
      </c>
      <c r="AQ793">
        <f>_xlfn.XLOOKUP(D793,log_prices!M:M,log_prices!L:L,,0)</f>
        <v>15</v>
      </c>
      <c r="AS793">
        <v>793</v>
      </c>
      <c r="AT793" cm="1">
        <f t="array" ref="AT793">IF(AQ793="","",SUM(IFERROR(H793:AL793-H792:AL792,0)))</f>
        <v>665</v>
      </c>
    </row>
    <row r="794" spans="1:46" hidden="1" x14ac:dyDescent="0.25">
      <c r="A794">
        <v>793</v>
      </c>
      <c r="B794">
        <v>2025</v>
      </c>
      <c r="C794">
        <v>11</v>
      </c>
      <c r="D794" t="s">
        <v>266</v>
      </c>
      <c r="E794">
        <v>31</v>
      </c>
      <c r="F794">
        <v>10</v>
      </c>
      <c r="G794" t="s">
        <v>536</v>
      </c>
      <c r="H794" s="154">
        <v>16720</v>
      </c>
      <c r="I794" s="154">
        <v>16892</v>
      </c>
      <c r="J794" s="154">
        <v>17110</v>
      </c>
      <c r="K794" s="154">
        <v>17303</v>
      </c>
      <c r="L794" s="154">
        <v>17475</v>
      </c>
      <c r="M794" s="154">
        <v>17633</v>
      </c>
      <c r="N794" s="154">
        <v>17860</v>
      </c>
      <c r="O794" s="154">
        <v>18043</v>
      </c>
      <c r="P794" s="154" t="s">
        <v>424</v>
      </c>
      <c r="Q794" s="154">
        <v>18211</v>
      </c>
      <c r="R794" s="154">
        <v>18393</v>
      </c>
      <c r="S794" s="154">
        <v>18631</v>
      </c>
      <c r="T794" s="154">
        <v>18880</v>
      </c>
      <c r="U794" s="154">
        <v>19137</v>
      </c>
      <c r="V794" s="154">
        <v>19374</v>
      </c>
      <c r="W794" s="154">
        <v>19558</v>
      </c>
      <c r="X794" s="154">
        <v>19798</v>
      </c>
      <c r="Y794" s="154">
        <v>19995</v>
      </c>
      <c r="Z794" s="154">
        <v>20230</v>
      </c>
      <c r="AA794" s="154">
        <v>20473</v>
      </c>
      <c r="AB794" s="154">
        <v>20691</v>
      </c>
      <c r="AC794" s="154">
        <v>20877</v>
      </c>
      <c r="AD794" s="154">
        <v>21108</v>
      </c>
      <c r="AE794" s="154">
        <v>21243</v>
      </c>
      <c r="AF794" s="154">
        <v>21571</v>
      </c>
      <c r="AG794" s="154">
        <v>21787</v>
      </c>
      <c r="AH794" s="154">
        <v>21966</v>
      </c>
      <c r="AI794" s="154">
        <v>22141</v>
      </c>
      <c r="AJ794" s="154">
        <v>22327</v>
      </c>
      <c r="AK794" s="154">
        <v>22494</v>
      </c>
      <c r="AL794" s="154" t="s">
        <v>424</v>
      </c>
      <c r="AS794">
        <v>794</v>
      </c>
    </row>
    <row r="795" spans="1:46" hidden="1" x14ac:dyDescent="0.25">
      <c r="A795">
        <v>794</v>
      </c>
      <c r="B795">
        <v>2025</v>
      </c>
      <c r="C795">
        <v>11</v>
      </c>
      <c r="D795" t="s">
        <v>266</v>
      </c>
      <c r="E795">
        <v>31</v>
      </c>
      <c r="F795">
        <v>10</v>
      </c>
      <c r="G795" t="s">
        <v>537</v>
      </c>
      <c r="H795" s="154">
        <v>16892</v>
      </c>
      <c r="I795" s="154">
        <v>17110</v>
      </c>
      <c r="J795" s="154">
        <v>17303</v>
      </c>
      <c r="K795" s="154">
        <v>17475</v>
      </c>
      <c r="L795" s="154">
        <v>17633</v>
      </c>
      <c r="M795" s="154">
        <v>17860</v>
      </c>
      <c r="N795" s="154">
        <v>18043</v>
      </c>
      <c r="O795" s="154">
        <v>18211</v>
      </c>
      <c r="P795" s="154" t="s">
        <v>424</v>
      </c>
      <c r="Q795" s="154">
        <v>18393</v>
      </c>
      <c r="R795" s="154">
        <v>18631</v>
      </c>
      <c r="S795" s="154">
        <v>18880</v>
      </c>
      <c r="T795" s="154">
        <v>19137</v>
      </c>
      <c r="U795" s="154">
        <v>19374</v>
      </c>
      <c r="V795" s="154">
        <v>19558</v>
      </c>
      <c r="W795" s="154">
        <v>19798</v>
      </c>
      <c r="X795" s="154">
        <v>19995</v>
      </c>
      <c r="Y795" s="154">
        <v>20230</v>
      </c>
      <c r="Z795" s="154">
        <v>20473</v>
      </c>
      <c r="AA795" s="154">
        <v>20691</v>
      </c>
      <c r="AB795" s="154">
        <v>20877</v>
      </c>
      <c r="AC795" s="154">
        <v>21108</v>
      </c>
      <c r="AD795" s="154">
        <v>21343</v>
      </c>
      <c r="AE795" s="154">
        <v>21571</v>
      </c>
      <c r="AF795" s="154">
        <v>21787</v>
      </c>
      <c r="AG795" s="154">
        <v>21966</v>
      </c>
      <c r="AH795" s="154">
        <v>22141</v>
      </c>
      <c r="AI795" s="154">
        <v>22327</v>
      </c>
      <c r="AJ795" s="154">
        <v>22494</v>
      </c>
      <c r="AK795" s="154">
        <v>22731</v>
      </c>
      <c r="AL795" s="154" t="s">
        <v>424</v>
      </c>
      <c r="AP795" cm="1">
        <f t="array" ref="AP795">IF(AQ795="","",SUM(IFERROR(H795:AL795-H794:AL794,0))*AQ795/100)</f>
        <v>916.64999999999986</v>
      </c>
      <c r="AQ795">
        <f>_xlfn.XLOOKUP(D795,log_prices!M:M,log_prices!L:L,,0)</f>
        <v>14.999999999999998</v>
      </c>
      <c r="AS795">
        <v>795</v>
      </c>
      <c r="AT795" cm="1">
        <f t="array" ref="AT795">IF(AQ795="","",SUM(IFERROR(H795:AL795-H794:AL794,0)))</f>
        <v>6111</v>
      </c>
    </row>
    <row r="796" spans="1:46" hidden="1" x14ac:dyDescent="0.25">
      <c r="A796">
        <v>795</v>
      </c>
      <c r="B796">
        <v>2025</v>
      </c>
      <c r="C796">
        <v>11</v>
      </c>
      <c r="D796" t="s">
        <v>275</v>
      </c>
      <c r="E796">
        <v>31</v>
      </c>
      <c r="F796">
        <v>10</v>
      </c>
      <c r="G796" t="s">
        <v>536</v>
      </c>
      <c r="H796" s="154">
        <v>202042</v>
      </c>
      <c r="I796" s="154">
        <v>202061</v>
      </c>
      <c r="J796" s="154">
        <v>202083</v>
      </c>
      <c r="K796" s="154">
        <v>202100</v>
      </c>
      <c r="L796" s="154">
        <v>202117</v>
      </c>
      <c r="M796" s="154">
        <v>202144</v>
      </c>
      <c r="N796" s="154">
        <v>202186</v>
      </c>
      <c r="O796" s="154">
        <v>202225</v>
      </c>
      <c r="P796" s="154" t="s">
        <v>424</v>
      </c>
      <c r="Q796" s="154">
        <v>202352</v>
      </c>
      <c r="R796" s="154">
        <v>202408</v>
      </c>
      <c r="S796" s="154">
        <v>202429</v>
      </c>
      <c r="T796" s="154">
        <v>202454</v>
      </c>
      <c r="U796" s="154">
        <v>202486</v>
      </c>
      <c r="V796" s="154">
        <v>202519</v>
      </c>
      <c r="W796" s="154">
        <v>202548</v>
      </c>
      <c r="X796" s="154">
        <v>202575</v>
      </c>
      <c r="Y796" s="154">
        <v>202603</v>
      </c>
      <c r="Z796" s="154">
        <v>202632</v>
      </c>
      <c r="AA796" s="154">
        <v>202685</v>
      </c>
      <c r="AB796" s="154">
        <v>202733</v>
      </c>
      <c r="AC796" s="154">
        <v>202776</v>
      </c>
      <c r="AD796" s="154" t="s">
        <v>424</v>
      </c>
      <c r="AE796" s="154">
        <v>202944</v>
      </c>
      <c r="AF796" s="154">
        <v>203026</v>
      </c>
      <c r="AG796" s="154">
        <v>203067</v>
      </c>
      <c r="AH796" s="154">
        <v>203098</v>
      </c>
      <c r="AI796" s="154">
        <v>203128</v>
      </c>
      <c r="AJ796" s="154">
        <v>203155</v>
      </c>
      <c r="AK796" s="154">
        <v>203200</v>
      </c>
      <c r="AL796" s="154" t="s">
        <v>424</v>
      </c>
      <c r="AS796">
        <v>796</v>
      </c>
    </row>
    <row r="797" spans="1:46" hidden="1" x14ac:dyDescent="0.25">
      <c r="A797">
        <v>796</v>
      </c>
      <c r="B797">
        <v>2025</v>
      </c>
      <c r="C797">
        <v>11</v>
      </c>
      <c r="D797" t="s">
        <v>275</v>
      </c>
      <c r="E797">
        <v>31</v>
      </c>
      <c r="F797">
        <v>10</v>
      </c>
      <c r="G797" t="s">
        <v>537</v>
      </c>
      <c r="H797" s="154">
        <v>202061</v>
      </c>
      <c r="I797" s="154">
        <v>202083</v>
      </c>
      <c r="J797" s="154">
        <v>202100</v>
      </c>
      <c r="K797" s="154">
        <v>202117</v>
      </c>
      <c r="L797" s="154">
        <v>202144</v>
      </c>
      <c r="M797" s="154">
        <v>202186</v>
      </c>
      <c r="N797" s="154">
        <v>202225</v>
      </c>
      <c r="O797" s="154">
        <v>202309</v>
      </c>
      <c r="P797" s="154" t="s">
        <v>424</v>
      </c>
      <c r="Q797" s="154">
        <v>202408</v>
      </c>
      <c r="R797" s="154">
        <v>202429</v>
      </c>
      <c r="S797" s="154">
        <v>202454</v>
      </c>
      <c r="T797" s="154">
        <v>202486</v>
      </c>
      <c r="U797" s="154">
        <v>202519</v>
      </c>
      <c r="V797" s="154">
        <v>202548</v>
      </c>
      <c r="W797" s="154">
        <v>202575</v>
      </c>
      <c r="X797" s="154">
        <v>202603</v>
      </c>
      <c r="Y797" s="154">
        <v>202632</v>
      </c>
      <c r="Z797" s="154">
        <v>202685</v>
      </c>
      <c r="AA797" s="154">
        <v>202733</v>
      </c>
      <c r="AB797" s="154">
        <v>202776</v>
      </c>
      <c r="AC797" s="154">
        <v>202863</v>
      </c>
      <c r="AD797" s="154" t="s">
        <v>424</v>
      </c>
      <c r="AE797" s="154">
        <v>203026</v>
      </c>
      <c r="AF797" s="154">
        <v>203067</v>
      </c>
      <c r="AG797" s="154">
        <v>203098</v>
      </c>
      <c r="AH797" s="154">
        <v>203128</v>
      </c>
      <c r="AI797" s="154">
        <v>203155</v>
      </c>
      <c r="AJ797" s="154">
        <v>203200</v>
      </c>
      <c r="AK797" s="154">
        <v>203236</v>
      </c>
      <c r="AL797" s="154" t="s">
        <v>424</v>
      </c>
      <c r="AP797" cm="1">
        <f t="array" ref="AP797">IF(AQ797="","",SUM(IFERROR(H797:AL797-H796:AL796,0))*AQ797/100)</f>
        <v>160.5</v>
      </c>
      <c r="AQ797">
        <f>_xlfn.XLOOKUP(D797,log_prices!M:M,log_prices!L:L,,0)</f>
        <v>15</v>
      </c>
      <c r="AS797">
        <v>797</v>
      </c>
      <c r="AT797" cm="1">
        <f t="array" ref="AT797">IF(AQ797="","",SUM(IFERROR(H797:AL797-H796:AL796,0)))</f>
        <v>1070</v>
      </c>
    </row>
    <row r="798" spans="1:46" hidden="1" x14ac:dyDescent="0.25">
      <c r="A798">
        <v>797</v>
      </c>
      <c r="B798">
        <v>2025</v>
      </c>
      <c r="C798">
        <v>11</v>
      </c>
      <c r="D798" t="s">
        <v>282</v>
      </c>
      <c r="E798">
        <v>31</v>
      </c>
      <c r="F798">
        <v>10</v>
      </c>
      <c r="G798" t="s">
        <v>536</v>
      </c>
      <c r="H798" s="154">
        <v>923253</v>
      </c>
      <c r="I798" s="154">
        <v>923294</v>
      </c>
      <c r="J798" s="154">
        <v>923344</v>
      </c>
      <c r="K798" s="154">
        <v>923411</v>
      </c>
      <c r="L798" s="154">
        <v>923462</v>
      </c>
      <c r="M798" s="154">
        <v>923504</v>
      </c>
      <c r="N798" s="154">
        <v>923546</v>
      </c>
      <c r="O798" s="154">
        <v>923598</v>
      </c>
      <c r="P798" s="154" t="s">
        <v>424</v>
      </c>
      <c r="Q798" s="154">
        <v>923641</v>
      </c>
      <c r="R798" s="154">
        <v>923702</v>
      </c>
      <c r="S798" s="154">
        <v>923762</v>
      </c>
      <c r="T798" s="154">
        <v>923815</v>
      </c>
      <c r="U798" s="154">
        <v>923858</v>
      </c>
      <c r="V798" s="154">
        <v>923942</v>
      </c>
      <c r="W798" s="154">
        <v>924007</v>
      </c>
      <c r="X798" s="154">
        <v>924039</v>
      </c>
      <c r="Y798" s="154">
        <v>924092</v>
      </c>
      <c r="Z798" s="154">
        <v>924151</v>
      </c>
      <c r="AA798" s="154">
        <v>924196</v>
      </c>
      <c r="AB798" s="154">
        <v>924254</v>
      </c>
      <c r="AC798" s="154">
        <v>924298</v>
      </c>
      <c r="AD798" s="154" t="s">
        <v>424</v>
      </c>
      <c r="AE798" s="154">
        <v>924324</v>
      </c>
      <c r="AF798" s="154">
        <v>924355</v>
      </c>
      <c r="AG798" s="154">
        <v>924410</v>
      </c>
      <c r="AH798" s="154">
        <v>924485</v>
      </c>
      <c r="AI798" s="154">
        <v>924542</v>
      </c>
      <c r="AJ798" s="154">
        <v>924600</v>
      </c>
      <c r="AK798" s="154">
        <v>924650</v>
      </c>
      <c r="AL798" s="154" t="s">
        <v>424</v>
      </c>
      <c r="AS798">
        <v>798</v>
      </c>
    </row>
    <row r="799" spans="1:46" hidden="1" x14ac:dyDescent="0.25">
      <c r="A799">
        <v>798</v>
      </c>
      <c r="B799">
        <v>2025</v>
      </c>
      <c r="C799">
        <v>11</v>
      </c>
      <c r="D799" t="s">
        <v>282</v>
      </c>
      <c r="E799">
        <v>31</v>
      </c>
      <c r="F799">
        <v>10</v>
      </c>
      <c r="G799" t="s">
        <v>537</v>
      </c>
      <c r="H799" s="154">
        <v>923294</v>
      </c>
      <c r="I799" s="154">
        <v>923344</v>
      </c>
      <c r="J799" s="154">
        <v>923411</v>
      </c>
      <c r="K799" s="154">
        <v>923462</v>
      </c>
      <c r="L799" s="154">
        <v>923504</v>
      </c>
      <c r="M799" s="154">
        <v>923546</v>
      </c>
      <c r="N799" s="154">
        <v>923598</v>
      </c>
      <c r="O799" s="154">
        <v>923641</v>
      </c>
      <c r="P799" s="154" t="s">
        <v>424</v>
      </c>
      <c r="Q799" s="154">
        <v>923702</v>
      </c>
      <c r="R799" s="154">
        <v>923762</v>
      </c>
      <c r="S799" s="154">
        <v>923815</v>
      </c>
      <c r="T799" s="154">
        <v>923858</v>
      </c>
      <c r="U799" s="154">
        <v>923942</v>
      </c>
      <c r="V799" s="154">
        <v>924007</v>
      </c>
      <c r="W799" s="154">
        <v>924039</v>
      </c>
      <c r="X799" s="154">
        <v>924092</v>
      </c>
      <c r="Y799" s="154">
        <v>924151</v>
      </c>
      <c r="Z799" s="154">
        <v>924196</v>
      </c>
      <c r="AA799" s="154">
        <v>924254</v>
      </c>
      <c r="AB799" s="154">
        <v>924298</v>
      </c>
      <c r="AC799" s="154">
        <v>924324</v>
      </c>
      <c r="AD799" s="154" t="s">
        <v>424</v>
      </c>
      <c r="AE799" s="154">
        <v>924355</v>
      </c>
      <c r="AF799" s="154">
        <v>924410</v>
      </c>
      <c r="AG799" s="154">
        <v>924485</v>
      </c>
      <c r="AH799" s="154">
        <v>924542</v>
      </c>
      <c r="AI799" s="154">
        <v>924600</v>
      </c>
      <c r="AJ799" s="154">
        <v>924650</v>
      </c>
      <c r="AK799" s="154">
        <v>924661</v>
      </c>
      <c r="AL799" s="154" t="s">
        <v>424</v>
      </c>
      <c r="AP799" cm="1">
        <f t="array" ref="AP799">IF(AQ799="","",SUM(IFERROR(H799:AL799-H798:AL798,0))*AQ799/100)</f>
        <v>211.2</v>
      </c>
      <c r="AQ799">
        <f>_xlfn.XLOOKUP(D799,log_prices!M:M,log_prices!L:L,,0)</f>
        <v>15</v>
      </c>
      <c r="AS799">
        <v>799</v>
      </c>
      <c r="AT799" cm="1">
        <f t="array" ref="AT799">IF(AQ799="","",SUM(IFERROR(H799:AL799-H798:AL798,0)))</f>
        <v>1408</v>
      </c>
    </row>
    <row r="800" spans="1:46" hidden="1" x14ac:dyDescent="0.25">
      <c r="A800">
        <v>799</v>
      </c>
      <c r="B800">
        <v>2025</v>
      </c>
      <c r="C800">
        <v>11</v>
      </c>
      <c r="D800" t="s">
        <v>285</v>
      </c>
      <c r="E800">
        <v>31</v>
      </c>
      <c r="F800">
        <v>10</v>
      </c>
      <c r="G800" t="s">
        <v>536</v>
      </c>
      <c r="H800" s="154">
        <v>127051</v>
      </c>
      <c r="I800" s="154">
        <v>127075</v>
      </c>
      <c r="J800" s="154">
        <v>127196</v>
      </c>
      <c r="K800" s="154">
        <v>127209</v>
      </c>
      <c r="L800" s="154">
        <v>127229</v>
      </c>
      <c r="M800" s="154">
        <v>127246</v>
      </c>
      <c r="N800" s="154">
        <v>127276</v>
      </c>
      <c r="O800" s="154">
        <v>127366</v>
      </c>
      <c r="P800" s="154">
        <v>127486</v>
      </c>
      <c r="Q800" s="154">
        <v>127557</v>
      </c>
      <c r="R800" s="154">
        <v>127617</v>
      </c>
      <c r="S800" s="154">
        <v>127687</v>
      </c>
      <c r="T800" s="154">
        <v>127938</v>
      </c>
      <c r="U800" s="154">
        <v>127968</v>
      </c>
      <c r="V800" s="154">
        <v>127983</v>
      </c>
      <c r="W800" s="154">
        <v>128076</v>
      </c>
      <c r="X800" s="154">
        <v>128182</v>
      </c>
      <c r="Y800" s="154">
        <v>128197</v>
      </c>
      <c r="Z800" s="154">
        <v>128348</v>
      </c>
      <c r="AA800" s="154">
        <v>128399</v>
      </c>
      <c r="AB800" s="154">
        <v>128455</v>
      </c>
      <c r="AC800" s="154">
        <v>128530</v>
      </c>
      <c r="AD800" s="154">
        <v>128586</v>
      </c>
      <c r="AE800" s="154">
        <v>128638</v>
      </c>
      <c r="AF800" s="154">
        <v>128730</v>
      </c>
      <c r="AG800" s="154">
        <v>128834</v>
      </c>
      <c r="AH800" s="154">
        <v>128898</v>
      </c>
      <c r="AI800" s="154">
        <v>128975</v>
      </c>
      <c r="AJ800" s="154">
        <v>129054</v>
      </c>
      <c r="AK800" s="154" t="s">
        <v>424</v>
      </c>
      <c r="AL800" s="154" t="s">
        <v>424</v>
      </c>
      <c r="AS800">
        <v>800</v>
      </c>
    </row>
    <row r="801" spans="1:46" hidden="1" x14ac:dyDescent="0.25">
      <c r="A801">
        <v>800</v>
      </c>
      <c r="B801">
        <v>2025</v>
      </c>
      <c r="C801">
        <v>11</v>
      </c>
      <c r="D801" t="s">
        <v>285</v>
      </c>
      <c r="E801">
        <v>31</v>
      </c>
      <c r="F801">
        <v>10</v>
      </c>
      <c r="G801" t="s">
        <v>537</v>
      </c>
      <c r="H801" s="154">
        <v>127075</v>
      </c>
      <c r="I801" s="154">
        <v>127147</v>
      </c>
      <c r="J801" s="154">
        <v>127209</v>
      </c>
      <c r="K801" s="154">
        <v>127229</v>
      </c>
      <c r="L801" s="154">
        <v>127246</v>
      </c>
      <c r="M801" s="154">
        <v>127276</v>
      </c>
      <c r="N801" s="154">
        <v>127366</v>
      </c>
      <c r="O801" s="154">
        <v>127486</v>
      </c>
      <c r="P801" s="154">
        <v>127557</v>
      </c>
      <c r="Q801" s="154">
        <v>127617</v>
      </c>
      <c r="R801" s="154">
        <v>127687</v>
      </c>
      <c r="S801" s="154">
        <v>127752</v>
      </c>
      <c r="T801" s="154">
        <v>127968</v>
      </c>
      <c r="U801" s="154">
        <v>127983</v>
      </c>
      <c r="V801" s="154">
        <v>128076</v>
      </c>
      <c r="W801" s="154">
        <v>128182</v>
      </c>
      <c r="X801" s="154">
        <v>128197</v>
      </c>
      <c r="Y801" s="154">
        <v>128348</v>
      </c>
      <c r="Z801" s="154">
        <v>128399</v>
      </c>
      <c r="AA801" s="154">
        <v>128455</v>
      </c>
      <c r="AB801" s="154">
        <v>128530</v>
      </c>
      <c r="AC801" s="154">
        <v>128586</v>
      </c>
      <c r="AD801" s="154">
        <v>128638</v>
      </c>
      <c r="AE801" s="154">
        <v>128730</v>
      </c>
      <c r="AF801" s="154">
        <v>128854</v>
      </c>
      <c r="AG801" s="154">
        <v>128898</v>
      </c>
      <c r="AH801" s="154">
        <v>128975</v>
      </c>
      <c r="AI801" s="154">
        <v>129054</v>
      </c>
      <c r="AJ801" s="154">
        <v>129113</v>
      </c>
      <c r="AK801" s="154" t="s">
        <v>424</v>
      </c>
      <c r="AL801" s="154" t="s">
        <v>424</v>
      </c>
      <c r="AP801" cm="1">
        <f t="array" ref="AP801">IF(AQ801="","",SUM(IFERROR(H801:AL801-H800:AL800,0))*AQ801/100)</f>
        <v>277.05</v>
      </c>
      <c r="AQ801">
        <f>_xlfn.XLOOKUP(D801,log_prices!M:M,log_prices!L:L,,0)</f>
        <v>15</v>
      </c>
      <c r="AS801">
        <v>801</v>
      </c>
      <c r="AT801" cm="1">
        <f t="array" ref="AT801">IF(AQ801="","",SUM(IFERROR(H801:AL801-H800:AL800,0)))</f>
        <v>1847</v>
      </c>
    </row>
    <row r="802" spans="1:46" hidden="1" x14ac:dyDescent="0.25">
      <c r="A802">
        <v>801</v>
      </c>
      <c r="B802">
        <v>2025</v>
      </c>
      <c r="C802">
        <v>11</v>
      </c>
      <c r="D802" t="s">
        <v>265</v>
      </c>
      <c r="E802">
        <v>31</v>
      </c>
      <c r="F802">
        <v>10</v>
      </c>
      <c r="G802" t="s">
        <v>536</v>
      </c>
      <c r="H802" s="154">
        <v>823501</v>
      </c>
      <c r="I802" s="154">
        <v>823619</v>
      </c>
      <c r="J802" s="154">
        <v>823705</v>
      </c>
      <c r="K802" s="154">
        <v>823776</v>
      </c>
      <c r="L802" s="154">
        <v>823869</v>
      </c>
      <c r="M802" s="154">
        <v>823943</v>
      </c>
      <c r="N802" s="154">
        <v>824023</v>
      </c>
      <c r="O802" s="154">
        <v>824110</v>
      </c>
      <c r="P802" s="154" t="s">
        <v>424</v>
      </c>
      <c r="Q802" s="154">
        <v>824193</v>
      </c>
      <c r="R802" s="154">
        <v>824267</v>
      </c>
      <c r="S802" s="154">
        <v>824376</v>
      </c>
      <c r="T802" s="154">
        <v>824489</v>
      </c>
      <c r="U802" s="154">
        <v>824562</v>
      </c>
      <c r="V802" s="154">
        <v>824650</v>
      </c>
      <c r="W802" s="154">
        <v>824760</v>
      </c>
      <c r="X802" s="154">
        <v>824858</v>
      </c>
      <c r="Y802" s="154">
        <v>824949</v>
      </c>
      <c r="Z802" s="154">
        <v>825035</v>
      </c>
      <c r="AA802" s="154">
        <v>825131</v>
      </c>
      <c r="AB802" s="154">
        <v>825197</v>
      </c>
      <c r="AC802" s="154">
        <v>825295</v>
      </c>
      <c r="AD802" s="154">
        <v>825387</v>
      </c>
      <c r="AE802" s="154">
        <v>825466</v>
      </c>
      <c r="AF802" s="154">
        <v>825557</v>
      </c>
      <c r="AG802" s="154">
        <v>825675</v>
      </c>
      <c r="AH802" s="154">
        <v>825767</v>
      </c>
      <c r="AI802" s="154">
        <v>825873</v>
      </c>
      <c r="AJ802" s="154">
        <v>825970</v>
      </c>
      <c r="AK802" s="154">
        <v>826075</v>
      </c>
      <c r="AL802" s="154" t="s">
        <v>424</v>
      </c>
      <c r="AS802">
        <v>802</v>
      </c>
    </row>
    <row r="803" spans="1:46" hidden="1" x14ac:dyDescent="0.25">
      <c r="A803">
        <v>802</v>
      </c>
      <c r="B803">
        <v>2025</v>
      </c>
      <c r="C803">
        <v>11</v>
      </c>
      <c r="D803" t="s">
        <v>265</v>
      </c>
      <c r="E803">
        <v>31</v>
      </c>
      <c r="F803">
        <v>10</v>
      </c>
      <c r="G803" t="s">
        <v>537</v>
      </c>
      <c r="H803" s="154">
        <v>823619</v>
      </c>
      <c r="I803" s="154">
        <v>823705</v>
      </c>
      <c r="J803" s="154">
        <v>823776</v>
      </c>
      <c r="K803" s="154">
        <v>823869</v>
      </c>
      <c r="L803" s="154">
        <v>823943</v>
      </c>
      <c r="M803" s="154">
        <v>824023</v>
      </c>
      <c r="N803" s="154">
        <v>824110</v>
      </c>
      <c r="O803" s="154">
        <v>824193</v>
      </c>
      <c r="P803" s="154" t="s">
        <v>424</v>
      </c>
      <c r="Q803" s="154">
        <v>824267</v>
      </c>
      <c r="R803" s="154">
        <v>824376</v>
      </c>
      <c r="S803" s="154">
        <v>824489</v>
      </c>
      <c r="T803" s="154">
        <v>824562</v>
      </c>
      <c r="U803" s="154">
        <v>824650</v>
      </c>
      <c r="V803" s="154">
        <v>824760</v>
      </c>
      <c r="W803" s="154">
        <v>824858</v>
      </c>
      <c r="X803" s="154">
        <v>824949</v>
      </c>
      <c r="Y803" s="154">
        <v>825035</v>
      </c>
      <c r="Z803" s="154">
        <v>825131</v>
      </c>
      <c r="AA803" s="154">
        <v>825197</v>
      </c>
      <c r="AB803" s="154">
        <v>825295</v>
      </c>
      <c r="AC803" s="154">
        <v>825387</v>
      </c>
      <c r="AD803" s="154">
        <v>825466</v>
      </c>
      <c r="AE803" s="154">
        <v>825557</v>
      </c>
      <c r="AF803" s="154">
        <v>825675</v>
      </c>
      <c r="AG803" s="154">
        <v>825767</v>
      </c>
      <c r="AH803" s="154">
        <v>825873</v>
      </c>
      <c r="AI803" s="154">
        <v>825970</v>
      </c>
      <c r="AJ803" s="154">
        <v>826075</v>
      </c>
      <c r="AK803" s="154">
        <v>826164</v>
      </c>
      <c r="AL803" s="154" t="s">
        <v>424</v>
      </c>
      <c r="AP803" cm="1">
        <f t="array" ref="AP803">IF(AQ803="","",SUM(IFERROR(H803:AL803-H802:AL802,0))*AQ803/100)</f>
        <v>319.56</v>
      </c>
      <c r="AQ803">
        <f>_xlfn.XLOOKUP(D803,log_prices!M:M,log_prices!L:L,,0)</f>
        <v>12</v>
      </c>
      <c r="AS803">
        <v>803</v>
      </c>
      <c r="AT803" cm="1">
        <f t="array" ref="AT803">IF(AQ803="","",SUM(IFERROR(H803:AL803-H802:AL802,0)))</f>
        <v>2663</v>
      </c>
    </row>
    <row r="804" spans="1:46" hidden="1" x14ac:dyDescent="0.25">
      <c r="A804">
        <v>803</v>
      </c>
      <c r="B804">
        <v>2025</v>
      </c>
      <c r="C804">
        <v>11</v>
      </c>
      <c r="D804" t="s">
        <v>456</v>
      </c>
      <c r="E804">
        <v>31</v>
      </c>
      <c r="F804">
        <v>10</v>
      </c>
      <c r="G804" t="s">
        <v>536</v>
      </c>
      <c r="H804" s="154" t="s">
        <v>424</v>
      </c>
      <c r="I804" s="154" t="s">
        <v>424</v>
      </c>
      <c r="J804" s="154" t="s">
        <v>424</v>
      </c>
      <c r="K804" s="154" t="s">
        <v>424</v>
      </c>
      <c r="L804" s="154" t="s">
        <v>424</v>
      </c>
      <c r="M804" s="154" t="s">
        <v>424</v>
      </c>
      <c r="N804" s="154" t="s">
        <v>424</v>
      </c>
      <c r="O804" s="154" t="s">
        <v>424</v>
      </c>
      <c r="P804" s="154" t="s">
        <v>424</v>
      </c>
      <c r="Q804" s="154" t="s">
        <v>424</v>
      </c>
      <c r="R804" s="154" t="s">
        <v>424</v>
      </c>
      <c r="S804" s="154" t="s">
        <v>424</v>
      </c>
      <c r="T804" s="154" t="s">
        <v>424</v>
      </c>
      <c r="U804" s="154" t="s">
        <v>424</v>
      </c>
      <c r="V804" s="154" t="s">
        <v>424</v>
      </c>
      <c r="W804" s="154" t="s">
        <v>424</v>
      </c>
      <c r="X804" s="154" t="s">
        <v>424</v>
      </c>
      <c r="Y804" s="154">
        <v>762049</v>
      </c>
      <c r="Z804" s="154">
        <v>762060</v>
      </c>
      <c r="AA804" s="154">
        <v>762076</v>
      </c>
      <c r="AB804" s="154">
        <v>762213</v>
      </c>
      <c r="AC804" s="154">
        <v>762255</v>
      </c>
      <c r="AD804" s="154">
        <v>762331</v>
      </c>
      <c r="AE804" s="154">
        <v>762440</v>
      </c>
      <c r="AF804" s="154">
        <v>762606</v>
      </c>
      <c r="AG804" s="154">
        <v>762692</v>
      </c>
      <c r="AH804" s="154">
        <v>762819</v>
      </c>
      <c r="AI804" s="154">
        <v>762918</v>
      </c>
      <c r="AJ804" s="154">
        <v>763031</v>
      </c>
      <c r="AK804" s="154">
        <v>763091</v>
      </c>
      <c r="AL804" s="154" t="s">
        <v>424</v>
      </c>
      <c r="AS804">
        <v>804</v>
      </c>
    </row>
    <row r="805" spans="1:46" hidden="1" x14ac:dyDescent="0.25">
      <c r="A805">
        <v>804</v>
      </c>
      <c r="B805">
        <v>2025</v>
      </c>
      <c r="C805">
        <v>11</v>
      </c>
      <c r="D805" t="s">
        <v>456</v>
      </c>
      <c r="E805">
        <v>31</v>
      </c>
      <c r="F805">
        <v>10</v>
      </c>
      <c r="G805" t="s">
        <v>537</v>
      </c>
      <c r="H805" s="154" t="s">
        <v>424</v>
      </c>
      <c r="I805" s="154" t="s">
        <v>424</v>
      </c>
      <c r="J805" s="154" t="s">
        <v>424</v>
      </c>
      <c r="K805" s="154" t="s">
        <v>424</v>
      </c>
      <c r="L805" s="154" t="s">
        <v>424</v>
      </c>
      <c r="M805" s="154" t="s">
        <v>424</v>
      </c>
      <c r="N805" s="154" t="s">
        <v>424</v>
      </c>
      <c r="O805" s="154" t="s">
        <v>424</v>
      </c>
      <c r="P805" s="154" t="s">
        <v>424</v>
      </c>
      <c r="Q805" s="154" t="s">
        <v>424</v>
      </c>
      <c r="R805" s="154" t="s">
        <v>424</v>
      </c>
      <c r="S805" s="154" t="s">
        <v>424</v>
      </c>
      <c r="T805" s="154" t="s">
        <v>424</v>
      </c>
      <c r="U805" s="154" t="s">
        <v>424</v>
      </c>
      <c r="V805" s="154" t="s">
        <v>424</v>
      </c>
      <c r="W805" s="154" t="s">
        <v>424</v>
      </c>
      <c r="X805" s="154" t="s">
        <v>424</v>
      </c>
      <c r="Y805" s="154">
        <v>762060</v>
      </c>
      <c r="Z805" s="154">
        <v>762076</v>
      </c>
      <c r="AA805" s="154">
        <v>762213</v>
      </c>
      <c r="AB805" s="154">
        <v>762255</v>
      </c>
      <c r="AC805" s="154">
        <v>762331</v>
      </c>
      <c r="AD805" s="154">
        <v>762440</v>
      </c>
      <c r="AE805" s="154">
        <v>762606</v>
      </c>
      <c r="AF805" s="154">
        <v>762692</v>
      </c>
      <c r="AG805" s="154">
        <v>762819</v>
      </c>
      <c r="AH805" s="154">
        <v>762918</v>
      </c>
      <c r="AI805" s="154">
        <v>763031</v>
      </c>
      <c r="AJ805" s="154">
        <v>763091</v>
      </c>
      <c r="AK805" s="154">
        <v>763157</v>
      </c>
      <c r="AL805" s="154" t="s">
        <v>424</v>
      </c>
      <c r="AP805" cm="1">
        <f t="array" ref="AP805">IF(AQ805="","",SUM(IFERROR(H805:AL805-H804:AL804,0))*AQ805/100)</f>
        <v>166.2</v>
      </c>
      <c r="AQ805">
        <f>_xlfn.XLOOKUP(D805,log_prices!M:M,log_prices!L:L,,0)</f>
        <v>15</v>
      </c>
      <c r="AS805">
        <v>805</v>
      </c>
      <c r="AT805" cm="1">
        <f t="array" ref="AT805">IF(AQ805="","",SUM(IFERROR(H805:AL805-H804:AL804,0)))</f>
        <v>1108</v>
      </c>
    </row>
    <row r="806" spans="1:46" hidden="1" x14ac:dyDescent="0.25">
      <c r="A806">
        <v>805</v>
      </c>
      <c r="B806">
        <v>2025</v>
      </c>
      <c r="C806">
        <v>11</v>
      </c>
      <c r="D806" t="s">
        <v>255</v>
      </c>
      <c r="E806">
        <v>31</v>
      </c>
      <c r="F806">
        <v>10</v>
      </c>
      <c r="G806" t="s">
        <v>536</v>
      </c>
      <c r="H806" s="154">
        <v>278960</v>
      </c>
      <c r="I806" s="154">
        <v>279045</v>
      </c>
      <c r="J806" s="154">
        <v>279145</v>
      </c>
      <c r="K806" s="154">
        <v>279234</v>
      </c>
      <c r="L806" s="154">
        <v>279311</v>
      </c>
      <c r="M806" s="154">
        <v>279375</v>
      </c>
      <c r="N806" s="154">
        <v>279432</v>
      </c>
      <c r="O806" s="154">
        <v>279532</v>
      </c>
      <c r="P806" s="154">
        <v>279628</v>
      </c>
      <c r="Q806" s="154">
        <v>279837</v>
      </c>
      <c r="R806" s="154">
        <v>280035</v>
      </c>
      <c r="S806" s="154">
        <v>280103</v>
      </c>
      <c r="T806" s="154">
        <v>280194</v>
      </c>
      <c r="U806" s="154">
        <v>280312</v>
      </c>
      <c r="V806" s="154">
        <v>280397</v>
      </c>
      <c r="W806" s="154">
        <v>280473</v>
      </c>
      <c r="X806" s="154">
        <v>280498</v>
      </c>
      <c r="Y806" s="154">
        <v>280573</v>
      </c>
      <c r="Z806" s="154">
        <v>280648</v>
      </c>
      <c r="AA806" s="154">
        <v>280714</v>
      </c>
      <c r="AB806" s="154">
        <v>280812</v>
      </c>
      <c r="AC806" s="154">
        <v>280865</v>
      </c>
      <c r="AD806" s="154">
        <v>280923</v>
      </c>
      <c r="AE806" s="154">
        <v>281112</v>
      </c>
      <c r="AF806" s="154">
        <v>281245</v>
      </c>
      <c r="AG806" s="154">
        <v>281415</v>
      </c>
      <c r="AH806" s="154">
        <v>281587</v>
      </c>
      <c r="AI806" s="154">
        <v>281712</v>
      </c>
      <c r="AJ806" s="154">
        <v>281846</v>
      </c>
      <c r="AK806" s="154">
        <v>282035</v>
      </c>
      <c r="AL806" s="154" t="s">
        <v>424</v>
      </c>
      <c r="AS806">
        <v>806</v>
      </c>
    </row>
    <row r="807" spans="1:46" hidden="1" x14ac:dyDescent="0.25">
      <c r="A807">
        <v>806</v>
      </c>
      <c r="B807">
        <v>2025</v>
      </c>
      <c r="C807">
        <v>11</v>
      </c>
      <c r="D807" t="s">
        <v>255</v>
      </c>
      <c r="E807">
        <v>31</v>
      </c>
      <c r="F807">
        <v>10</v>
      </c>
      <c r="G807" t="s">
        <v>537</v>
      </c>
      <c r="H807" s="154">
        <v>279010</v>
      </c>
      <c r="I807" s="154">
        <v>279107</v>
      </c>
      <c r="J807" s="154">
        <v>279205</v>
      </c>
      <c r="K807" s="154">
        <v>279286</v>
      </c>
      <c r="L807" s="154">
        <v>279348</v>
      </c>
      <c r="M807" s="154">
        <v>279395</v>
      </c>
      <c r="N807" s="154">
        <v>279485</v>
      </c>
      <c r="O807" s="154">
        <v>279587</v>
      </c>
      <c r="P807" s="154">
        <v>279745</v>
      </c>
      <c r="Q807" s="154">
        <v>279986</v>
      </c>
      <c r="R807" s="154">
        <v>280072</v>
      </c>
      <c r="S807" s="154">
        <v>280157</v>
      </c>
      <c r="T807" s="154">
        <v>280265</v>
      </c>
      <c r="U807" s="154">
        <v>280362</v>
      </c>
      <c r="V807" s="154">
        <v>280442</v>
      </c>
      <c r="W807" s="154">
        <v>280487</v>
      </c>
      <c r="X807" s="154">
        <v>280542</v>
      </c>
      <c r="Y807" s="154">
        <v>280612</v>
      </c>
      <c r="Z807" s="154">
        <v>280681</v>
      </c>
      <c r="AA807" s="154">
        <v>280756</v>
      </c>
      <c r="AB807" s="154">
        <v>280846</v>
      </c>
      <c r="AC807" s="154">
        <v>280890</v>
      </c>
      <c r="AD807" s="154">
        <v>281045</v>
      </c>
      <c r="AE807" s="154">
        <v>281198</v>
      </c>
      <c r="AF807" s="154">
        <v>281342</v>
      </c>
      <c r="AG807" s="154">
        <v>281507</v>
      </c>
      <c r="AH807" s="154">
        <v>281647</v>
      </c>
      <c r="AI807" s="154">
        <v>281795</v>
      </c>
      <c r="AJ807" s="154">
        <v>281954</v>
      </c>
      <c r="AK807" s="154">
        <v>282102</v>
      </c>
      <c r="AL807" s="154" t="s">
        <v>424</v>
      </c>
      <c r="AP807" cm="1">
        <f t="array" ref="AP807">IF(AQ807="","",SUM(IFERROR(H807:AL807-H806:AL806,0))*AQ807/100)</f>
        <v>222.96</v>
      </c>
      <c r="AQ807">
        <f>_xlfn.XLOOKUP(D807,log_prices!M:M,log_prices!L:L,,0)</f>
        <v>12</v>
      </c>
      <c r="AS807">
        <v>807</v>
      </c>
      <c r="AT807" cm="1">
        <f t="array" ref="AT807">IF(AQ807="","",SUM(IFERROR(H807:AL807-H806:AL806,0)))</f>
        <v>1858</v>
      </c>
    </row>
    <row r="808" spans="1:46" hidden="1" x14ac:dyDescent="0.25">
      <c r="A808">
        <v>807</v>
      </c>
      <c r="B808">
        <v>2025</v>
      </c>
      <c r="C808">
        <v>11</v>
      </c>
      <c r="D808" t="s">
        <v>277</v>
      </c>
      <c r="E808">
        <v>31</v>
      </c>
      <c r="F808">
        <v>10</v>
      </c>
      <c r="G808" t="s">
        <v>536</v>
      </c>
      <c r="H808" s="154">
        <v>356861</v>
      </c>
      <c r="I808" s="154" t="s">
        <v>424</v>
      </c>
      <c r="J808" s="154">
        <v>357074</v>
      </c>
      <c r="K808" s="154">
        <v>357299</v>
      </c>
      <c r="L808" s="154">
        <v>357520</v>
      </c>
      <c r="M808" s="154">
        <v>357759</v>
      </c>
      <c r="N808" s="154">
        <v>357983</v>
      </c>
      <c r="O808" s="154">
        <v>358236</v>
      </c>
      <c r="P808" s="154" t="s">
        <v>424</v>
      </c>
      <c r="Q808" s="154">
        <v>359215</v>
      </c>
      <c r="R808" s="154">
        <v>359409</v>
      </c>
      <c r="S808" s="154">
        <v>359613</v>
      </c>
      <c r="T808" s="154">
        <v>359835</v>
      </c>
      <c r="U808" s="154">
        <v>360075</v>
      </c>
      <c r="V808" s="154">
        <v>360297</v>
      </c>
      <c r="W808" s="154" t="s">
        <v>424</v>
      </c>
      <c r="X808" s="154">
        <v>360717</v>
      </c>
      <c r="Y808" s="154">
        <v>360954</v>
      </c>
      <c r="Z808" s="154">
        <v>361176</v>
      </c>
      <c r="AA808" s="154">
        <v>361414</v>
      </c>
      <c r="AB808" s="154">
        <v>361635</v>
      </c>
      <c r="AC808" s="154">
        <v>361872</v>
      </c>
      <c r="AD808" s="154">
        <v>362094</v>
      </c>
      <c r="AE808" s="154">
        <v>362294</v>
      </c>
      <c r="AF808" s="154">
        <v>362516</v>
      </c>
      <c r="AG808" s="154">
        <v>362750</v>
      </c>
      <c r="AH808" s="154">
        <v>362968</v>
      </c>
      <c r="AI808" s="154">
        <v>363202</v>
      </c>
      <c r="AJ808" s="154">
        <v>363420</v>
      </c>
      <c r="AK808" s="154">
        <v>363420</v>
      </c>
      <c r="AL808" s="154" t="s">
        <v>424</v>
      </c>
      <c r="AS808">
        <v>808</v>
      </c>
    </row>
    <row r="809" spans="1:46" hidden="1" x14ac:dyDescent="0.25">
      <c r="A809">
        <v>808</v>
      </c>
      <c r="B809">
        <v>2025</v>
      </c>
      <c r="C809">
        <v>11</v>
      </c>
      <c r="D809" t="s">
        <v>277</v>
      </c>
      <c r="E809">
        <v>31</v>
      </c>
      <c r="F809">
        <v>10</v>
      </c>
      <c r="G809" t="s">
        <v>537</v>
      </c>
      <c r="H809" s="154">
        <v>357074</v>
      </c>
      <c r="I809" s="154" t="s">
        <v>424</v>
      </c>
      <c r="J809" s="154">
        <v>357299</v>
      </c>
      <c r="K809" s="154">
        <v>357520</v>
      </c>
      <c r="L809" s="154">
        <v>357741</v>
      </c>
      <c r="M809" s="154">
        <v>357983</v>
      </c>
      <c r="N809" s="154">
        <v>358206</v>
      </c>
      <c r="O809" s="154">
        <v>358430</v>
      </c>
      <c r="P809" s="154" t="s">
        <v>424</v>
      </c>
      <c r="Q809" s="154">
        <v>359409</v>
      </c>
      <c r="R809" s="154">
        <v>359613</v>
      </c>
      <c r="S809" s="154">
        <v>359835</v>
      </c>
      <c r="T809" s="154">
        <v>360053</v>
      </c>
      <c r="U809" s="154">
        <v>360293</v>
      </c>
      <c r="V809" s="154">
        <v>360508</v>
      </c>
      <c r="W809" s="154" t="s">
        <v>424</v>
      </c>
      <c r="X809" s="154">
        <v>360937</v>
      </c>
      <c r="Y809" s="154">
        <v>361174</v>
      </c>
      <c r="Z809" s="154">
        <v>361399</v>
      </c>
      <c r="AA809" s="154">
        <v>361634</v>
      </c>
      <c r="AB809" s="154">
        <v>361853</v>
      </c>
      <c r="AC809" s="154">
        <v>362089</v>
      </c>
      <c r="AD809" s="154">
        <v>362294</v>
      </c>
      <c r="AE809" s="154">
        <v>362516</v>
      </c>
      <c r="AF809" s="154">
        <v>362746</v>
      </c>
      <c r="AG809" s="154">
        <v>362968</v>
      </c>
      <c r="AH809" s="154">
        <v>363184</v>
      </c>
      <c r="AI809" s="154">
        <v>363420</v>
      </c>
      <c r="AJ809" s="154">
        <v>363619</v>
      </c>
      <c r="AK809" s="154">
        <v>363429</v>
      </c>
      <c r="AL809" s="154" t="s">
        <v>424</v>
      </c>
      <c r="AP809" cm="1">
        <f t="array" ref="AP809">IF(AQ809="","",SUM(IFERROR(H809:AL809-H808:AL808,0))*AQ809/100)</f>
        <v>1011.2399999999999</v>
      </c>
      <c r="AQ809">
        <f>_xlfn.XLOOKUP(D809,log_prices!M:M,log_prices!L:L,,0)</f>
        <v>17.999999999999996</v>
      </c>
      <c r="AS809">
        <v>809</v>
      </c>
      <c r="AT809" cm="1">
        <f t="array" ref="AT809">IF(AQ809="","",SUM(IFERROR(H809:AL809-H808:AL808,0)))</f>
        <v>5618</v>
      </c>
    </row>
    <row r="810" spans="1:46" hidden="1" x14ac:dyDescent="0.25">
      <c r="A810">
        <v>809</v>
      </c>
      <c r="B810">
        <v>2025</v>
      </c>
      <c r="C810">
        <v>11</v>
      </c>
      <c r="D810" t="s">
        <v>276</v>
      </c>
      <c r="E810">
        <v>31</v>
      </c>
      <c r="F810">
        <v>10</v>
      </c>
      <c r="G810" t="s">
        <v>536</v>
      </c>
      <c r="H810" s="154">
        <v>557189</v>
      </c>
      <c r="I810" s="154">
        <v>557229</v>
      </c>
      <c r="J810" s="154">
        <v>557253</v>
      </c>
      <c r="K810" s="154">
        <v>557334</v>
      </c>
      <c r="L810" s="154">
        <v>557402</v>
      </c>
      <c r="M810" s="154">
        <v>557456</v>
      </c>
      <c r="N810" s="154">
        <v>557510</v>
      </c>
      <c r="O810" s="154">
        <v>557570</v>
      </c>
      <c r="P810" s="154" t="s">
        <v>424</v>
      </c>
      <c r="Q810" s="154">
        <v>557602</v>
      </c>
      <c r="R810" s="154">
        <v>557644</v>
      </c>
      <c r="S810" s="154">
        <v>557671</v>
      </c>
      <c r="T810" s="154">
        <v>557841</v>
      </c>
      <c r="U810" s="154">
        <v>557981</v>
      </c>
      <c r="V810" s="154">
        <v>558035</v>
      </c>
      <c r="W810" s="154">
        <v>558074</v>
      </c>
      <c r="X810" s="154">
        <v>558130</v>
      </c>
      <c r="Y810" s="154">
        <v>558176</v>
      </c>
      <c r="Z810" s="154">
        <v>558227</v>
      </c>
      <c r="AA810" s="154">
        <v>558274</v>
      </c>
      <c r="AB810" s="154">
        <v>558343</v>
      </c>
      <c r="AC810" s="154">
        <v>558427</v>
      </c>
      <c r="AD810" s="154">
        <v>558507</v>
      </c>
      <c r="AE810" s="154">
        <v>558540</v>
      </c>
      <c r="AF810" s="154">
        <v>558603</v>
      </c>
      <c r="AG810" s="154">
        <v>558653</v>
      </c>
      <c r="AH810" s="154">
        <v>558792</v>
      </c>
      <c r="AI810" s="154">
        <v>559000</v>
      </c>
      <c r="AJ810" s="154">
        <v>559043</v>
      </c>
      <c r="AK810" s="154">
        <v>559102</v>
      </c>
      <c r="AL810" s="154" t="s">
        <v>424</v>
      </c>
      <c r="AS810">
        <v>810</v>
      </c>
    </row>
    <row r="811" spans="1:46" hidden="1" x14ac:dyDescent="0.25">
      <c r="A811">
        <v>810</v>
      </c>
      <c r="B811">
        <v>2025</v>
      </c>
      <c r="C811">
        <v>11</v>
      </c>
      <c r="D811" t="s">
        <v>276</v>
      </c>
      <c r="E811">
        <v>31</v>
      </c>
      <c r="F811">
        <v>10</v>
      </c>
      <c r="G811" t="s">
        <v>537</v>
      </c>
      <c r="H811" s="154">
        <v>557229</v>
      </c>
      <c r="I811" s="154">
        <v>557253</v>
      </c>
      <c r="J811" s="154">
        <v>557334</v>
      </c>
      <c r="K811" s="154">
        <v>557402</v>
      </c>
      <c r="L811" s="154">
        <v>557456</v>
      </c>
      <c r="M811" s="154">
        <v>557510</v>
      </c>
      <c r="N811" s="154">
        <v>557570</v>
      </c>
      <c r="O811" s="154">
        <v>557602</v>
      </c>
      <c r="P811" s="154" t="s">
        <v>424</v>
      </c>
      <c r="Q811" s="154">
        <v>557644</v>
      </c>
      <c r="R811" s="154">
        <v>557671</v>
      </c>
      <c r="S811" s="154">
        <v>557841</v>
      </c>
      <c r="T811" s="154">
        <v>557981</v>
      </c>
      <c r="U811" s="154">
        <v>558035</v>
      </c>
      <c r="V811" s="154">
        <v>558074</v>
      </c>
      <c r="W811" s="154">
        <v>558130</v>
      </c>
      <c r="X811" s="154">
        <v>558176</v>
      </c>
      <c r="Y811" s="154">
        <v>558227</v>
      </c>
      <c r="Z811" s="154">
        <v>558274</v>
      </c>
      <c r="AA811" s="154">
        <v>558343</v>
      </c>
      <c r="AB811" s="154">
        <v>558427</v>
      </c>
      <c r="AC811" s="154">
        <v>558507</v>
      </c>
      <c r="AD811" s="154">
        <v>558540</v>
      </c>
      <c r="AE811" s="154">
        <v>558603</v>
      </c>
      <c r="AF811" s="154">
        <v>558653</v>
      </c>
      <c r="AG811" s="154">
        <v>558792</v>
      </c>
      <c r="AH811" s="154">
        <v>559000</v>
      </c>
      <c r="AI811" s="154">
        <v>559043</v>
      </c>
      <c r="AJ811" s="154">
        <v>559102</v>
      </c>
      <c r="AK811" s="154">
        <v>559287</v>
      </c>
      <c r="AL811" s="154" t="s">
        <v>424</v>
      </c>
      <c r="AP811" cm="1">
        <f t="array" ref="AP811">IF(AQ811="","",SUM(IFERROR(H811:AL811-H810:AL810,0))*AQ811/100)</f>
        <v>314.7</v>
      </c>
      <c r="AQ811">
        <f>_xlfn.XLOOKUP(D811,log_prices!M:M,log_prices!L:L,,0)</f>
        <v>15</v>
      </c>
      <c r="AS811">
        <v>811</v>
      </c>
      <c r="AT811" cm="1">
        <f t="array" ref="AT811">IF(AQ811="","",SUM(IFERROR(H811:AL811-H810:AL810,0)))</f>
        <v>2098</v>
      </c>
    </row>
    <row r="812" spans="1:46" hidden="1" x14ac:dyDescent="0.25">
      <c r="A812">
        <v>811</v>
      </c>
      <c r="B812">
        <v>2025</v>
      </c>
      <c r="C812">
        <v>11</v>
      </c>
      <c r="D812" t="s">
        <v>271</v>
      </c>
      <c r="E812">
        <v>31</v>
      </c>
      <c r="F812">
        <v>10</v>
      </c>
      <c r="G812" t="s">
        <v>536</v>
      </c>
      <c r="H812" s="154">
        <v>212585</v>
      </c>
      <c r="I812" s="154">
        <v>212690</v>
      </c>
      <c r="J812" s="154">
        <v>212817</v>
      </c>
      <c r="K812" s="154">
        <v>212922</v>
      </c>
      <c r="L812" s="154">
        <v>213056</v>
      </c>
      <c r="M812" s="154">
        <v>213164</v>
      </c>
      <c r="N812" s="154">
        <v>213281</v>
      </c>
      <c r="O812" s="154">
        <v>213412</v>
      </c>
      <c r="P812" s="154" t="s">
        <v>424</v>
      </c>
      <c r="Q812" s="154">
        <v>213780</v>
      </c>
      <c r="R812" s="154">
        <v>213883</v>
      </c>
      <c r="S812" s="154">
        <v>214010</v>
      </c>
      <c r="T812" s="154">
        <v>214156</v>
      </c>
      <c r="U812" s="154">
        <v>214351</v>
      </c>
      <c r="V812" s="154">
        <v>214495</v>
      </c>
      <c r="W812" s="154">
        <v>214699</v>
      </c>
      <c r="X812" s="154">
        <v>214782</v>
      </c>
      <c r="Y812" s="154">
        <v>214833</v>
      </c>
      <c r="Z812" s="154">
        <v>214907</v>
      </c>
      <c r="AA812" s="154">
        <v>214995</v>
      </c>
      <c r="AB812" s="154">
        <v>215065</v>
      </c>
      <c r="AC812" s="154">
        <v>215120</v>
      </c>
      <c r="AD812" s="154" t="s">
        <v>424</v>
      </c>
      <c r="AE812" s="154">
        <v>215173</v>
      </c>
      <c r="AF812" s="154">
        <v>215239</v>
      </c>
      <c r="AG812" s="154">
        <v>215303</v>
      </c>
      <c r="AH812" s="154">
        <v>215363</v>
      </c>
      <c r="AI812" s="154">
        <v>215421</v>
      </c>
      <c r="AJ812" s="154">
        <v>215489</v>
      </c>
      <c r="AK812" s="154">
        <v>215552</v>
      </c>
      <c r="AL812" s="154" t="s">
        <v>424</v>
      </c>
      <c r="AS812">
        <v>812</v>
      </c>
    </row>
    <row r="813" spans="1:46" hidden="1" x14ac:dyDescent="0.25">
      <c r="A813">
        <v>812</v>
      </c>
      <c r="B813">
        <v>2025</v>
      </c>
      <c r="C813">
        <v>11</v>
      </c>
      <c r="D813" t="s">
        <v>271</v>
      </c>
      <c r="E813">
        <v>31</v>
      </c>
      <c r="F813">
        <v>10</v>
      </c>
      <c r="G813" t="s">
        <v>537</v>
      </c>
      <c r="H813" s="154">
        <v>212690</v>
      </c>
      <c r="I813" s="154">
        <v>212817</v>
      </c>
      <c r="J813" s="154">
        <v>212922</v>
      </c>
      <c r="K813" s="154">
        <v>213028</v>
      </c>
      <c r="L813" s="154">
        <v>213164</v>
      </c>
      <c r="M813" s="154">
        <v>213281</v>
      </c>
      <c r="N813" s="154">
        <v>213405</v>
      </c>
      <c r="O813" s="154">
        <v>213558</v>
      </c>
      <c r="P813" s="154" t="s">
        <v>424</v>
      </c>
      <c r="Q813" s="154">
        <v>213883</v>
      </c>
      <c r="R813" s="154">
        <v>214010</v>
      </c>
      <c r="S813" s="154">
        <v>214141</v>
      </c>
      <c r="T813" s="154">
        <v>214270</v>
      </c>
      <c r="U813" s="154">
        <v>214482</v>
      </c>
      <c r="V813" s="154">
        <v>214660</v>
      </c>
      <c r="W813" s="154">
        <v>214782</v>
      </c>
      <c r="X813" s="154">
        <v>214833</v>
      </c>
      <c r="Y813" s="154">
        <v>214907</v>
      </c>
      <c r="Z813" s="154">
        <v>214995</v>
      </c>
      <c r="AA813" s="154">
        <v>215065</v>
      </c>
      <c r="AB813" s="154">
        <v>215120</v>
      </c>
      <c r="AC813" s="154">
        <v>215173</v>
      </c>
      <c r="AD813" s="154" t="s">
        <v>424</v>
      </c>
      <c r="AE813" s="154">
        <v>215239</v>
      </c>
      <c r="AF813" s="154">
        <v>215303</v>
      </c>
      <c r="AG813" s="154">
        <v>215363</v>
      </c>
      <c r="AH813" s="154">
        <v>215421</v>
      </c>
      <c r="AI813" s="154">
        <v>215489</v>
      </c>
      <c r="AJ813" s="154">
        <v>215552</v>
      </c>
      <c r="AK813" s="154">
        <v>215625</v>
      </c>
      <c r="AL813" s="154" t="s">
        <v>424</v>
      </c>
      <c r="AP813" cm="1">
        <f t="array" ref="AP813">IF(AQ813="","",SUM(IFERROR(H813:AL813-H812:AL812,0))*AQ813/100)</f>
        <v>395.25</v>
      </c>
      <c r="AQ813">
        <f>_xlfn.XLOOKUP(D813,log_prices!M:M,log_prices!L:L,,0)</f>
        <v>15</v>
      </c>
      <c r="AS813">
        <v>813</v>
      </c>
      <c r="AT813" cm="1">
        <f t="array" ref="AT813">IF(AQ813="","",SUM(IFERROR(H813:AL813-H812:AL812,0)))</f>
        <v>2635</v>
      </c>
    </row>
    <row r="814" spans="1:46" hidden="1" x14ac:dyDescent="0.25">
      <c r="A814">
        <v>813</v>
      </c>
      <c r="B814">
        <v>2025</v>
      </c>
      <c r="C814">
        <v>11</v>
      </c>
      <c r="D814" t="s">
        <v>281</v>
      </c>
      <c r="E814">
        <v>31</v>
      </c>
      <c r="F814">
        <v>10</v>
      </c>
      <c r="G814" t="s">
        <v>536</v>
      </c>
      <c r="H814" s="154">
        <v>931890</v>
      </c>
      <c r="I814" s="154">
        <v>931985</v>
      </c>
      <c r="J814" s="154">
        <v>932024</v>
      </c>
      <c r="K814" s="154">
        <v>932125</v>
      </c>
      <c r="L814" s="154">
        <v>932210</v>
      </c>
      <c r="M814" s="154">
        <v>932290</v>
      </c>
      <c r="N814" s="154">
        <v>932380</v>
      </c>
      <c r="O814" s="154">
        <v>932424</v>
      </c>
      <c r="P814" s="154" t="s">
        <v>424</v>
      </c>
      <c r="Q814" s="154">
        <v>932690</v>
      </c>
      <c r="R814" s="154">
        <v>932785</v>
      </c>
      <c r="S814" s="154">
        <v>932814</v>
      </c>
      <c r="T814" s="154">
        <v>932849</v>
      </c>
      <c r="U814" s="154">
        <v>932952</v>
      </c>
      <c r="V814" s="154">
        <v>933057</v>
      </c>
      <c r="W814" s="154">
        <v>933097</v>
      </c>
      <c r="X814" s="154">
        <v>933196</v>
      </c>
      <c r="Y814" s="154">
        <v>933322</v>
      </c>
      <c r="Z814" s="154">
        <v>933388</v>
      </c>
      <c r="AA814" s="154">
        <v>933424</v>
      </c>
      <c r="AB814" s="154">
        <v>933494</v>
      </c>
      <c r="AC814" s="154">
        <v>933634</v>
      </c>
      <c r="AD814" s="154">
        <v>933739</v>
      </c>
      <c r="AE814" s="154">
        <v>933796</v>
      </c>
      <c r="AF814" s="154">
        <v>933910</v>
      </c>
      <c r="AG814" s="154">
        <v>933987</v>
      </c>
      <c r="AH814" s="154">
        <v>934103</v>
      </c>
      <c r="AI814" s="154">
        <v>934173</v>
      </c>
      <c r="AJ814" s="154">
        <v>934243</v>
      </c>
      <c r="AK814" s="154">
        <v>934312</v>
      </c>
      <c r="AL814" s="154" t="s">
        <v>424</v>
      </c>
      <c r="AS814">
        <v>814</v>
      </c>
    </row>
    <row r="815" spans="1:46" hidden="1" x14ac:dyDescent="0.25">
      <c r="A815">
        <v>814</v>
      </c>
      <c r="B815">
        <v>2025</v>
      </c>
      <c r="C815">
        <v>11</v>
      </c>
      <c r="D815" t="s">
        <v>281</v>
      </c>
      <c r="E815">
        <v>31</v>
      </c>
      <c r="F815">
        <v>10</v>
      </c>
      <c r="G815" t="s">
        <v>537</v>
      </c>
      <c r="H815" s="154">
        <v>931985</v>
      </c>
      <c r="I815" s="154">
        <v>932024</v>
      </c>
      <c r="J815" s="154">
        <v>932125</v>
      </c>
      <c r="K815" s="154">
        <v>932210</v>
      </c>
      <c r="L815" s="154">
        <v>932290</v>
      </c>
      <c r="M815" s="154">
        <v>932380</v>
      </c>
      <c r="N815" s="154">
        <v>932424</v>
      </c>
      <c r="O815" s="154">
        <v>932639</v>
      </c>
      <c r="P815" s="154" t="s">
        <v>424</v>
      </c>
      <c r="Q815" s="154">
        <v>932785</v>
      </c>
      <c r="R815" s="154">
        <v>932814</v>
      </c>
      <c r="S815" s="154">
        <v>932849</v>
      </c>
      <c r="T815" s="154">
        <v>932952</v>
      </c>
      <c r="U815" s="154">
        <v>933057</v>
      </c>
      <c r="V815" s="154">
        <v>933097</v>
      </c>
      <c r="W815" s="154">
        <v>933196</v>
      </c>
      <c r="X815" s="154">
        <v>933322</v>
      </c>
      <c r="Y815" s="154">
        <v>933388</v>
      </c>
      <c r="Z815" s="154">
        <v>933424</v>
      </c>
      <c r="AA815" s="154">
        <v>933494</v>
      </c>
      <c r="AB815" s="154">
        <v>933634</v>
      </c>
      <c r="AC815" s="154">
        <v>933739</v>
      </c>
      <c r="AD815" s="154">
        <v>933796</v>
      </c>
      <c r="AE815" s="154">
        <v>933910</v>
      </c>
      <c r="AF815" s="154">
        <v>933987</v>
      </c>
      <c r="AG815" s="154">
        <v>934103</v>
      </c>
      <c r="AH815" s="154">
        <v>934173</v>
      </c>
      <c r="AI815" s="154">
        <v>934243</v>
      </c>
      <c r="AJ815" s="154">
        <v>934312</v>
      </c>
      <c r="AK815" s="154">
        <v>934444</v>
      </c>
      <c r="AL815" s="154" t="s">
        <v>424</v>
      </c>
      <c r="AP815" cm="1">
        <f t="array" ref="AP815">IF(AQ815="","",SUM(IFERROR(H815:AL815-H814:AL814,0))*AQ815/100)</f>
        <v>375.45</v>
      </c>
      <c r="AQ815">
        <f>_xlfn.XLOOKUP(D815,log_prices!M:M,log_prices!L:L,,0)</f>
        <v>15</v>
      </c>
      <c r="AS815">
        <v>815</v>
      </c>
      <c r="AT815" cm="1">
        <f t="array" ref="AT815">IF(AQ815="","",SUM(IFERROR(H815:AL815-H814:AL814,0)))</f>
        <v>2503</v>
      </c>
    </row>
    <row r="816" spans="1:46" hidden="1" x14ac:dyDescent="0.25">
      <c r="A816">
        <v>815</v>
      </c>
      <c r="B816">
        <v>2025</v>
      </c>
      <c r="C816">
        <v>11</v>
      </c>
      <c r="D816" t="s">
        <v>273</v>
      </c>
      <c r="E816">
        <v>31</v>
      </c>
      <c r="F816">
        <v>10</v>
      </c>
      <c r="G816" t="s">
        <v>536</v>
      </c>
      <c r="H816" s="154">
        <v>246740</v>
      </c>
      <c r="I816" s="154">
        <v>246773</v>
      </c>
      <c r="J816" s="154">
        <v>246901</v>
      </c>
      <c r="K816" s="154">
        <v>247051</v>
      </c>
      <c r="L816" s="154">
        <v>247182</v>
      </c>
      <c r="M816" s="154">
        <v>247325</v>
      </c>
      <c r="N816" s="154">
        <v>247358</v>
      </c>
      <c r="O816" s="154">
        <v>247517</v>
      </c>
      <c r="P816" s="154" t="s">
        <v>424</v>
      </c>
      <c r="Q816" s="154">
        <v>247535</v>
      </c>
      <c r="R816" s="154">
        <v>247691</v>
      </c>
      <c r="S816" s="154">
        <v>247725</v>
      </c>
      <c r="T816" s="154">
        <v>247774</v>
      </c>
      <c r="U816" s="154">
        <v>247798</v>
      </c>
      <c r="V816" s="154">
        <v>247949</v>
      </c>
      <c r="W816" s="154">
        <v>248102</v>
      </c>
      <c r="X816" s="154">
        <v>248282</v>
      </c>
      <c r="Y816" s="154">
        <v>248376</v>
      </c>
      <c r="Z816" s="154">
        <v>248517</v>
      </c>
      <c r="AA816" s="154">
        <v>248678</v>
      </c>
      <c r="AB816" s="154">
        <v>248832</v>
      </c>
      <c r="AC816" s="154">
        <v>248981</v>
      </c>
      <c r="AD816" s="154">
        <v>249135</v>
      </c>
      <c r="AE816" s="154">
        <v>249182</v>
      </c>
      <c r="AF816" s="154">
        <v>249321</v>
      </c>
      <c r="AG816" s="154">
        <v>249372</v>
      </c>
      <c r="AH816" s="154">
        <v>249411</v>
      </c>
      <c r="AI816" s="154">
        <v>249465</v>
      </c>
      <c r="AJ816" s="154">
        <v>249608</v>
      </c>
      <c r="AK816" s="154">
        <v>249750</v>
      </c>
      <c r="AL816" s="154" t="s">
        <v>424</v>
      </c>
      <c r="AS816">
        <v>816</v>
      </c>
    </row>
    <row r="817" spans="1:46" hidden="1" x14ac:dyDescent="0.25">
      <c r="A817">
        <v>816</v>
      </c>
      <c r="B817">
        <v>2025</v>
      </c>
      <c r="C817">
        <v>11</v>
      </c>
      <c r="D817" t="s">
        <v>273</v>
      </c>
      <c r="E817">
        <v>31</v>
      </c>
      <c r="F817">
        <v>10</v>
      </c>
      <c r="G817" t="s">
        <v>537</v>
      </c>
      <c r="H817" s="154">
        <v>246773</v>
      </c>
      <c r="I817" s="154">
        <v>246901</v>
      </c>
      <c r="J817" s="154">
        <v>247038</v>
      </c>
      <c r="K817" s="154">
        <v>247182</v>
      </c>
      <c r="L817" s="154">
        <v>247325</v>
      </c>
      <c r="M817" s="154">
        <v>247358</v>
      </c>
      <c r="N817" s="154">
        <v>247517</v>
      </c>
      <c r="O817" s="154">
        <v>247521</v>
      </c>
      <c r="P817" s="154" t="s">
        <v>424</v>
      </c>
      <c r="Q817" s="154">
        <v>247691</v>
      </c>
      <c r="R817" s="154">
        <v>247725</v>
      </c>
      <c r="S817" s="154">
        <v>247774</v>
      </c>
      <c r="T817" s="154">
        <v>247798</v>
      </c>
      <c r="U817" s="154">
        <v>247949</v>
      </c>
      <c r="V817" s="154">
        <v>248086</v>
      </c>
      <c r="W817" s="154">
        <v>248232</v>
      </c>
      <c r="X817" s="154">
        <v>248376</v>
      </c>
      <c r="Y817" s="154">
        <v>248517</v>
      </c>
      <c r="Z817" s="154">
        <v>248678</v>
      </c>
      <c r="AA817" s="154">
        <v>248832</v>
      </c>
      <c r="AB817" s="154">
        <v>248981</v>
      </c>
      <c r="AC817" s="154">
        <v>249135</v>
      </c>
      <c r="AD817" s="154">
        <v>249159</v>
      </c>
      <c r="AE817" s="154">
        <v>249321</v>
      </c>
      <c r="AF817" s="154">
        <v>249372</v>
      </c>
      <c r="AG817" s="154">
        <v>249411</v>
      </c>
      <c r="AH817" s="154">
        <v>249465</v>
      </c>
      <c r="AI817" s="154">
        <v>249608</v>
      </c>
      <c r="AJ817" s="154">
        <v>249750</v>
      </c>
      <c r="AK817" s="154">
        <v>249820</v>
      </c>
      <c r="AL817" s="154" t="s">
        <v>424</v>
      </c>
      <c r="AP817" cm="1">
        <f t="array" ref="AP817">IF(AQ817="","",SUM(IFERROR(H817:AL817-H816:AL816,0))*AQ817/100)</f>
        <v>444.59999999999991</v>
      </c>
      <c r="AQ817">
        <f>_xlfn.XLOOKUP(D817,log_prices!M:M,log_prices!L:L,,0)</f>
        <v>14.999999999999998</v>
      </c>
      <c r="AS817">
        <v>817</v>
      </c>
      <c r="AT817" cm="1">
        <f t="array" ref="AT817">IF(AQ817="","",SUM(IFERROR(H817:AL817-H816:AL816,0)))</f>
        <v>2964</v>
      </c>
    </row>
    <row r="818" spans="1:46" hidden="1" x14ac:dyDescent="0.25">
      <c r="A818">
        <v>817</v>
      </c>
      <c r="B818">
        <v>2025</v>
      </c>
      <c r="C818">
        <v>11</v>
      </c>
      <c r="D818" t="s">
        <v>274</v>
      </c>
      <c r="E818">
        <v>31</v>
      </c>
      <c r="F818">
        <v>10</v>
      </c>
      <c r="G818" t="s">
        <v>536</v>
      </c>
      <c r="H818" s="154">
        <v>376252</v>
      </c>
      <c r="I818" s="154">
        <v>376389</v>
      </c>
      <c r="J818" s="154">
        <v>376526</v>
      </c>
      <c r="K818" s="154">
        <v>376664</v>
      </c>
      <c r="L818" s="154">
        <v>376800</v>
      </c>
      <c r="M818" s="154">
        <v>376938</v>
      </c>
      <c r="N818" s="154">
        <v>377075</v>
      </c>
      <c r="O818" s="154">
        <v>377212</v>
      </c>
      <c r="P818" s="154" t="s">
        <v>424</v>
      </c>
      <c r="Q818" s="154">
        <v>377424</v>
      </c>
      <c r="R818" s="154">
        <v>377562</v>
      </c>
      <c r="S818" s="154">
        <v>377699</v>
      </c>
      <c r="T818" s="154">
        <v>377836</v>
      </c>
      <c r="U818" s="154">
        <v>378094</v>
      </c>
      <c r="V818" s="154">
        <v>378231</v>
      </c>
      <c r="W818" s="154">
        <v>378370</v>
      </c>
      <c r="X818" s="154">
        <v>378507</v>
      </c>
      <c r="Y818" s="154">
        <v>378644</v>
      </c>
      <c r="Z818" s="154">
        <v>286037</v>
      </c>
      <c r="AA818" s="154">
        <v>286341</v>
      </c>
      <c r="AB818" s="154">
        <v>379096</v>
      </c>
      <c r="AC818" s="154">
        <v>379266</v>
      </c>
      <c r="AD818" s="154" t="s">
        <v>424</v>
      </c>
      <c r="AE818" s="154">
        <v>379437</v>
      </c>
      <c r="AF818" s="154">
        <v>379610</v>
      </c>
      <c r="AG818" s="154">
        <v>379747</v>
      </c>
      <c r="AH818" s="154">
        <v>379885</v>
      </c>
      <c r="AI818" s="154">
        <v>380023</v>
      </c>
      <c r="AJ818" s="154">
        <v>380194</v>
      </c>
      <c r="AK818" s="154" t="s">
        <v>424</v>
      </c>
      <c r="AL818" s="154" t="s">
        <v>424</v>
      </c>
      <c r="AS818">
        <v>818</v>
      </c>
    </row>
    <row r="819" spans="1:46" hidden="1" x14ac:dyDescent="0.25">
      <c r="A819">
        <v>818</v>
      </c>
      <c r="B819">
        <v>2025</v>
      </c>
      <c r="C819">
        <v>11</v>
      </c>
      <c r="D819" t="s">
        <v>274</v>
      </c>
      <c r="E819">
        <v>31</v>
      </c>
      <c r="F819">
        <v>10</v>
      </c>
      <c r="G819" t="s">
        <v>537</v>
      </c>
      <c r="H819" s="154">
        <v>376389</v>
      </c>
      <c r="I819" s="154">
        <v>376526</v>
      </c>
      <c r="J819" s="154">
        <v>376664</v>
      </c>
      <c r="K819" s="154">
        <v>376800</v>
      </c>
      <c r="L819" s="154">
        <v>376938</v>
      </c>
      <c r="M819" s="154">
        <v>377075</v>
      </c>
      <c r="N819" s="154">
        <v>377212</v>
      </c>
      <c r="O819" s="154">
        <v>377349</v>
      </c>
      <c r="P819" s="154" t="s">
        <v>424</v>
      </c>
      <c r="Q819" s="154">
        <v>377562</v>
      </c>
      <c r="R819" s="154">
        <v>377699</v>
      </c>
      <c r="S819" s="154">
        <v>377836</v>
      </c>
      <c r="T819" s="154">
        <v>378094</v>
      </c>
      <c r="U819" s="154">
        <v>378231</v>
      </c>
      <c r="V819" s="154">
        <v>378370</v>
      </c>
      <c r="W819" s="154">
        <v>378507</v>
      </c>
      <c r="X819" s="154">
        <v>378644</v>
      </c>
      <c r="Y819" s="154">
        <v>378782</v>
      </c>
      <c r="Z819" s="154">
        <v>286175</v>
      </c>
      <c r="AA819" s="154">
        <v>286512</v>
      </c>
      <c r="AB819" s="154">
        <v>379266</v>
      </c>
      <c r="AC819" s="154">
        <v>379437</v>
      </c>
      <c r="AD819" s="154" t="s">
        <v>424</v>
      </c>
      <c r="AE819" s="154">
        <v>379610</v>
      </c>
      <c r="AF819" s="154">
        <v>379747</v>
      </c>
      <c r="AG819" s="154">
        <v>379886</v>
      </c>
      <c r="AH819" s="154">
        <v>380023</v>
      </c>
      <c r="AI819" s="154">
        <v>380194</v>
      </c>
      <c r="AJ819" s="154">
        <v>380401</v>
      </c>
      <c r="AK819" s="154" t="s">
        <v>424</v>
      </c>
      <c r="AL819" s="154" t="s">
        <v>424</v>
      </c>
      <c r="AP819" cm="1">
        <f t="array" ref="AP819">IF(AQ819="","",SUM(IFERROR(H819:AL819-H818:AL818,0))*AQ819/100)</f>
        <v>732.59999999999991</v>
      </c>
      <c r="AQ819">
        <f>_xlfn.XLOOKUP(D819,log_prices!M:M,log_prices!L:L,,0)</f>
        <v>17.999999999999996</v>
      </c>
      <c r="AS819">
        <v>819</v>
      </c>
      <c r="AT819" cm="1">
        <f t="array" ref="AT819">IF(AQ819="","",SUM(IFERROR(H819:AL819-H818:AL818,0)))</f>
        <v>4070</v>
      </c>
    </row>
    <row r="820" spans="1:46" hidden="1" x14ac:dyDescent="0.25">
      <c r="A820">
        <v>819</v>
      </c>
      <c r="B820">
        <v>2025</v>
      </c>
      <c r="C820">
        <v>11</v>
      </c>
      <c r="D820" t="s">
        <v>457</v>
      </c>
      <c r="E820">
        <v>31</v>
      </c>
      <c r="F820">
        <v>10</v>
      </c>
      <c r="G820" t="s">
        <v>536</v>
      </c>
      <c r="H820" s="154" t="s">
        <v>424</v>
      </c>
      <c r="I820" s="154" t="s">
        <v>424</v>
      </c>
      <c r="J820" s="154" t="s">
        <v>424</v>
      </c>
      <c r="K820" s="154" t="s">
        <v>424</v>
      </c>
      <c r="L820" s="154" t="s">
        <v>424</v>
      </c>
      <c r="M820" s="154" t="s">
        <v>424</v>
      </c>
      <c r="N820" s="154" t="s">
        <v>424</v>
      </c>
      <c r="O820" s="154" t="s">
        <v>424</v>
      </c>
      <c r="P820" s="154" t="s">
        <v>424</v>
      </c>
      <c r="Q820" s="154" t="s">
        <v>424</v>
      </c>
      <c r="R820" s="154" t="s">
        <v>424</v>
      </c>
      <c r="S820" s="154" t="s">
        <v>424</v>
      </c>
      <c r="T820" s="154" t="s">
        <v>424</v>
      </c>
      <c r="U820" s="154" t="s">
        <v>424</v>
      </c>
      <c r="V820" s="154" t="s">
        <v>424</v>
      </c>
      <c r="W820" s="154" t="s">
        <v>424</v>
      </c>
      <c r="X820" s="154" t="s">
        <v>424</v>
      </c>
      <c r="Y820" s="154" t="s">
        <v>424</v>
      </c>
      <c r="Z820" s="154" t="s">
        <v>424</v>
      </c>
      <c r="AA820" s="154" t="s">
        <v>424</v>
      </c>
      <c r="AB820" s="154" t="s">
        <v>424</v>
      </c>
      <c r="AC820" s="154" t="s">
        <v>424</v>
      </c>
      <c r="AD820" s="154" t="s">
        <v>424</v>
      </c>
      <c r="AE820" s="154" t="s">
        <v>424</v>
      </c>
      <c r="AF820" s="154" t="s">
        <v>424</v>
      </c>
      <c r="AG820" s="154" t="s">
        <v>424</v>
      </c>
      <c r="AH820" s="154">
        <v>316006</v>
      </c>
      <c r="AI820" s="154">
        <v>316025</v>
      </c>
      <c r="AJ820" s="154">
        <v>316052</v>
      </c>
      <c r="AK820" s="154">
        <v>316090</v>
      </c>
      <c r="AL820" s="154" t="s">
        <v>424</v>
      </c>
      <c r="AS820">
        <v>820</v>
      </c>
    </row>
    <row r="821" spans="1:46" hidden="1" x14ac:dyDescent="0.25">
      <c r="A821">
        <v>820</v>
      </c>
      <c r="B821">
        <v>2025</v>
      </c>
      <c r="C821">
        <v>11</v>
      </c>
      <c r="D821" t="s">
        <v>457</v>
      </c>
      <c r="E821">
        <v>31</v>
      </c>
      <c r="F821">
        <v>10</v>
      </c>
      <c r="G821" t="s">
        <v>537</v>
      </c>
      <c r="H821" s="154" t="s">
        <v>424</v>
      </c>
      <c r="I821" s="154" t="s">
        <v>424</v>
      </c>
      <c r="J821" s="154" t="s">
        <v>424</v>
      </c>
      <c r="K821" s="154" t="s">
        <v>424</v>
      </c>
      <c r="L821" s="154" t="s">
        <v>424</v>
      </c>
      <c r="M821" s="154" t="s">
        <v>424</v>
      </c>
      <c r="N821" s="154" t="s">
        <v>424</v>
      </c>
      <c r="O821" s="154" t="s">
        <v>424</v>
      </c>
      <c r="P821" s="154" t="s">
        <v>424</v>
      </c>
      <c r="Q821" s="154" t="s">
        <v>424</v>
      </c>
      <c r="R821" s="154" t="s">
        <v>424</v>
      </c>
      <c r="S821" s="154" t="s">
        <v>424</v>
      </c>
      <c r="T821" s="154" t="s">
        <v>424</v>
      </c>
      <c r="U821" s="154" t="s">
        <v>424</v>
      </c>
      <c r="V821" s="154" t="s">
        <v>424</v>
      </c>
      <c r="W821" s="154" t="s">
        <v>424</v>
      </c>
      <c r="X821" s="154" t="s">
        <v>424</v>
      </c>
      <c r="Y821" s="154" t="s">
        <v>424</v>
      </c>
      <c r="Z821" s="154" t="s">
        <v>424</v>
      </c>
      <c r="AA821" s="154" t="s">
        <v>424</v>
      </c>
      <c r="AB821" s="154" t="s">
        <v>424</v>
      </c>
      <c r="AC821" s="154" t="s">
        <v>424</v>
      </c>
      <c r="AD821" s="154" t="s">
        <v>424</v>
      </c>
      <c r="AE821" s="154" t="s">
        <v>424</v>
      </c>
      <c r="AF821" s="154" t="s">
        <v>424</v>
      </c>
      <c r="AG821" s="154" t="s">
        <v>424</v>
      </c>
      <c r="AH821" s="154">
        <v>316024</v>
      </c>
      <c r="AI821" s="154">
        <v>316051</v>
      </c>
      <c r="AJ821" s="154">
        <v>316090</v>
      </c>
      <c r="AK821" s="154">
        <v>316121</v>
      </c>
      <c r="AL821" s="154" t="s">
        <v>424</v>
      </c>
      <c r="AP821" cm="1">
        <f t="array" ref="AP821">IF(AQ821="","",SUM(IFERROR(H821:AL821-H820:AL820,0))*AQ821/100)</f>
        <v>13.56</v>
      </c>
      <c r="AQ821">
        <v>12</v>
      </c>
      <c r="AR821" t="s">
        <v>468</v>
      </c>
      <c r="AS821">
        <v>821</v>
      </c>
      <c r="AT821" cm="1">
        <f t="array" ref="AT821">IF(AQ821="","",SUM(IFERROR(H821:AL821-H820:AL820,0)))</f>
        <v>113</v>
      </c>
    </row>
    <row r="822" spans="1:46" hidden="1" x14ac:dyDescent="0.25">
      <c r="A822">
        <v>821</v>
      </c>
      <c r="B822">
        <v>2025</v>
      </c>
      <c r="C822">
        <v>11</v>
      </c>
      <c r="D822" t="s">
        <v>458</v>
      </c>
      <c r="E822">
        <v>31</v>
      </c>
      <c r="F822">
        <v>10</v>
      </c>
      <c r="G822" t="s">
        <v>536</v>
      </c>
      <c r="H822" s="154" t="s">
        <v>424</v>
      </c>
      <c r="I822" s="154" t="s">
        <v>424</v>
      </c>
      <c r="J822" s="154" t="s">
        <v>424</v>
      </c>
      <c r="K822" s="154" t="s">
        <v>424</v>
      </c>
      <c r="L822" s="154" t="s">
        <v>424</v>
      </c>
      <c r="M822" s="154" t="s">
        <v>424</v>
      </c>
      <c r="N822" s="154" t="s">
        <v>424</v>
      </c>
      <c r="O822" s="154" t="s">
        <v>424</v>
      </c>
      <c r="P822" s="154" t="s">
        <v>424</v>
      </c>
      <c r="Q822" s="154" t="s">
        <v>424</v>
      </c>
      <c r="R822" s="154" t="s">
        <v>424</v>
      </c>
      <c r="S822" s="154" t="s">
        <v>424</v>
      </c>
      <c r="T822" s="154" t="s">
        <v>424</v>
      </c>
      <c r="U822" s="154" t="s">
        <v>424</v>
      </c>
      <c r="V822" s="154">
        <v>253408</v>
      </c>
      <c r="W822" s="154">
        <v>253498</v>
      </c>
      <c r="X822" s="154">
        <v>253575</v>
      </c>
      <c r="Y822" s="154">
        <v>253687</v>
      </c>
      <c r="Z822" s="154">
        <v>253740</v>
      </c>
      <c r="AA822" s="154">
        <v>253821</v>
      </c>
      <c r="AB822" s="154">
        <v>253916</v>
      </c>
      <c r="AC822" s="154">
        <v>254007</v>
      </c>
      <c r="AD822" s="154">
        <v>254061</v>
      </c>
      <c r="AE822" s="154">
        <v>254132</v>
      </c>
      <c r="AF822" s="154">
        <v>254214</v>
      </c>
      <c r="AG822" s="154">
        <v>254288</v>
      </c>
      <c r="AH822" s="154">
        <v>254382</v>
      </c>
      <c r="AI822" s="154">
        <v>254471</v>
      </c>
      <c r="AJ822" s="154">
        <v>254564</v>
      </c>
      <c r="AK822" s="154">
        <v>254643</v>
      </c>
      <c r="AL822" s="154" t="s">
        <v>424</v>
      </c>
      <c r="AS822">
        <v>822</v>
      </c>
    </row>
    <row r="823" spans="1:46" hidden="1" x14ac:dyDescent="0.25">
      <c r="A823">
        <v>822</v>
      </c>
      <c r="B823">
        <v>2025</v>
      </c>
      <c r="C823">
        <v>11</v>
      </c>
      <c r="D823" t="s">
        <v>458</v>
      </c>
      <c r="E823">
        <v>31</v>
      </c>
      <c r="F823">
        <v>10</v>
      </c>
      <c r="G823" t="s">
        <v>537</v>
      </c>
      <c r="H823" s="154" t="s">
        <v>424</v>
      </c>
      <c r="I823" s="154" t="s">
        <v>424</v>
      </c>
      <c r="J823" s="154" t="s">
        <v>424</v>
      </c>
      <c r="K823" s="154" t="s">
        <v>424</v>
      </c>
      <c r="L823" s="154" t="s">
        <v>424</v>
      </c>
      <c r="M823" s="154" t="s">
        <v>424</v>
      </c>
      <c r="N823" s="154" t="s">
        <v>424</v>
      </c>
      <c r="O823" s="154" t="s">
        <v>424</v>
      </c>
      <c r="P823" s="154" t="s">
        <v>424</v>
      </c>
      <c r="Q823" s="154" t="s">
        <v>424</v>
      </c>
      <c r="R823" s="154" t="s">
        <v>424</v>
      </c>
      <c r="S823" s="154" t="s">
        <v>424</v>
      </c>
      <c r="T823" s="154" t="s">
        <v>424</v>
      </c>
      <c r="U823" s="154" t="s">
        <v>424</v>
      </c>
      <c r="V823" s="154">
        <v>253498</v>
      </c>
      <c r="W823" s="154">
        <v>253575</v>
      </c>
      <c r="X823" s="154">
        <v>253687</v>
      </c>
      <c r="Y823" s="154">
        <v>253740</v>
      </c>
      <c r="Z823" s="154">
        <v>253821</v>
      </c>
      <c r="AA823" s="154">
        <v>253916</v>
      </c>
      <c r="AB823" s="154">
        <v>254007</v>
      </c>
      <c r="AC823" s="154">
        <v>254061</v>
      </c>
      <c r="AD823" s="154">
        <v>254132</v>
      </c>
      <c r="AE823" s="154">
        <v>254214</v>
      </c>
      <c r="AF823" s="154">
        <v>254288</v>
      </c>
      <c r="AG823" s="154">
        <v>254382</v>
      </c>
      <c r="AH823" s="154">
        <v>254471</v>
      </c>
      <c r="AI823" s="154">
        <v>254564</v>
      </c>
      <c r="AJ823" s="154">
        <v>254643</v>
      </c>
      <c r="AK823" s="154">
        <v>254716</v>
      </c>
      <c r="AL823" s="154" t="s">
        <v>424</v>
      </c>
      <c r="AP823" cm="1">
        <f t="array" ref="AP823">IF(AQ823="","",SUM(IFERROR(H823:AL823-H822:AL822,0))*AQ823/100)</f>
        <v>196.2</v>
      </c>
      <c r="AQ823">
        <f>_xlfn.XLOOKUP(D823,log_prices!M:M,log_prices!L:L,,0)</f>
        <v>15</v>
      </c>
      <c r="AS823">
        <v>823</v>
      </c>
      <c r="AT823" cm="1">
        <f t="array" ref="AT823">IF(AQ823="","",SUM(IFERROR(H823:AL823-H822:AL822,0)))</f>
        <v>1308</v>
      </c>
    </row>
    <row r="824" spans="1:46" hidden="1" x14ac:dyDescent="0.25">
      <c r="A824">
        <v>823</v>
      </c>
      <c r="B824">
        <v>2025</v>
      </c>
      <c r="C824">
        <v>11</v>
      </c>
      <c r="D824" t="s">
        <v>270</v>
      </c>
      <c r="E824">
        <v>31</v>
      </c>
      <c r="F824">
        <v>10</v>
      </c>
      <c r="G824" t="s">
        <v>536</v>
      </c>
      <c r="H824" s="154">
        <v>276382</v>
      </c>
      <c r="I824" s="154">
        <v>276495</v>
      </c>
      <c r="J824" s="154">
        <v>276586</v>
      </c>
      <c r="K824" s="154">
        <v>276677</v>
      </c>
      <c r="L824" s="154">
        <v>276781</v>
      </c>
      <c r="M824" s="154">
        <v>276834</v>
      </c>
      <c r="N824" s="154">
        <v>276947</v>
      </c>
      <c r="O824" s="154">
        <v>277062</v>
      </c>
      <c r="P824" s="154" t="s">
        <v>424</v>
      </c>
      <c r="Q824" s="154">
        <v>277190</v>
      </c>
      <c r="R824" s="154">
        <v>277296</v>
      </c>
      <c r="S824" s="154">
        <v>277419</v>
      </c>
      <c r="T824" s="154">
        <v>277527</v>
      </c>
      <c r="U824" s="154">
        <v>277626</v>
      </c>
      <c r="V824" s="154" t="s">
        <v>424</v>
      </c>
      <c r="W824" s="154" t="s">
        <v>424</v>
      </c>
      <c r="X824" s="154" t="s">
        <v>424</v>
      </c>
      <c r="Y824" s="154" t="s">
        <v>424</v>
      </c>
      <c r="Z824" s="154" t="s">
        <v>424</v>
      </c>
      <c r="AA824" s="154" t="s">
        <v>424</v>
      </c>
      <c r="AB824" s="154" t="s">
        <v>424</v>
      </c>
      <c r="AC824" s="154" t="s">
        <v>424</v>
      </c>
      <c r="AD824" s="154" t="s">
        <v>424</v>
      </c>
      <c r="AE824" s="154" t="s">
        <v>424</v>
      </c>
      <c r="AF824" s="154" t="s">
        <v>424</v>
      </c>
      <c r="AG824" s="154" t="s">
        <v>424</v>
      </c>
      <c r="AH824" s="154" t="s">
        <v>424</v>
      </c>
      <c r="AI824" s="154" t="s">
        <v>424</v>
      </c>
      <c r="AJ824" s="154" t="s">
        <v>424</v>
      </c>
      <c r="AK824" s="154" t="s">
        <v>424</v>
      </c>
      <c r="AL824" s="154" t="s">
        <v>424</v>
      </c>
      <c r="AS824">
        <v>824</v>
      </c>
    </row>
    <row r="825" spans="1:46" hidden="1" x14ac:dyDescent="0.25">
      <c r="A825">
        <v>824</v>
      </c>
      <c r="B825">
        <v>2025</v>
      </c>
      <c r="C825">
        <v>11</v>
      </c>
      <c r="D825" t="s">
        <v>270</v>
      </c>
      <c r="E825">
        <v>31</v>
      </c>
      <c r="F825">
        <v>10</v>
      </c>
      <c r="G825" t="s">
        <v>537</v>
      </c>
      <c r="H825" s="154">
        <v>276495</v>
      </c>
      <c r="I825" s="154">
        <v>276586</v>
      </c>
      <c r="J825" s="154">
        <v>276677</v>
      </c>
      <c r="K825" s="154">
        <v>276781</v>
      </c>
      <c r="L825" s="154">
        <v>276834</v>
      </c>
      <c r="M825" s="154">
        <v>276947</v>
      </c>
      <c r="N825" s="154">
        <v>277062</v>
      </c>
      <c r="O825" s="154">
        <v>277190</v>
      </c>
      <c r="P825" s="154" t="s">
        <v>424</v>
      </c>
      <c r="Q825" s="154">
        <v>277296</v>
      </c>
      <c r="R825" s="154">
        <v>277419</v>
      </c>
      <c r="S825" s="154">
        <v>277527</v>
      </c>
      <c r="T825" s="154">
        <v>277626</v>
      </c>
      <c r="U825" s="154">
        <v>277721</v>
      </c>
      <c r="V825" s="154" t="s">
        <v>424</v>
      </c>
      <c r="W825" s="154" t="s">
        <v>424</v>
      </c>
      <c r="X825" s="154" t="s">
        <v>424</v>
      </c>
      <c r="Y825" s="154" t="s">
        <v>424</v>
      </c>
      <c r="Z825" s="154" t="s">
        <v>424</v>
      </c>
      <c r="AA825" s="154" t="s">
        <v>424</v>
      </c>
      <c r="AB825" s="154" t="s">
        <v>424</v>
      </c>
      <c r="AC825" s="154" t="s">
        <v>424</v>
      </c>
      <c r="AD825" s="154" t="s">
        <v>424</v>
      </c>
      <c r="AE825" s="154" t="s">
        <v>424</v>
      </c>
      <c r="AF825" s="154" t="s">
        <v>424</v>
      </c>
      <c r="AG825" s="154" t="s">
        <v>424</v>
      </c>
      <c r="AH825" s="154" t="s">
        <v>424</v>
      </c>
      <c r="AI825" s="154" t="s">
        <v>424</v>
      </c>
      <c r="AJ825" s="154" t="s">
        <v>424</v>
      </c>
      <c r="AK825" s="154" t="s">
        <v>424</v>
      </c>
      <c r="AL825" s="154" t="s">
        <v>424</v>
      </c>
      <c r="AP825" cm="1">
        <f t="array" ref="AP825">IF(AQ825="","",SUM(IFERROR(H825:AL825-H824:AL824,0))*AQ825/100)</f>
        <v>200.85</v>
      </c>
      <c r="AQ825">
        <f>_xlfn.XLOOKUP(D825,log_prices!M:M,log_prices!L:L,,0)</f>
        <v>15</v>
      </c>
      <c r="AS825">
        <v>825</v>
      </c>
      <c r="AT825" cm="1">
        <f t="array" ref="AT825">IF(AQ825="","",SUM(IFERROR(H825:AL825-H824:AL824,0)))</f>
        <v>1339</v>
      </c>
    </row>
    <row r="826" spans="1:46" hidden="1" x14ac:dyDescent="0.25">
      <c r="A826">
        <v>825</v>
      </c>
      <c r="B826">
        <v>2025</v>
      </c>
      <c r="C826">
        <v>11</v>
      </c>
      <c r="D826" t="s">
        <v>248</v>
      </c>
      <c r="E826">
        <v>31</v>
      </c>
      <c r="F826">
        <v>10</v>
      </c>
      <c r="G826" t="s">
        <v>536</v>
      </c>
      <c r="H826" s="154">
        <v>378139</v>
      </c>
      <c r="I826" s="154">
        <v>378202</v>
      </c>
      <c r="J826" s="154">
        <v>378239</v>
      </c>
      <c r="K826" s="154">
        <v>378409</v>
      </c>
      <c r="L826" s="154">
        <v>378456</v>
      </c>
      <c r="M826" s="154">
        <v>378626</v>
      </c>
      <c r="N826" s="154">
        <v>378779</v>
      </c>
      <c r="O826" s="154">
        <v>378807</v>
      </c>
      <c r="P826" s="154" t="s">
        <v>424</v>
      </c>
      <c r="Q826" s="154">
        <v>379186</v>
      </c>
      <c r="R826" s="154">
        <v>379276</v>
      </c>
      <c r="S826" s="154">
        <v>379429</v>
      </c>
      <c r="T826" s="154">
        <v>379731</v>
      </c>
      <c r="U826" s="154">
        <v>380064</v>
      </c>
      <c r="V826" s="154">
        <v>380137</v>
      </c>
      <c r="W826" s="154">
        <v>380196</v>
      </c>
      <c r="X826" s="154">
        <v>380264</v>
      </c>
      <c r="Y826" s="154">
        <v>380425</v>
      </c>
      <c r="Z826" s="154">
        <v>380630</v>
      </c>
      <c r="AA826" s="154">
        <v>380706</v>
      </c>
      <c r="AB826" s="154">
        <v>380761</v>
      </c>
      <c r="AC826" s="154">
        <v>380841</v>
      </c>
      <c r="AD826" s="154">
        <v>381375</v>
      </c>
      <c r="AE826" s="154">
        <v>381709</v>
      </c>
      <c r="AF826" s="154">
        <v>381768</v>
      </c>
      <c r="AG826" s="154">
        <v>381823</v>
      </c>
      <c r="AH826" s="154">
        <v>381891</v>
      </c>
      <c r="AI826" s="154">
        <v>382119</v>
      </c>
      <c r="AJ826" s="154">
        <v>382306</v>
      </c>
      <c r="AK826" s="154">
        <v>382448</v>
      </c>
      <c r="AL826" s="154" t="s">
        <v>424</v>
      </c>
      <c r="AS826">
        <v>826</v>
      </c>
    </row>
    <row r="827" spans="1:46" hidden="1" x14ac:dyDescent="0.25">
      <c r="A827">
        <v>826</v>
      </c>
      <c r="B827">
        <v>2025</v>
      </c>
      <c r="C827">
        <v>11</v>
      </c>
      <c r="D827" t="s">
        <v>248</v>
      </c>
      <c r="E827">
        <v>31</v>
      </c>
      <c r="F827">
        <v>10</v>
      </c>
      <c r="G827" t="s">
        <v>537</v>
      </c>
      <c r="H827" s="154">
        <v>378202</v>
      </c>
      <c r="I827" s="154">
        <v>378239</v>
      </c>
      <c r="J827" s="154">
        <v>378287</v>
      </c>
      <c r="K827" s="154">
        <v>378456</v>
      </c>
      <c r="L827" s="154">
        <v>378600</v>
      </c>
      <c r="M827" s="154">
        <v>378779</v>
      </c>
      <c r="N827" s="154">
        <v>378807</v>
      </c>
      <c r="O827" s="154">
        <v>379000</v>
      </c>
      <c r="P827" s="154" t="s">
        <v>424</v>
      </c>
      <c r="Q827" s="154">
        <v>379276</v>
      </c>
      <c r="R827" s="154">
        <v>379332</v>
      </c>
      <c r="S827" s="154">
        <v>379602</v>
      </c>
      <c r="T827" s="154">
        <v>379887</v>
      </c>
      <c r="U827" s="154">
        <v>380122</v>
      </c>
      <c r="V827" s="154">
        <v>380196</v>
      </c>
      <c r="W827" s="154">
        <v>380264</v>
      </c>
      <c r="X827" s="154">
        <v>380401</v>
      </c>
      <c r="Y827" s="154">
        <v>380577</v>
      </c>
      <c r="Z827" s="154">
        <v>380706</v>
      </c>
      <c r="AA827" s="154">
        <v>380761</v>
      </c>
      <c r="AB827" s="154">
        <v>380800</v>
      </c>
      <c r="AC827" s="154">
        <v>380866</v>
      </c>
      <c r="AD827" s="154">
        <v>381507</v>
      </c>
      <c r="AE827" s="154">
        <v>381768</v>
      </c>
      <c r="AF827" s="154">
        <v>381823</v>
      </c>
      <c r="AG827" s="154">
        <v>381891</v>
      </c>
      <c r="AH827" s="154">
        <v>382049</v>
      </c>
      <c r="AI827" s="154">
        <v>382245</v>
      </c>
      <c r="AJ827" s="154">
        <v>382448</v>
      </c>
      <c r="AK827" s="154">
        <v>382512</v>
      </c>
      <c r="AL827" s="154" t="s">
        <v>424</v>
      </c>
      <c r="AP827" cm="1">
        <f t="array" ref="AP827">IF(AQ827="","",SUM(IFERROR(H827:AL827-H826:AL826,0))*AQ827/100)</f>
        <v>399.15</v>
      </c>
      <c r="AQ827">
        <f>_xlfn.XLOOKUP(D827,log_prices!M:M,log_prices!L:L,,0)</f>
        <v>15</v>
      </c>
      <c r="AS827">
        <v>827</v>
      </c>
      <c r="AT827" cm="1">
        <f t="array" ref="AT827">IF(AQ827="","",SUM(IFERROR(H827:AL827-H826:AL826,0)))</f>
        <v>2661</v>
      </c>
    </row>
    <row r="828" spans="1:46" hidden="1" x14ac:dyDescent="0.25">
      <c r="A828">
        <v>827</v>
      </c>
      <c r="B828">
        <v>2025</v>
      </c>
      <c r="C828">
        <v>11</v>
      </c>
      <c r="D828" t="s">
        <v>232</v>
      </c>
      <c r="E828">
        <v>31</v>
      </c>
      <c r="F828">
        <v>10</v>
      </c>
      <c r="G828" t="s">
        <v>536</v>
      </c>
      <c r="H828" s="154">
        <v>493093</v>
      </c>
      <c r="I828" s="154">
        <v>493244</v>
      </c>
      <c r="J828" s="154">
        <v>493319</v>
      </c>
      <c r="K828" s="154">
        <v>493352</v>
      </c>
      <c r="L828" s="154">
        <v>493377</v>
      </c>
      <c r="M828" s="154">
        <v>493540</v>
      </c>
      <c r="N828" s="154">
        <v>493656</v>
      </c>
      <c r="O828" s="154">
        <v>493685</v>
      </c>
      <c r="P828" s="154" t="s">
        <v>424</v>
      </c>
      <c r="Q828" s="154">
        <v>493914</v>
      </c>
      <c r="R828" s="154">
        <v>494003</v>
      </c>
      <c r="S828" s="154">
        <v>494051</v>
      </c>
      <c r="T828" s="154">
        <v>494077</v>
      </c>
      <c r="U828" s="154">
        <v>494224</v>
      </c>
      <c r="V828" s="154">
        <v>494316</v>
      </c>
      <c r="W828" s="154">
        <v>494357</v>
      </c>
      <c r="X828" s="154">
        <v>494391</v>
      </c>
      <c r="Y828" s="154">
        <v>494548</v>
      </c>
      <c r="Z828" s="154">
        <v>494577</v>
      </c>
      <c r="AA828" s="154">
        <v>494598</v>
      </c>
      <c r="AB828" s="154">
        <v>494618</v>
      </c>
      <c r="AC828" s="154">
        <v>494646</v>
      </c>
      <c r="AD828" s="154">
        <v>494677</v>
      </c>
      <c r="AE828" s="154">
        <v>494686</v>
      </c>
      <c r="AF828" s="154">
        <v>494706</v>
      </c>
      <c r="AG828" s="154">
        <v>494745</v>
      </c>
      <c r="AH828" s="154">
        <v>494930</v>
      </c>
      <c r="AI828" s="154">
        <v>494959</v>
      </c>
      <c r="AJ828" s="154">
        <v>494977</v>
      </c>
      <c r="AK828" s="154">
        <v>495008</v>
      </c>
      <c r="AL828" s="154" t="s">
        <v>424</v>
      </c>
      <c r="AS828">
        <v>828</v>
      </c>
    </row>
    <row r="829" spans="1:46" hidden="1" x14ac:dyDescent="0.25">
      <c r="A829">
        <v>828</v>
      </c>
      <c r="B829">
        <v>2025</v>
      </c>
      <c r="C829">
        <v>11</v>
      </c>
      <c r="D829" t="s">
        <v>232</v>
      </c>
      <c r="E829">
        <v>31</v>
      </c>
      <c r="F829">
        <v>10</v>
      </c>
      <c r="G829" t="s">
        <v>537</v>
      </c>
      <c r="H829" s="154">
        <v>493165</v>
      </c>
      <c r="I829" s="154">
        <v>493319</v>
      </c>
      <c r="J829" s="154">
        <v>493352</v>
      </c>
      <c r="K829" s="154">
        <v>493377</v>
      </c>
      <c r="L829" s="154">
        <v>493466</v>
      </c>
      <c r="M829" s="154">
        <v>493656</v>
      </c>
      <c r="N829" s="154">
        <v>493685</v>
      </c>
      <c r="O829" s="154">
        <v>493782</v>
      </c>
      <c r="P829" s="154" t="s">
        <v>424</v>
      </c>
      <c r="Q829" s="154">
        <v>494003</v>
      </c>
      <c r="R829" s="154">
        <v>494051</v>
      </c>
      <c r="S829" s="154">
        <v>494077</v>
      </c>
      <c r="T829" s="154">
        <v>494121</v>
      </c>
      <c r="U829" s="154">
        <v>494316</v>
      </c>
      <c r="V829" s="154">
        <v>494357</v>
      </c>
      <c r="W829" s="154">
        <v>494391</v>
      </c>
      <c r="X829" s="154">
        <v>494548</v>
      </c>
      <c r="Y829" s="154">
        <v>494577</v>
      </c>
      <c r="Z829" s="154">
        <v>494598</v>
      </c>
      <c r="AA829" s="154">
        <v>494618</v>
      </c>
      <c r="AB829" s="154">
        <v>494646</v>
      </c>
      <c r="AC829" s="154">
        <v>494677</v>
      </c>
      <c r="AD829" s="154">
        <v>494686</v>
      </c>
      <c r="AE829" s="154">
        <v>494706</v>
      </c>
      <c r="AF829" s="154">
        <v>494745</v>
      </c>
      <c r="AG829" s="154">
        <v>494930</v>
      </c>
      <c r="AH829" s="154">
        <v>494959</v>
      </c>
      <c r="AI829" s="154">
        <v>494977</v>
      </c>
      <c r="AJ829" s="154">
        <v>495008</v>
      </c>
      <c r="AK829" s="154">
        <v>495120</v>
      </c>
      <c r="AL829" s="154" t="s">
        <v>424</v>
      </c>
      <c r="AP829" cm="1">
        <f t="array" ref="AP829">IF(AQ829="","",SUM(IFERROR(H829:AL829-H828:AL828,0))*AQ829/100)</f>
        <v>245.85</v>
      </c>
      <c r="AQ829">
        <f>_xlfn.XLOOKUP(D829,log_prices!M:M,log_prices!L:L,,0)</f>
        <v>15</v>
      </c>
      <c r="AS829">
        <v>829</v>
      </c>
      <c r="AT829" cm="1">
        <f t="array" ref="AT829">IF(AQ829="","",SUM(IFERROR(H829:AL829-H828:AL828,0)))</f>
        <v>1639</v>
      </c>
    </row>
    <row r="830" spans="1:46" hidden="1" x14ac:dyDescent="0.25">
      <c r="A830">
        <v>829</v>
      </c>
      <c r="B830">
        <v>2025</v>
      </c>
      <c r="C830">
        <v>11</v>
      </c>
      <c r="D830" t="s">
        <v>459</v>
      </c>
      <c r="E830">
        <v>31</v>
      </c>
      <c r="F830">
        <v>10</v>
      </c>
      <c r="G830" t="s">
        <v>536</v>
      </c>
      <c r="H830" s="154" t="s">
        <v>424</v>
      </c>
      <c r="I830" s="154" t="s">
        <v>424</v>
      </c>
      <c r="J830" s="154" t="s">
        <v>424</v>
      </c>
      <c r="K830" s="154" t="s">
        <v>424</v>
      </c>
      <c r="L830" s="154" t="s">
        <v>424</v>
      </c>
      <c r="M830" s="154" t="s">
        <v>424</v>
      </c>
      <c r="N830" s="154" t="s">
        <v>424</v>
      </c>
      <c r="O830" s="154" t="s">
        <v>424</v>
      </c>
      <c r="P830" s="154" t="s">
        <v>424</v>
      </c>
      <c r="Q830" s="154">
        <v>261110</v>
      </c>
      <c r="R830" s="154">
        <v>261214</v>
      </c>
      <c r="S830" s="154">
        <v>261257</v>
      </c>
      <c r="T830" s="154">
        <v>261289</v>
      </c>
      <c r="U830" s="154">
        <v>261319</v>
      </c>
      <c r="V830" s="154">
        <v>261347</v>
      </c>
      <c r="W830" s="154">
        <v>261370</v>
      </c>
      <c r="X830" s="154">
        <v>261388</v>
      </c>
      <c r="Y830" s="154">
        <v>261408</v>
      </c>
      <c r="Z830" s="154">
        <v>261451</v>
      </c>
      <c r="AA830" s="154">
        <v>261479</v>
      </c>
      <c r="AB830" s="154">
        <v>261504</v>
      </c>
      <c r="AC830" s="154">
        <v>261529</v>
      </c>
      <c r="AD830" s="154">
        <v>261570</v>
      </c>
      <c r="AE830" s="154">
        <v>261792</v>
      </c>
      <c r="AF830" s="154">
        <v>261828</v>
      </c>
      <c r="AG830" s="154">
        <v>261862</v>
      </c>
      <c r="AH830" s="154">
        <v>261885</v>
      </c>
      <c r="AI830" s="154">
        <v>261912</v>
      </c>
      <c r="AJ830" s="154">
        <v>261932</v>
      </c>
      <c r="AK830" s="154">
        <v>261957</v>
      </c>
      <c r="AL830" s="154" t="s">
        <v>424</v>
      </c>
      <c r="AS830">
        <v>830</v>
      </c>
    </row>
    <row r="831" spans="1:46" hidden="1" x14ac:dyDescent="0.25">
      <c r="A831">
        <v>830</v>
      </c>
      <c r="B831">
        <v>2025</v>
      </c>
      <c r="C831">
        <v>11</v>
      </c>
      <c r="D831" t="s">
        <v>459</v>
      </c>
      <c r="E831">
        <v>31</v>
      </c>
      <c r="F831">
        <v>10</v>
      </c>
      <c r="G831" t="s">
        <v>537</v>
      </c>
      <c r="H831" s="154" t="s">
        <v>424</v>
      </c>
      <c r="I831" s="154" t="s">
        <v>424</v>
      </c>
      <c r="J831" s="154" t="s">
        <v>424</v>
      </c>
      <c r="K831" s="154" t="s">
        <v>424</v>
      </c>
      <c r="L831" s="154" t="s">
        <v>424</v>
      </c>
      <c r="M831" s="154" t="s">
        <v>424</v>
      </c>
      <c r="N831" s="154" t="s">
        <v>424</v>
      </c>
      <c r="O831" s="154" t="s">
        <v>424</v>
      </c>
      <c r="P831" s="154" t="s">
        <v>424</v>
      </c>
      <c r="Q831" s="154">
        <v>261214</v>
      </c>
      <c r="R831" s="154">
        <v>261257</v>
      </c>
      <c r="S831" s="154">
        <v>261286</v>
      </c>
      <c r="T831" s="154">
        <v>261316</v>
      </c>
      <c r="U831" s="154">
        <v>261347</v>
      </c>
      <c r="V831" s="154">
        <v>261370</v>
      </c>
      <c r="W831" s="154">
        <v>261388</v>
      </c>
      <c r="X831" s="154">
        <v>261407</v>
      </c>
      <c r="Y831" s="154">
        <v>261451</v>
      </c>
      <c r="Z831" s="154">
        <v>261479</v>
      </c>
      <c r="AA831" s="154">
        <v>261504</v>
      </c>
      <c r="AB831" s="154">
        <v>261529</v>
      </c>
      <c r="AC831" s="154">
        <v>261570</v>
      </c>
      <c r="AD831" s="154">
        <v>261644</v>
      </c>
      <c r="AE831" s="154">
        <v>261828</v>
      </c>
      <c r="AF831" s="154">
        <v>261862</v>
      </c>
      <c r="AG831" s="154">
        <v>261885</v>
      </c>
      <c r="AH831" s="154">
        <v>261912</v>
      </c>
      <c r="AI831" s="154">
        <v>261932</v>
      </c>
      <c r="AJ831" s="154">
        <v>261957</v>
      </c>
      <c r="AK831" s="154">
        <v>261980</v>
      </c>
      <c r="AL831" s="154" t="s">
        <v>424</v>
      </c>
      <c r="AP831" cm="1">
        <f t="array" ref="AP831">IF(AQ831="","",SUM(IFERROR(H831:AL831-H830:AL830,0))*AQ831/100)</f>
        <v>128.69999999999999</v>
      </c>
      <c r="AQ831">
        <v>18</v>
      </c>
      <c r="AR831" t="s">
        <v>469</v>
      </c>
      <c r="AS831">
        <v>831</v>
      </c>
      <c r="AT831" cm="1">
        <f t="array" ref="AT831">IF(AQ831="","",SUM(IFERROR(H831:AL831-H830:AL830,0)))</f>
        <v>715</v>
      </c>
    </row>
    <row r="832" spans="1:46" hidden="1" x14ac:dyDescent="0.25">
      <c r="A832">
        <v>831</v>
      </c>
      <c r="B832">
        <v>2025</v>
      </c>
      <c r="C832">
        <v>11</v>
      </c>
      <c r="D832" t="s">
        <v>263</v>
      </c>
      <c r="E832">
        <v>31</v>
      </c>
      <c r="F832">
        <v>10</v>
      </c>
      <c r="G832" t="s">
        <v>536</v>
      </c>
      <c r="H832" s="154">
        <v>333465</v>
      </c>
      <c r="I832" s="154">
        <v>333515</v>
      </c>
      <c r="J832" s="154">
        <v>333602</v>
      </c>
      <c r="K832" s="154">
        <v>333681</v>
      </c>
      <c r="L832" s="154">
        <v>333749</v>
      </c>
      <c r="M832" s="154">
        <v>333811</v>
      </c>
      <c r="N832" s="154">
        <v>333870</v>
      </c>
      <c r="O832" s="154">
        <v>333971</v>
      </c>
      <c r="P832" s="154" t="s">
        <v>424</v>
      </c>
      <c r="Q832" s="154">
        <v>334202</v>
      </c>
      <c r="R832" s="154">
        <v>334262</v>
      </c>
      <c r="S832" s="154">
        <v>334310</v>
      </c>
      <c r="T832" s="154">
        <v>334370</v>
      </c>
      <c r="U832" s="154">
        <v>334414</v>
      </c>
      <c r="V832" s="154">
        <v>334481</v>
      </c>
      <c r="W832" s="154">
        <v>334549</v>
      </c>
      <c r="X832" s="154">
        <v>334618</v>
      </c>
      <c r="Y832" s="154" t="s">
        <v>424</v>
      </c>
      <c r="Z832" s="154">
        <v>334661</v>
      </c>
      <c r="AA832" s="154">
        <v>334754</v>
      </c>
      <c r="AB832" s="154">
        <v>334865</v>
      </c>
      <c r="AC832" s="154">
        <v>334948</v>
      </c>
      <c r="AD832" s="154" t="s">
        <v>424</v>
      </c>
      <c r="AE832" s="154">
        <v>335045</v>
      </c>
      <c r="AF832" s="154">
        <v>335155</v>
      </c>
      <c r="AG832" s="154">
        <v>335249</v>
      </c>
      <c r="AH832" s="154">
        <v>335354</v>
      </c>
      <c r="AI832" s="154">
        <v>335429</v>
      </c>
      <c r="AJ832" s="154">
        <v>335506</v>
      </c>
      <c r="AK832" s="154">
        <v>335560</v>
      </c>
      <c r="AL832" s="154" t="s">
        <v>424</v>
      </c>
      <c r="AS832">
        <v>832</v>
      </c>
    </row>
    <row r="833" spans="1:46" hidden="1" x14ac:dyDescent="0.25">
      <c r="A833">
        <v>832</v>
      </c>
      <c r="B833">
        <v>2025</v>
      </c>
      <c r="C833">
        <v>11</v>
      </c>
      <c r="D833" t="s">
        <v>263</v>
      </c>
      <c r="E833">
        <v>31</v>
      </c>
      <c r="F833">
        <v>10</v>
      </c>
      <c r="G833" t="s">
        <v>537</v>
      </c>
      <c r="H833" s="154">
        <v>333497</v>
      </c>
      <c r="I833" s="154">
        <v>333555</v>
      </c>
      <c r="J833" s="154">
        <v>333656</v>
      </c>
      <c r="K833" s="154">
        <v>333721</v>
      </c>
      <c r="L833" s="154">
        <v>333785</v>
      </c>
      <c r="M833" s="154">
        <v>333846</v>
      </c>
      <c r="N833" s="154">
        <v>333926</v>
      </c>
      <c r="O833" s="154">
        <v>334011</v>
      </c>
      <c r="P833" s="154" t="s">
        <v>424</v>
      </c>
      <c r="Q833" s="154">
        <v>334235</v>
      </c>
      <c r="R833" s="154">
        <v>334290</v>
      </c>
      <c r="S833" s="154">
        <v>334352</v>
      </c>
      <c r="T833" s="154">
        <v>334397</v>
      </c>
      <c r="U833" s="154">
        <v>334462</v>
      </c>
      <c r="V833" s="154">
        <v>334526</v>
      </c>
      <c r="W833" s="154">
        <v>334583</v>
      </c>
      <c r="X833" s="154">
        <v>334661</v>
      </c>
      <c r="Y833" s="154" t="s">
        <v>424</v>
      </c>
      <c r="Z833" s="154">
        <v>334702</v>
      </c>
      <c r="AA833" s="154">
        <v>334809</v>
      </c>
      <c r="AB833" s="154">
        <v>334916</v>
      </c>
      <c r="AC833" s="154">
        <v>335007</v>
      </c>
      <c r="AD833" s="154" t="s">
        <v>424</v>
      </c>
      <c r="AE833" s="154">
        <v>335114</v>
      </c>
      <c r="AF833" s="154">
        <v>335215</v>
      </c>
      <c r="AG833" s="154">
        <v>335312</v>
      </c>
      <c r="AH833" s="154">
        <v>335404</v>
      </c>
      <c r="AI833" s="154">
        <v>335463</v>
      </c>
      <c r="AJ833" s="154">
        <v>335536</v>
      </c>
      <c r="AK833" s="154">
        <v>335579</v>
      </c>
      <c r="AL833" s="154" t="s">
        <v>424</v>
      </c>
      <c r="AP833" cm="1">
        <f t="array" ref="AP833">IF(AQ833="","",SUM(IFERROR(H833:AL833-H832:AL832,0))*AQ833/100)</f>
        <v>174.6</v>
      </c>
      <c r="AQ833">
        <f>_xlfn.XLOOKUP(D833,log_prices!M:M,log_prices!L:L,,0)</f>
        <v>15</v>
      </c>
      <c r="AS833">
        <v>833</v>
      </c>
      <c r="AT833" cm="1">
        <f t="array" ref="AT833">IF(AQ833="","",SUM(IFERROR(H833:AL833-H832:AL832,0)))</f>
        <v>1164</v>
      </c>
    </row>
    <row r="834" spans="1:46" hidden="1" x14ac:dyDescent="0.25">
      <c r="A834">
        <v>833</v>
      </c>
      <c r="B834">
        <v>2025</v>
      </c>
      <c r="C834">
        <v>11</v>
      </c>
      <c r="D834" t="s">
        <v>279</v>
      </c>
      <c r="E834">
        <v>31</v>
      </c>
      <c r="F834">
        <v>10</v>
      </c>
      <c r="G834" t="s">
        <v>536</v>
      </c>
      <c r="H834" s="154">
        <v>874131</v>
      </c>
      <c r="I834" s="154" t="s">
        <v>424</v>
      </c>
      <c r="J834" s="154">
        <v>874158</v>
      </c>
      <c r="K834" s="154">
        <v>874188</v>
      </c>
      <c r="L834" s="154">
        <v>874224</v>
      </c>
      <c r="M834" s="154">
        <v>874252</v>
      </c>
      <c r="N834" s="154">
        <v>874282</v>
      </c>
      <c r="O834" s="154">
        <v>874310</v>
      </c>
      <c r="P834" s="154" t="s">
        <v>424</v>
      </c>
      <c r="Q834" s="154">
        <v>874376</v>
      </c>
      <c r="R834" s="154">
        <v>874414</v>
      </c>
      <c r="S834" s="154">
        <v>874467</v>
      </c>
      <c r="T834" s="154">
        <v>874493</v>
      </c>
      <c r="U834" s="154">
        <v>874579</v>
      </c>
      <c r="V834" s="154">
        <v>874654</v>
      </c>
      <c r="W834" s="154">
        <v>874715</v>
      </c>
      <c r="X834" s="154">
        <v>874782</v>
      </c>
      <c r="Y834" s="154">
        <v>874838</v>
      </c>
      <c r="Z834" s="154">
        <v>874929</v>
      </c>
      <c r="AA834" s="154">
        <v>875006</v>
      </c>
      <c r="AB834" s="154">
        <v>875085</v>
      </c>
      <c r="AC834" s="154">
        <v>875174</v>
      </c>
      <c r="AD834" s="154">
        <v>875250</v>
      </c>
      <c r="AE834" s="154">
        <v>875289</v>
      </c>
      <c r="AF834" s="154">
        <v>875344</v>
      </c>
      <c r="AG834" s="154">
        <v>875390</v>
      </c>
      <c r="AH834" s="154">
        <v>875465</v>
      </c>
      <c r="AI834" s="154">
        <v>875553</v>
      </c>
      <c r="AJ834" s="154">
        <v>875642</v>
      </c>
      <c r="AK834" s="154">
        <v>875674</v>
      </c>
      <c r="AL834" s="154" t="s">
        <v>424</v>
      </c>
      <c r="AS834">
        <v>834</v>
      </c>
    </row>
    <row r="835" spans="1:46" hidden="1" x14ac:dyDescent="0.25">
      <c r="A835">
        <v>834</v>
      </c>
      <c r="B835">
        <v>2025</v>
      </c>
      <c r="C835">
        <v>11</v>
      </c>
      <c r="D835" t="s">
        <v>279</v>
      </c>
      <c r="E835">
        <v>31</v>
      </c>
      <c r="F835">
        <v>10</v>
      </c>
      <c r="G835" t="s">
        <v>537</v>
      </c>
      <c r="H835" s="154">
        <v>874158</v>
      </c>
      <c r="I835" s="154" t="s">
        <v>424</v>
      </c>
      <c r="J835" s="154">
        <v>874188</v>
      </c>
      <c r="K835" s="154">
        <v>874224</v>
      </c>
      <c r="L835" s="154">
        <v>874252</v>
      </c>
      <c r="M835" s="154">
        <v>874282</v>
      </c>
      <c r="N835" s="154">
        <v>874310</v>
      </c>
      <c r="O835" s="154">
        <v>874376</v>
      </c>
      <c r="P835" s="154" t="s">
        <v>424</v>
      </c>
      <c r="Q835" s="154">
        <v>874414</v>
      </c>
      <c r="R835" s="154">
        <v>874467</v>
      </c>
      <c r="S835" s="154">
        <v>874493</v>
      </c>
      <c r="T835" s="154">
        <v>874579</v>
      </c>
      <c r="U835" s="154">
        <v>874654</v>
      </c>
      <c r="V835" s="154">
        <v>874715</v>
      </c>
      <c r="W835" s="154">
        <v>874782</v>
      </c>
      <c r="X835" s="154">
        <v>874838</v>
      </c>
      <c r="Y835" s="154">
        <v>874929</v>
      </c>
      <c r="Z835" s="154">
        <v>875006</v>
      </c>
      <c r="AA835" s="154">
        <v>875085</v>
      </c>
      <c r="AB835" s="154">
        <v>875174</v>
      </c>
      <c r="AC835" s="154">
        <v>875250</v>
      </c>
      <c r="AD835" s="154">
        <v>875289</v>
      </c>
      <c r="AE835" s="154">
        <v>875344</v>
      </c>
      <c r="AF835" s="154">
        <v>875390</v>
      </c>
      <c r="AG835" s="154">
        <v>875465</v>
      </c>
      <c r="AH835" s="154">
        <v>875553</v>
      </c>
      <c r="AI835" s="154">
        <v>875642</v>
      </c>
      <c r="AJ835" s="154">
        <v>875674</v>
      </c>
      <c r="AK835" s="154">
        <v>875705</v>
      </c>
      <c r="AL835" s="154" t="s">
        <v>424</v>
      </c>
      <c r="AP835" cm="1">
        <f t="array" ref="AP835">IF(AQ835="","",SUM(IFERROR(H835:AL835-H834:AL834,0))*AQ835/100)</f>
        <v>236.1</v>
      </c>
      <c r="AQ835">
        <f>_xlfn.XLOOKUP(D835,log_prices!M:M,log_prices!L:L,,0)</f>
        <v>15</v>
      </c>
      <c r="AS835">
        <v>835</v>
      </c>
      <c r="AT835" cm="1">
        <f t="array" ref="AT835">IF(AQ835="","",SUM(IFERROR(H835:AL835-H834:AL834,0)))</f>
        <v>1574</v>
      </c>
    </row>
    <row r="836" spans="1:46" hidden="1" x14ac:dyDescent="0.25">
      <c r="A836">
        <v>835</v>
      </c>
      <c r="B836">
        <v>2025</v>
      </c>
      <c r="C836">
        <v>11</v>
      </c>
      <c r="D836" t="s">
        <v>283</v>
      </c>
      <c r="E836">
        <v>31</v>
      </c>
      <c r="F836">
        <v>10</v>
      </c>
      <c r="G836" t="s">
        <v>536</v>
      </c>
      <c r="H836" s="154">
        <v>229966</v>
      </c>
      <c r="I836" s="154">
        <v>229997</v>
      </c>
      <c r="J836" s="154">
        <v>230016</v>
      </c>
      <c r="K836" s="154">
        <v>230050</v>
      </c>
      <c r="L836" s="154">
        <v>230156</v>
      </c>
      <c r="M836" s="154">
        <v>230297</v>
      </c>
      <c r="N836" s="154">
        <v>230431</v>
      </c>
      <c r="O836" s="154">
        <v>230470</v>
      </c>
      <c r="P836" s="154" t="s">
        <v>424</v>
      </c>
      <c r="Q836" s="154">
        <v>230648</v>
      </c>
      <c r="R836" s="154">
        <v>230739</v>
      </c>
      <c r="S836" s="154">
        <v>230827</v>
      </c>
      <c r="T836" s="154">
        <v>230865</v>
      </c>
      <c r="U836" s="154">
        <v>230970</v>
      </c>
      <c r="V836" s="154">
        <v>231050</v>
      </c>
      <c r="W836" s="154">
        <v>231287</v>
      </c>
      <c r="X836" s="154">
        <v>231551</v>
      </c>
      <c r="Y836" s="154">
        <v>231657</v>
      </c>
      <c r="Z836" s="154">
        <v>231692</v>
      </c>
      <c r="AA836" s="154">
        <v>231823</v>
      </c>
      <c r="AB836" s="154">
        <v>231926</v>
      </c>
      <c r="AC836" s="154">
        <v>231957</v>
      </c>
      <c r="AD836" s="154">
        <v>231993</v>
      </c>
      <c r="AE836" s="154">
        <v>232018</v>
      </c>
      <c r="AF836" s="154">
        <v>232177</v>
      </c>
      <c r="AG836" s="154">
        <v>232291</v>
      </c>
      <c r="AH836" s="154">
        <v>232384</v>
      </c>
      <c r="AI836" s="154">
        <v>232417</v>
      </c>
      <c r="AJ836" s="154">
        <v>232564</v>
      </c>
      <c r="AK836" s="154">
        <v>232676</v>
      </c>
      <c r="AL836" s="154" t="s">
        <v>424</v>
      </c>
      <c r="AS836">
        <v>836</v>
      </c>
    </row>
    <row r="837" spans="1:46" hidden="1" x14ac:dyDescent="0.25">
      <c r="A837">
        <v>836</v>
      </c>
      <c r="B837">
        <v>2025</v>
      </c>
      <c r="C837">
        <v>11</v>
      </c>
      <c r="D837" t="s">
        <v>283</v>
      </c>
      <c r="E837">
        <v>31</v>
      </c>
      <c r="F837">
        <v>10</v>
      </c>
      <c r="G837" t="s">
        <v>537</v>
      </c>
      <c r="H837" s="154">
        <v>229997</v>
      </c>
      <c r="I837" s="154">
        <v>230016</v>
      </c>
      <c r="J837" s="154">
        <v>230050</v>
      </c>
      <c r="K837" s="154">
        <v>230156</v>
      </c>
      <c r="L837" s="154">
        <v>230220</v>
      </c>
      <c r="M837" s="154">
        <v>230431</v>
      </c>
      <c r="N837" s="154">
        <v>230470</v>
      </c>
      <c r="O837" s="154">
        <v>230567</v>
      </c>
      <c r="P837" s="154" t="s">
        <v>424</v>
      </c>
      <c r="Q837" s="154">
        <v>230739</v>
      </c>
      <c r="R837" s="154">
        <v>230827</v>
      </c>
      <c r="S837" s="154">
        <v>230865</v>
      </c>
      <c r="T837" s="154">
        <v>230970</v>
      </c>
      <c r="U837" s="154">
        <v>231050</v>
      </c>
      <c r="V837" s="154">
        <v>231182</v>
      </c>
      <c r="W837" s="154">
        <v>231551</v>
      </c>
      <c r="X837" s="154">
        <v>231657</v>
      </c>
      <c r="Y837" s="154">
        <v>231692</v>
      </c>
      <c r="Z837" s="154">
        <v>231823</v>
      </c>
      <c r="AA837" s="154">
        <v>231926</v>
      </c>
      <c r="AB837" s="154">
        <v>231957</v>
      </c>
      <c r="AC837" s="154">
        <v>231993</v>
      </c>
      <c r="AD837" s="154">
        <v>232018</v>
      </c>
      <c r="AE837" s="154">
        <v>232177</v>
      </c>
      <c r="AF837" s="154">
        <v>232291</v>
      </c>
      <c r="AG837" s="154">
        <v>232384</v>
      </c>
      <c r="AH837" s="154">
        <v>232417</v>
      </c>
      <c r="AI837" s="154">
        <v>232564</v>
      </c>
      <c r="AJ837" s="154">
        <v>232676</v>
      </c>
      <c r="AK837" s="154">
        <v>232769</v>
      </c>
      <c r="AL837" s="154" t="s">
        <v>424</v>
      </c>
      <c r="AP837" cm="1">
        <f t="array" ref="AP837">IF(AQ837="","",SUM(IFERROR(H837:AL837-H836:AL836,0))*AQ837/100)</f>
        <v>381</v>
      </c>
      <c r="AQ837">
        <f>_xlfn.XLOOKUP(D837,log_prices!M:M,log_prices!L:L,,0)</f>
        <v>15</v>
      </c>
      <c r="AS837">
        <v>837</v>
      </c>
      <c r="AT837" cm="1">
        <f t="array" ref="AT837">IF(AQ837="","",SUM(IFERROR(H837:AL837-H836:AL836,0)))</f>
        <v>2540</v>
      </c>
    </row>
    <row r="838" spans="1:46" hidden="1" x14ac:dyDescent="0.25">
      <c r="A838">
        <v>837</v>
      </c>
      <c r="B838">
        <v>2025</v>
      </c>
      <c r="C838">
        <v>11</v>
      </c>
      <c r="D838" t="s">
        <v>260</v>
      </c>
      <c r="E838">
        <v>31</v>
      </c>
      <c r="F838">
        <v>10</v>
      </c>
      <c r="G838" t="s">
        <v>536</v>
      </c>
      <c r="H838" s="154">
        <v>814794</v>
      </c>
      <c r="I838" s="154">
        <v>814962</v>
      </c>
      <c r="J838" s="154">
        <v>815149</v>
      </c>
      <c r="K838" s="154">
        <v>815299</v>
      </c>
      <c r="L838" s="154">
        <v>815461</v>
      </c>
      <c r="M838" s="154">
        <v>815613</v>
      </c>
      <c r="N838" s="154">
        <v>815784</v>
      </c>
      <c r="O838" s="154">
        <v>815933</v>
      </c>
      <c r="P838" s="154" t="s">
        <v>424</v>
      </c>
      <c r="Q838" s="154">
        <v>816243</v>
      </c>
      <c r="R838" s="154">
        <v>816469</v>
      </c>
      <c r="S838" s="154">
        <v>816631</v>
      </c>
      <c r="T838" s="154">
        <v>816786</v>
      </c>
      <c r="U838" s="154">
        <v>816934</v>
      </c>
      <c r="V838" s="154">
        <v>817083</v>
      </c>
      <c r="W838" s="154">
        <v>817263</v>
      </c>
      <c r="X838" s="154">
        <v>817452</v>
      </c>
      <c r="Y838" s="154">
        <v>817588</v>
      </c>
      <c r="Z838" s="154">
        <v>817731</v>
      </c>
      <c r="AA838" s="154">
        <v>817867</v>
      </c>
      <c r="AB838" s="154">
        <v>818017</v>
      </c>
      <c r="AC838" s="154">
        <v>818153</v>
      </c>
      <c r="AD838" s="154">
        <v>818289</v>
      </c>
      <c r="AE838" s="154">
        <v>818435</v>
      </c>
      <c r="AF838" s="154" t="s">
        <v>424</v>
      </c>
      <c r="AG838" s="154">
        <v>818638</v>
      </c>
      <c r="AH838" s="154">
        <v>818776</v>
      </c>
      <c r="AI838" s="154">
        <v>818925</v>
      </c>
      <c r="AJ838" s="154">
        <v>819075</v>
      </c>
      <c r="AK838" s="154">
        <v>819213</v>
      </c>
      <c r="AL838" s="154" t="s">
        <v>424</v>
      </c>
      <c r="AS838">
        <v>838</v>
      </c>
    </row>
    <row r="839" spans="1:46" hidden="1" x14ac:dyDescent="0.25">
      <c r="A839">
        <v>838</v>
      </c>
      <c r="B839">
        <v>2025</v>
      </c>
      <c r="C839">
        <v>11</v>
      </c>
      <c r="D839" t="s">
        <v>260</v>
      </c>
      <c r="E839">
        <v>31</v>
      </c>
      <c r="F839">
        <v>10</v>
      </c>
      <c r="G839" t="s">
        <v>537</v>
      </c>
      <c r="H839" s="154">
        <v>814962</v>
      </c>
      <c r="I839" s="154">
        <v>815149</v>
      </c>
      <c r="J839" s="154">
        <v>815299</v>
      </c>
      <c r="K839" s="154">
        <v>815461</v>
      </c>
      <c r="L839" s="154">
        <v>815613</v>
      </c>
      <c r="M839" s="154">
        <v>815784</v>
      </c>
      <c r="N839" s="154">
        <v>815933</v>
      </c>
      <c r="O839" s="154">
        <v>816243</v>
      </c>
      <c r="P839" s="154" t="s">
        <v>424</v>
      </c>
      <c r="Q839" s="154">
        <v>816469</v>
      </c>
      <c r="R839" s="154">
        <v>816631</v>
      </c>
      <c r="S839" s="154">
        <v>816786</v>
      </c>
      <c r="T839" s="154">
        <v>816934</v>
      </c>
      <c r="U839" s="154">
        <v>817083</v>
      </c>
      <c r="V839" s="154">
        <v>817263</v>
      </c>
      <c r="W839" s="154">
        <v>817452</v>
      </c>
      <c r="X839" s="154">
        <v>817588</v>
      </c>
      <c r="Y839" s="154">
        <v>817731</v>
      </c>
      <c r="Z839" s="154">
        <v>817867</v>
      </c>
      <c r="AA839" s="154">
        <v>818017</v>
      </c>
      <c r="AB839" s="154">
        <v>818153</v>
      </c>
      <c r="AC839" s="154">
        <v>818289</v>
      </c>
      <c r="AD839" s="154">
        <v>818435</v>
      </c>
      <c r="AE839" s="154">
        <v>818572</v>
      </c>
      <c r="AF839" s="154" t="s">
        <v>424</v>
      </c>
      <c r="AG839" s="154">
        <v>818776</v>
      </c>
      <c r="AH839" s="154">
        <v>818925</v>
      </c>
      <c r="AI839" s="154">
        <v>819075</v>
      </c>
      <c r="AJ839" s="154">
        <v>819213</v>
      </c>
      <c r="AK839" s="154">
        <v>819334</v>
      </c>
      <c r="AL839" s="154" t="s">
        <v>424</v>
      </c>
      <c r="AP839" cm="1">
        <f t="array" ref="AP839">IF(AQ839="","",SUM(IFERROR(H839:AL839-H838:AL838,0))*AQ839/100)</f>
        <v>805.32</v>
      </c>
      <c r="AQ839">
        <f>_xlfn.XLOOKUP(D839,log_prices!M:M,log_prices!L:L,,0)</f>
        <v>18</v>
      </c>
      <c r="AS839">
        <v>839</v>
      </c>
      <c r="AT839" cm="1">
        <f t="array" ref="AT839">IF(AQ839="","",SUM(IFERROR(H839:AL839-H838:AL838,0)))</f>
        <v>4474</v>
      </c>
    </row>
    <row r="840" spans="1:46" hidden="1" x14ac:dyDescent="0.25">
      <c r="A840">
        <v>839</v>
      </c>
      <c r="B840">
        <v>2025</v>
      </c>
      <c r="C840">
        <v>11</v>
      </c>
      <c r="D840" t="s">
        <v>272</v>
      </c>
      <c r="E840">
        <v>31</v>
      </c>
      <c r="F840">
        <v>10</v>
      </c>
      <c r="G840" t="s">
        <v>536</v>
      </c>
      <c r="H840" s="154">
        <v>285374</v>
      </c>
      <c r="I840" s="154">
        <v>285401</v>
      </c>
      <c r="J840" s="154">
        <v>285499</v>
      </c>
      <c r="K840" s="154">
        <v>285607</v>
      </c>
      <c r="L840" s="154">
        <v>285625</v>
      </c>
      <c r="M840" s="154">
        <v>285662</v>
      </c>
      <c r="N840" s="154">
        <v>285706</v>
      </c>
      <c r="O840" s="154">
        <v>285754</v>
      </c>
      <c r="P840" s="154" t="s">
        <v>424</v>
      </c>
      <c r="Q840" s="154">
        <v>285865</v>
      </c>
      <c r="R840" s="154">
        <v>286009</v>
      </c>
      <c r="S840" s="154">
        <v>286069</v>
      </c>
      <c r="T840" s="154">
        <v>286123</v>
      </c>
      <c r="U840" s="154">
        <v>286154</v>
      </c>
      <c r="V840" s="154">
        <v>286186</v>
      </c>
      <c r="W840" s="154">
        <v>286221</v>
      </c>
      <c r="X840" s="154">
        <v>286252</v>
      </c>
      <c r="Y840" s="154">
        <v>286290</v>
      </c>
      <c r="Z840" s="154">
        <v>286403</v>
      </c>
      <c r="AA840" s="154">
        <v>286426</v>
      </c>
      <c r="AB840" s="154">
        <v>286529</v>
      </c>
      <c r="AC840" s="154">
        <v>286558</v>
      </c>
      <c r="AD840" s="154">
        <v>286667</v>
      </c>
      <c r="AE840" s="154">
        <v>286771</v>
      </c>
      <c r="AF840" s="154">
        <v>286797</v>
      </c>
      <c r="AG840" s="154">
        <v>286905</v>
      </c>
      <c r="AH840" s="154">
        <v>287018</v>
      </c>
      <c r="AI840" s="154">
        <v>287038</v>
      </c>
      <c r="AJ840" s="154">
        <v>287137</v>
      </c>
      <c r="AK840" s="154">
        <v>287249</v>
      </c>
      <c r="AL840" s="154" t="s">
        <v>424</v>
      </c>
      <c r="AS840">
        <v>840</v>
      </c>
    </row>
    <row r="841" spans="1:46" hidden="1" x14ac:dyDescent="0.25">
      <c r="A841">
        <v>840</v>
      </c>
      <c r="B841">
        <v>2025</v>
      </c>
      <c r="C841">
        <v>11</v>
      </c>
      <c r="D841" t="s">
        <v>272</v>
      </c>
      <c r="E841">
        <v>31</v>
      </c>
      <c r="F841">
        <v>10</v>
      </c>
      <c r="G841" t="s">
        <v>537</v>
      </c>
      <c r="H841" s="154">
        <v>285401</v>
      </c>
      <c r="I841" s="154">
        <v>285499</v>
      </c>
      <c r="J841" s="154">
        <v>285607</v>
      </c>
      <c r="K841" s="154">
        <v>285625</v>
      </c>
      <c r="L841" s="154">
        <v>285662</v>
      </c>
      <c r="M841" s="154">
        <v>285685</v>
      </c>
      <c r="N841" s="154">
        <v>285754</v>
      </c>
      <c r="O841" s="154">
        <v>285865</v>
      </c>
      <c r="P841" s="154" t="s">
        <v>424</v>
      </c>
      <c r="Q841" s="154">
        <v>286009</v>
      </c>
      <c r="R841" s="154">
        <v>286069</v>
      </c>
      <c r="S841" s="154">
        <v>286123</v>
      </c>
      <c r="T841" s="154">
        <v>286154</v>
      </c>
      <c r="U841" s="154">
        <v>286186</v>
      </c>
      <c r="V841" s="154">
        <v>286221</v>
      </c>
      <c r="W841" s="154">
        <v>286252</v>
      </c>
      <c r="X841" s="154">
        <v>286290</v>
      </c>
      <c r="Y841" s="154">
        <v>286403</v>
      </c>
      <c r="Z841" s="154">
        <v>286426</v>
      </c>
      <c r="AA841" s="154">
        <v>286529</v>
      </c>
      <c r="AB841" s="154">
        <v>286558</v>
      </c>
      <c r="AC841" s="154">
        <v>286667</v>
      </c>
      <c r="AD841" s="154">
        <v>286771</v>
      </c>
      <c r="AE841" s="154">
        <v>286797</v>
      </c>
      <c r="AF841" s="154">
        <v>286905</v>
      </c>
      <c r="AG841" s="154">
        <v>287018</v>
      </c>
      <c r="AH841" s="154">
        <v>287038</v>
      </c>
      <c r="AI841" s="154">
        <v>287137</v>
      </c>
      <c r="AJ841" s="154">
        <v>287249</v>
      </c>
      <c r="AK841" s="154">
        <v>287272</v>
      </c>
      <c r="AL841" s="154" t="s">
        <v>424</v>
      </c>
      <c r="AP841" cm="1">
        <f t="array" ref="AP841">IF(AQ841="","",SUM(IFERROR(H841:AL841-H840:AL840,0))*AQ841/100)</f>
        <v>281.55</v>
      </c>
      <c r="AQ841">
        <f>_xlfn.XLOOKUP(D841,log_prices!M:M,log_prices!L:L,,0)</f>
        <v>15</v>
      </c>
      <c r="AS841">
        <v>841</v>
      </c>
      <c r="AT841" cm="1">
        <f t="array" ref="AT841">IF(AQ841="","",SUM(IFERROR(H841:AL841-H840:AL840,0)))</f>
        <v>1877</v>
      </c>
    </row>
    <row r="842" spans="1:46" hidden="1" x14ac:dyDescent="0.25">
      <c r="A842">
        <v>841</v>
      </c>
      <c r="B842">
        <v>2025</v>
      </c>
      <c r="C842">
        <v>11</v>
      </c>
      <c r="D842" t="s">
        <v>268</v>
      </c>
      <c r="E842">
        <v>31</v>
      </c>
      <c r="F842">
        <v>10</v>
      </c>
      <c r="G842" t="s">
        <v>536</v>
      </c>
      <c r="H842" s="154">
        <v>30410</v>
      </c>
      <c r="I842" s="154">
        <v>30430</v>
      </c>
      <c r="J842" s="154">
        <v>30457</v>
      </c>
      <c r="K842" s="154">
        <v>30485</v>
      </c>
      <c r="L842" s="154">
        <v>30506</v>
      </c>
      <c r="M842" s="154">
        <v>30541</v>
      </c>
      <c r="N842" s="154">
        <v>30570</v>
      </c>
      <c r="O842" s="154">
        <v>30601</v>
      </c>
      <c r="P842" s="154" t="s">
        <v>424</v>
      </c>
      <c r="Q842" s="154">
        <v>30644</v>
      </c>
      <c r="R842" s="154">
        <v>30660</v>
      </c>
      <c r="S842" s="154">
        <v>30697</v>
      </c>
      <c r="T842" s="154">
        <v>30749</v>
      </c>
      <c r="U842" s="154">
        <v>30815</v>
      </c>
      <c r="V842" s="154">
        <v>30880</v>
      </c>
      <c r="W842" s="154">
        <v>30903</v>
      </c>
      <c r="X842" s="154">
        <v>30941</v>
      </c>
      <c r="Y842" s="154">
        <v>30989</v>
      </c>
      <c r="Z842" s="154">
        <v>31040</v>
      </c>
      <c r="AA842" s="154">
        <v>31072</v>
      </c>
      <c r="AB842" s="154">
        <v>31104</v>
      </c>
      <c r="AC842" s="154">
        <v>31158</v>
      </c>
      <c r="AD842" s="154">
        <v>31183</v>
      </c>
      <c r="AE842" s="154">
        <v>31213</v>
      </c>
      <c r="AF842" s="154">
        <v>31271</v>
      </c>
      <c r="AG842" s="154">
        <v>31317</v>
      </c>
      <c r="AH842" s="154">
        <v>31391</v>
      </c>
      <c r="AI842" s="154">
        <v>31452</v>
      </c>
      <c r="AJ842" s="154">
        <v>31588</v>
      </c>
      <c r="AK842" s="154">
        <v>31596</v>
      </c>
      <c r="AL842" s="154" t="s">
        <v>424</v>
      </c>
      <c r="AS842">
        <v>842</v>
      </c>
    </row>
    <row r="843" spans="1:46" hidden="1" x14ac:dyDescent="0.25">
      <c r="A843">
        <v>842</v>
      </c>
      <c r="B843">
        <v>2025</v>
      </c>
      <c r="C843">
        <v>11</v>
      </c>
      <c r="D843" t="s">
        <v>268</v>
      </c>
      <c r="E843">
        <v>31</v>
      </c>
      <c r="F843">
        <v>10</v>
      </c>
      <c r="G843" t="s">
        <v>537</v>
      </c>
      <c r="H843" s="154">
        <v>30430</v>
      </c>
      <c r="I843" s="154">
        <v>30457</v>
      </c>
      <c r="J843" s="154">
        <v>30485</v>
      </c>
      <c r="K843" s="154">
        <v>30506</v>
      </c>
      <c r="L843" s="154">
        <v>30541</v>
      </c>
      <c r="M843" s="154">
        <v>30570</v>
      </c>
      <c r="N843" s="154">
        <v>30601</v>
      </c>
      <c r="O843" s="154">
        <v>30644</v>
      </c>
      <c r="P843" s="154" t="s">
        <v>424</v>
      </c>
      <c r="Q843" s="154">
        <v>30660</v>
      </c>
      <c r="R843" s="154">
        <v>30697</v>
      </c>
      <c r="S843" s="154">
        <v>30749</v>
      </c>
      <c r="T843" s="154">
        <v>30815</v>
      </c>
      <c r="U843" s="154">
        <v>30880</v>
      </c>
      <c r="V843" s="154">
        <v>30903</v>
      </c>
      <c r="W843" s="154">
        <v>30941</v>
      </c>
      <c r="X843" s="154">
        <v>30989</v>
      </c>
      <c r="Y843" s="154">
        <v>31040</v>
      </c>
      <c r="Z843" s="154">
        <v>31072</v>
      </c>
      <c r="AA843" s="154">
        <v>31104</v>
      </c>
      <c r="AB843" s="154">
        <v>31158</v>
      </c>
      <c r="AC843" s="154">
        <v>31183</v>
      </c>
      <c r="AD843" s="154">
        <v>31213</v>
      </c>
      <c r="AE843" s="154">
        <v>31271</v>
      </c>
      <c r="AF843" s="154">
        <v>31317</v>
      </c>
      <c r="AG843" s="154">
        <v>31391</v>
      </c>
      <c r="AH843" s="154">
        <v>31452</v>
      </c>
      <c r="AI843" s="154">
        <v>31588</v>
      </c>
      <c r="AJ843" s="154">
        <v>31596</v>
      </c>
      <c r="AK843" s="154">
        <v>31605</v>
      </c>
      <c r="AL843" s="154" t="s">
        <v>424</v>
      </c>
      <c r="AP843" cm="1">
        <f t="array" ref="AP843">IF(AQ843="","",SUM(IFERROR(H843:AL843-H842:AL842,0))*AQ843/100)</f>
        <v>179.25</v>
      </c>
      <c r="AQ843">
        <f>_xlfn.XLOOKUP(D843,log_prices!M:M,log_prices!L:L,,0)</f>
        <v>15</v>
      </c>
      <c r="AS843">
        <v>843</v>
      </c>
      <c r="AT843" cm="1">
        <f t="array" ref="AT843">IF(AQ843="","",SUM(IFERROR(H843:AL843-H842:AL842,0)))</f>
        <v>1195</v>
      </c>
    </row>
    <row r="844" spans="1:46" hidden="1" x14ac:dyDescent="0.25">
      <c r="A844">
        <v>843</v>
      </c>
      <c r="B844">
        <v>2025</v>
      </c>
      <c r="C844">
        <v>11</v>
      </c>
      <c r="D844" t="s">
        <v>267</v>
      </c>
      <c r="E844">
        <v>31</v>
      </c>
      <c r="F844">
        <v>10</v>
      </c>
      <c r="G844" t="s">
        <v>536</v>
      </c>
      <c r="H844" s="154">
        <v>346725</v>
      </c>
      <c r="I844" s="154">
        <v>346945</v>
      </c>
      <c r="J844" s="154">
        <v>347248</v>
      </c>
      <c r="K844" s="154">
        <v>347435</v>
      </c>
      <c r="L844" s="154">
        <v>347659</v>
      </c>
      <c r="M844" s="154">
        <v>347909</v>
      </c>
      <c r="N844" s="154">
        <v>348188</v>
      </c>
      <c r="O844" s="154">
        <v>348457</v>
      </c>
      <c r="P844" s="154">
        <v>348690</v>
      </c>
      <c r="Q844" s="154">
        <v>348926</v>
      </c>
      <c r="R844" s="154">
        <v>349154</v>
      </c>
      <c r="S844" s="154">
        <v>349321</v>
      </c>
      <c r="T844" s="154">
        <v>349545</v>
      </c>
      <c r="U844" s="154">
        <v>349847</v>
      </c>
      <c r="V844" s="154">
        <v>350036</v>
      </c>
      <c r="W844" s="154" t="s">
        <v>424</v>
      </c>
      <c r="X844" s="154">
        <v>350537</v>
      </c>
      <c r="Y844" s="154">
        <v>350699</v>
      </c>
      <c r="Z844" s="154">
        <v>350866</v>
      </c>
      <c r="AA844" s="154">
        <v>351055</v>
      </c>
      <c r="AB844" s="154">
        <v>351300</v>
      </c>
      <c r="AC844" s="154">
        <v>351707</v>
      </c>
      <c r="AD844" s="154">
        <v>351906</v>
      </c>
      <c r="AE844" s="154">
        <v>352268</v>
      </c>
      <c r="AF844" s="154">
        <v>352511</v>
      </c>
      <c r="AG844" s="154">
        <v>352738</v>
      </c>
      <c r="AH844" s="154">
        <v>352916</v>
      </c>
      <c r="AI844" s="154">
        <v>353243</v>
      </c>
      <c r="AJ844" s="154">
        <v>353540</v>
      </c>
      <c r="AK844" s="154">
        <v>353724</v>
      </c>
      <c r="AL844" s="154" t="s">
        <v>424</v>
      </c>
      <c r="AS844">
        <v>844</v>
      </c>
    </row>
    <row r="845" spans="1:46" hidden="1" x14ac:dyDescent="0.25">
      <c r="A845">
        <v>844</v>
      </c>
      <c r="B845">
        <v>2025</v>
      </c>
      <c r="C845">
        <v>11</v>
      </c>
      <c r="D845" t="s">
        <v>267</v>
      </c>
      <c r="E845">
        <v>31</v>
      </c>
      <c r="F845">
        <v>10</v>
      </c>
      <c r="G845" t="s">
        <v>537</v>
      </c>
      <c r="H845" s="154">
        <v>346945</v>
      </c>
      <c r="I845" s="154">
        <v>347202</v>
      </c>
      <c r="J845" s="154">
        <v>347435</v>
      </c>
      <c r="K845" s="154">
        <v>347659</v>
      </c>
      <c r="L845" s="154">
        <v>347909</v>
      </c>
      <c r="M845" s="154">
        <v>348096</v>
      </c>
      <c r="N845" s="154">
        <v>348457</v>
      </c>
      <c r="O845" s="154">
        <v>348687</v>
      </c>
      <c r="P845" s="154">
        <v>348926</v>
      </c>
      <c r="Q845" s="154">
        <v>349154</v>
      </c>
      <c r="R845" s="154">
        <v>349321</v>
      </c>
      <c r="S845" s="154">
        <v>349545</v>
      </c>
      <c r="T845" s="154">
        <v>349787</v>
      </c>
      <c r="U845" s="154">
        <v>350036</v>
      </c>
      <c r="V845" s="154">
        <v>350310</v>
      </c>
      <c r="W845" s="154" t="s">
        <v>424</v>
      </c>
      <c r="X845" s="154">
        <v>350699</v>
      </c>
      <c r="Y845" s="154">
        <v>350866</v>
      </c>
      <c r="Z845" s="154">
        <v>351055</v>
      </c>
      <c r="AA845" s="154">
        <v>351300</v>
      </c>
      <c r="AB845" s="154">
        <v>351618</v>
      </c>
      <c r="AC845" s="154">
        <v>351906</v>
      </c>
      <c r="AD845" s="154">
        <v>352179</v>
      </c>
      <c r="AE845" s="154">
        <v>352511</v>
      </c>
      <c r="AF845" s="154">
        <v>352738</v>
      </c>
      <c r="AG845" s="154">
        <v>352916</v>
      </c>
      <c r="AH845" s="154">
        <v>353214</v>
      </c>
      <c r="AI845" s="154">
        <v>353540</v>
      </c>
      <c r="AJ845" s="154">
        <v>353724</v>
      </c>
      <c r="AK845" s="154">
        <v>354005</v>
      </c>
      <c r="AL845" s="154" t="s">
        <v>424</v>
      </c>
      <c r="AP845" cm="1">
        <f t="array" ref="AP845">IF(AQ845="","",SUM(IFERROR(H845:AL845-H844:AL844,0))*AQ845/100)</f>
        <v>996.75</v>
      </c>
      <c r="AQ845">
        <f>_xlfn.XLOOKUP(D845,log_prices!M:M,log_prices!L:L,,0)</f>
        <v>15</v>
      </c>
      <c r="AS845">
        <v>845</v>
      </c>
      <c r="AT845" cm="1">
        <f t="array" ref="AT845">IF(AQ845="","",SUM(IFERROR(H845:AL845-H844:AL844,0)))</f>
        <v>6645</v>
      </c>
    </row>
    <row r="846" spans="1:46" hidden="1" x14ac:dyDescent="0.25">
      <c r="A846">
        <v>845</v>
      </c>
      <c r="B846">
        <v>2025</v>
      </c>
      <c r="C846">
        <v>11</v>
      </c>
      <c r="D846" t="s">
        <v>234</v>
      </c>
      <c r="E846">
        <v>31</v>
      </c>
      <c r="F846">
        <v>10</v>
      </c>
      <c r="G846" t="s">
        <v>536</v>
      </c>
      <c r="H846" s="154">
        <v>691861</v>
      </c>
      <c r="I846" s="154">
        <v>691934</v>
      </c>
      <c r="J846" s="154">
        <v>692136</v>
      </c>
      <c r="K846" s="154">
        <v>692143</v>
      </c>
      <c r="L846" s="154">
        <v>692187</v>
      </c>
      <c r="M846" s="154">
        <v>692284</v>
      </c>
      <c r="N846" s="154">
        <v>692332</v>
      </c>
      <c r="O846" s="154">
        <v>692360</v>
      </c>
      <c r="P846" s="154">
        <v>692399</v>
      </c>
      <c r="Q846" s="154">
        <v>692486</v>
      </c>
      <c r="R846" s="154">
        <v>692502</v>
      </c>
      <c r="S846" s="154">
        <v>692522</v>
      </c>
      <c r="T846" s="154">
        <v>692560</v>
      </c>
      <c r="U846" s="154">
        <v>692589</v>
      </c>
      <c r="V846" s="154">
        <v>692621</v>
      </c>
      <c r="W846" s="154">
        <v>692657</v>
      </c>
      <c r="X846" s="154">
        <v>692690</v>
      </c>
      <c r="Y846" s="154">
        <v>692716</v>
      </c>
      <c r="Z846" s="154">
        <v>692729</v>
      </c>
      <c r="AA846" s="154">
        <v>692925</v>
      </c>
      <c r="AB846" s="154">
        <v>692967</v>
      </c>
      <c r="AC846" s="154">
        <v>693000</v>
      </c>
      <c r="AD846" s="154" t="s">
        <v>424</v>
      </c>
      <c r="AE846" s="154">
        <v>693044</v>
      </c>
      <c r="AF846" s="154">
        <v>693082</v>
      </c>
      <c r="AG846" s="154">
        <v>693125</v>
      </c>
      <c r="AH846" s="154">
        <v>693323</v>
      </c>
      <c r="AI846" s="154">
        <v>693380</v>
      </c>
      <c r="AJ846" s="154">
        <v>693396</v>
      </c>
      <c r="AK846" s="154">
        <v>693456</v>
      </c>
      <c r="AL846" s="154" t="s">
        <v>424</v>
      </c>
      <c r="AS846">
        <v>846</v>
      </c>
    </row>
    <row r="847" spans="1:46" hidden="1" x14ac:dyDescent="0.25">
      <c r="A847">
        <v>846</v>
      </c>
      <c r="B847">
        <v>2025</v>
      </c>
      <c r="C847">
        <v>11</v>
      </c>
      <c r="D847" t="s">
        <v>234</v>
      </c>
      <c r="E847">
        <v>31</v>
      </c>
      <c r="F847">
        <v>10</v>
      </c>
      <c r="G847" t="s">
        <v>537</v>
      </c>
      <c r="H847" s="154">
        <v>691934</v>
      </c>
      <c r="I847" s="154">
        <v>692051</v>
      </c>
      <c r="J847" s="154">
        <v>692143</v>
      </c>
      <c r="K847" s="154">
        <v>692186</v>
      </c>
      <c r="L847" s="154">
        <v>692284</v>
      </c>
      <c r="M847" s="154">
        <v>692332</v>
      </c>
      <c r="N847" s="154">
        <v>692360</v>
      </c>
      <c r="O847" s="154">
        <v>692399</v>
      </c>
      <c r="P847" s="154">
        <v>692486</v>
      </c>
      <c r="Q847" s="154">
        <v>692502</v>
      </c>
      <c r="R847" s="154">
        <v>692522</v>
      </c>
      <c r="S847" s="154">
        <v>692560</v>
      </c>
      <c r="T847" s="154">
        <v>692589</v>
      </c>
      <c r="U847" s="154">
        <v>692621</v>
      </c>
      <c r="V847" s="154">
        <v>692657</v>
      </c>
      <c r="W847" s="154">
        <v>692690</v>
      </c>
      <c r="X847" s="154">
        <v>692716</v>
      </c>
      <c r="Y847" s="154">
        <v>692729</v>
      </c>
      <c r="Z847" s="154">
        <v>692782</v>
      </c>
      <c r="AA847" s="154">
        <v>692967</v>
      </c>
      <c r="AB847" s="154">
        <v>693000</v>
      </c>
      <c r="AC847" s="154">
        <v>693044</v>
      </c>
      <c r="AD847" s="154" t="s">
        <v>424</v>
      </c>
      <c r="AE847" s="154">
        <v>693082</v>
      </c>
      <c r="AF847" s="154">
        <v>693125</v>
      </c>
      <c r="AG847" s="154">
        <v>693186</v>
      </c>
      <c r="AH847" s="154">
        <v>693380</v>
      </c>
      <c r="AI847" s="154">
        <v>693396</v>
      </c>
      <c r="AJ847" s="154">
        <v>693456</v>
      </c>
      <c r="AK847" s="154">
        <v>693489</v>
      </c>
      <c r="AL847" s="154" t="s">
        <v>424</v>
      </c>
      <c r="AP847" cm="1">
        <f t="array" ref="AP847">IF(AQ847="","",SUM(IFERROR(H847:AL847-H846:AL846,0))*AQ847/100)</f>
        <v>189.3</v>
      </c>
      <c r="AQ847">
        <f>_xlfn.XLOOKUP(D847,log_prices!M:M,log_prices!L:L,,0)</f>
        <v>15</v>
      </c>
      <c r="AS847">
        <v>847</v>
      </c>
      <c r="AT847" cm="1">
        <f t="array" ref="AT847">IF(AQ847="","",SUM(IFERROR(H847:AL847-H846:AL846,0)))</f>
        <v>1262</v>
      </c>
    </row>
    <row r="848" spans="1:46" hidden="1" x14ac:dyDescent="0.25">
      <c r="A848">
        <v>847</v>
      </c>
      <c r="B848">
        <v>2025</v>
      </c>
      <c r="C848">
        <v>11</v>
      </c>
      <c r="D848" t="s">
        <v>278</v>
      </c>
      <c r="E848">
        <v>31</v>
      </c>
      <c r="F848">
        <v>10</v>
      </c>
      <c r="G848" t="s">
        <v>536</v>
      </c>
      <c r="H848" s="154">
        <v>981226</v>
      </c>
      <c r="I848" s="154">
        <v>981595</v>
      </c>
      <c r="J848" s="154">
        <v>981980</v>
      </c>
      <c r="K848" s="154">
        <v>982120</v>
      </c>
      <c r="L848" s="154">
        <v>982625</v>
      </c>
      <c r="M848" s="154">
        <v>982970</v>
      </c>
      <c r="N848" s="154">
        <v>983219</v>
      </c>
      <c r="O848" s="154">
        <v>983920</v>
      </c>
      <c r="P848" s="154">
        <v>984105</v>
      </c>
      <c r="Q848" s="154">
        <v>984887</v>
      </c>
      <c r="R848" s="154">
        <v>985024</v>
      </c>
      <c r="S848" s="154">
        <v>985525</v>
      </c>
      <c r="T848" s="154">
        <v>985866</v>
      </c>
      <c r="U848" s="154">
        <v>986155</v>
      </c>
      <c r="V848" s="154">
        <v>986570</v>
      </c>
      <c r="W848" s="154">
        <v>986911</v>
      </c>
      <c r="X848" s="154">
        <v>987071</v>
      </c>
      <c r="Y848" s="154">
        <v>987508</v>
      </c>
      <c r="Z848" s="154">
        <v>987848</v>
      </c>
      <c r="AA848" s="154">
        <v>988438</v>
      </c>
      <c r="AB848" s="154">
        <v>988907</v>
      </c>
      <c r="AC848" s="154">
        <v>989057</v>
      </c>
      <c r="AD848" s="154">
        <v>989549</v>
      </c>
      <c r="AE848" s="154">
        <v>989818</v>
      </c>
      <c r="AF848" s="154">
        <v>990318</v>
      </c>
      <c r="AG848" s="154">
        <v>990625</v>
      </c>
      <c r="AH848" s="154">
        <v>990914</v>
      </c>
      <c r="AI848" s="154">
        <v>991448</v>
      </c>
      <c r="AJ848" s="154">
        <v>991805</v>
      </c>
      <c r="AK848" s="154">
        <v>992240</v>
      </c>
      <c r="AL848" s="154" t="s">
        <v>424</v>
      </c>
      <c r="AS848">
        <v>848</v>
      </c>
    </row>
    <row r="849" spans="1:46" hidden="1" x14ac:dyDescent="0.25">
      <c r="A849">
        <v>848</v>
      </c>
      <c r="B849">
        <v>2025</v>
      </c>
      <c r="C849">
        <v>11</v>
      </c>
      <c r="D849" t="s">
        <v>278</v>
      </c>
      <c r="E849">
        <v>31</v>
      </c>
      <c r="F849">
        <v>10</v>
      </c>
      <c r="G849" t="s">
        <v>537</v>
      </c>
      <c r="H849" s="154">
        <v>981591</v>
      </c>
      <c r="I849" s="154">
        <v>981844</v>
      </c>
      <c r="J849" s="154">
        <v>982120</v>
      </c>
      <c r="K849" s="154">
        <v>982623</v>
      </c>
      <c r="L849" s="154">
        <v>982965</v>
      </c>
      <c r="M849" s="154">
        <v>983219</v>
      </c>
      <c r="N849" s="154">
        <v>983814</v>
      </c>
      <c r="O849" s="154">
        <v>984105</v>
      </c>
      <c r="P849" s="154">
        <v>984887</v>
      </c>
      <c r="Q849" s="154">
        <v>985024</v>
      </c>
      <c r="R849" s="154">
        <v>985525</v>
      </c>
      <c r="S849" s="154">
        <v>985866</v>
      </c>
      <c r="T849" s="154">
        <v>986155</v>
      </c>
      <c r="U849" s="154">
        <v>986550</v>
      </c>
      <c r="V849" s="154">
        <v>986709</v>
      </c>
      <c r="W849" s="154">
        <v>987070</v>
      </c>
      <c r="X849" s="154">
        <v>987508</v>
      </c>
      <c r="Y849" s="154">
        <v>987848</v>
      </c>
      <c r="Z849" s="154">
        <v>988438</v>
      </c>
      <c r="AA849" s="154">
        <v>988773</v>
      </c>
      <c r="AB849" s="154">
        <v>989057</v>
      </c>
      <c r="AC849" s="154">
        <v>989549</v>
      </c>
      <c r="AD849" s="154">
        <v>989818</v>
      </c>
      <c r="AE849" s="154">
        <v>990318</v>
      </c>
      <c r="AF849" s="154">
        <v>990625</v>
      </c>
      <c r="AG849" s="154">
        <v>990914</v>
      </c>
      <c r="AH849" s="154">
        <v>991448</v>
      </c>
      <c r="AI849" s="154">
        <v>991805</v>
      </c>
      <c r="AJ849" s="154">
        <v>992239</v>
      </c>
      <c r="AK849" s="154">
        <v>992454</v>
      </c>
      <c r="AL849" s="154" t="s">
        <v>424</v>
      </c>
      <c r="AP849" cm="1">
        <f t="array" ref="AP849">IF(AQ849="","",SUM(IFERROR(H849:AL849-H848:AL848,0))*AQ849/100)</f>
        <v>1114.8709977000001</v>
      </c>
      <c r="AQ849" s="164">
        <v>10.50081</v>
      </c>
      <c r="AS849">
        <v>849</v>
      </c>
      <c r="AT849" cm="1">
        <f t="array" ref="AT849">IF(AQ849="","",SUM(IFERROR(H849:AL849-H848:AL848,0)))</f>
        <v>10617</v>
      </c>
    </row>
    <row r="850" spans="1:46" hidden="1" x14ac:dyDescent="0.25">
      <c r="A850">
        <v>849</v>
      </c>
      <c r="B850">
        <v>2025</v>
      </c>
      <c r="C850">
        <v>11</v>
      </c>
      <c r="D850" t="s">
        <v>255</v>
      </c>
      <c r="E850">
        <v>31</v>
      </c>
      <c r="F850">
        <v>10</v>
      </c>
      <c r="G850" t="s">
        <v>543</v>
      </c>
      <c r="H850" s="154">
        <v>279010</v>
      </c>
      <c r="I850" s="154">
        <v>279107</v>
      </c>
      <c r="J850" s="154">
        <v>279205</v>
      </c>
      <c r="K850" s="154">
        <v>279286</v>
      </c>
      <c r="L850" s="154">
        <v>279348</v>
      </c>
      <c r="M850" s="154">
        <v>279395</v>
      </c>
      <c r="N850" s="154">
        <v>279485</v>
      </c>
      <c r="O850" s="154">
        <v>279587</v>
      </c>
      <c r="P850" s="154">
        <v>279745</v>
      </c>
      <c r="Q850" s="154">
        <v>279986</v>
      </c>
      <c r="R850" s="154">
        <v>280072</v>
      </c>
      <c r="S850" s="154">
        <v>280157</v>
      </c>
      <c r="T850" s="154">
        <v>280265</v>
      </c>
      <c r="U850" s="154">
        <v>280362</v>
      </c>
      <c r="V850" s="154">
        <v>280442</v>
      </c>
      <c r="W850" s="154">
        <v>280487</v>
      </c>
      <c r="X850" s="154">
        <v>280542</v>
      </c>
      <c r="Y850" s="154">
        <v>280612</v>
      </c>
      <c r="Z850" s="154">
        <v>280681</v>
      </c>
      <c r="AA850" s="154">
        <v>280756</v>
      </c>
      <c r="AB850" s="154">
        <v>280846</v>
      </c>
      <c r="AC850" s="154">
        <v>280890</v>
      </c>
      <c r="AD850" s="154">
        <v>281045</v>
      </c>
      <c r="AE850" s="154">
        <v>281198</v>
      </c>
      <c r="AF850" s="154">
        <v>281342</v>
      </c>
      <c r="AG850" s="154">
        <v>281507</v>
      </c>
      <c r="AH850" s="154">
        <v>281647</v>
      </c>
      <c r="AI850" s="154">
        <v>281795</v>
      </c>
      <c r="AJ850" s="154">
        <v>281954</v>
      </c>
      <c r="AK850" s="154">
        <v>282102</v>
      </c>
      <c r="AL850" s="154" t="s">
        <v>424</v>
      </c>
      <c r="AS850">
        <v>850</v>
      </c>
    </row>
    <row r="851" spans="1:46" hidden="1" x14ac:dyDescent="0.25">
      <c r="A851">
        <v>850</v>
      </c>
      <c r="B851">
        <v>2025</v>
      </c>
      <c r="C851">
        <v>11</v>
      </c>
      <c r="D851" t="s">
        <v>255</v>
      </c>
      <c r="E851">
        <v>31</v>
      </c>
      <c r="F851">
        <v>10</v>
      </c>
      <c r="G851" t="s">
        <v>544</v>
      </c>
      <c r="H851" s="154">
        <v>279045</v>
      </c>
      <c r="I851" s="154">
        <v>279145</v>
      </c>
      <c r="J851" s="154">
        <v>279234</v>
      </c>
      <c r="K851" s="154">
        <v>279311</v>
      </c>
      <c r="L851" s="154">
        <v>279375</v>
      </c>
      <c r="M851" s="154">
        <v>279432</v>
      </c>
      <c r="N851" s="154">
        <v>279532</v>
      </c>
      <c r="O851" s="154">
        <v>279628</v>
      </c>
      <c r="P851" s="154">
        <v>279837</v>
      </c>
      <c r="Q851" s="154">
        <v>280035</v>
      </c>
      <c r="R851" s="154">
        <v>280103</v>
      </c>
      <c r="S851" s="154">
        <v>280194</v>
      </c>
      <c r="T851" s="154">
        <v>280312</v>
      </c>
      <c r="U851" s="154">
        <v>280397</v>
      </c>
      <c r="V851" s="154">
        <v>280473</v>
      </c>
      <c r="W851" s="154">
        <v>280498</v>
      </c>
      <c r="X851" s="154">
        <v>280573</v>
      </c>
      <c r="Y851" s="154">
        <v>280648</v>
      </c>
      <c r="Z851" s="154">
        <v>280714</v>
      </c>
      <c r="AA851" s="154">
        <v>280812</v>
      </c>
      <c r="AB851" s="154">
        <v>280865</v>
      </c>
      <c r="AC851" s="154">
        <v>280923</v>
      </c>
      <c r="AD851" s="154">
        <v>281112</v>
      </c>
      <c r="AE851" s="154">
        <v>281245</v>
      </c>
      <c r="AF851" s="154">
        <v>281415</v>
      </c>
      <c r="AG851" s="154">
        <v>281587</v>
      </c>
      <c r="AH851" s="154">
        <v>281712</v>
      </c>
      <c r="AI851" s="154">
        <v>281846</v>
      </c>
      <c r="AJ851" s="154">
        <v>282035</v>
      </c>
      <c r="AK851" s="154">
        <v>282175</v>
      </c>
      <c r="AL851" s="154" t="s">
        <v>424</v>
      </c>
      <c r="AP851" cm="1">
        <f t="array" ref="AP851">IF(AQ851="","",SUM(IFERROR(H851:AL851-H850:AL850,0))*AQ851/100)</f>
        <v>162.84</v>
      </c>
      <c r="AQ851">
        <f>_xlfn.XLOOKUP(D851,log_prices!M:M,log_prices!L:L,,0)</f>
        <v>12</v>
      </c>
      <c r="AS851">
        <v>851</v>
      </c>
      <c r="AT851" cm="1">
        <f t="array" ref="AT851">IF(AQ851="","",SUM(IFERROR(H851:AL851-H850:AL850,0)))</f>
        <v>1357</v>
      </c>
    </row>
    <row r="852" spans="1:46" hidden="1" x14ac:dyDescent="0.25">
      <c r="A852">
        <v>851</v>
      </c>
      <c r="B852">
        <v>2025</v>
      </c>
      <c r="C852">
        <v>11</v>
      </c>
      <c r="D852" t="s">
        <v>288</v>
      </c>
      <c r="E852">
        <v>31</v>
      </c>
      <c r="F852">
        <v>10</v>
      </c>
      <c r="G852" t="s">
        <v>534</v>
      </c>
      <c r="H852" s="154" t="s">
        <v>424</v>
      </c>
      <c r="I852" s="154" t="s">
        <v>424</v>
      </c>
      <c r="J852" s="154" t="s">
        <v>424</v>
      </c>
      <c r="K852" s="154" t="s">
        <v>424</v>
      </c>
      <c r="L852" s="154" t="s">
        <v>424</v>
      </c>
      <c r="M852" s="154" t="s">
        <v>424</v>
      </c>
      <c r="N852" s="154" t="s">
        <v>424</v>
      </c>
      <c r="O852" s="154" t="s">
        <v>424</v>
      </c>
      <c r="P852" s="154" t="s">
        <v>424</v>
      </c>
      <c r="Q852" s="154" t="s">
        <v>424</v>
      </c>
      <c r="R852" s="154" t="s">
        <v>424</v>
      </c>
      <c r="S852" s="154" t="s">
        <v>424</v>
      </c>
      <c r="T852" s="154" t="s">
        <v>424</v>
      </c>
      <c r="U852" s="154" t="s">
        <v>424</v>
      </c>
      <c r="V852" s="154" t="s">
        <v>479</v>
      </c>
      <c r="W852" s="154" t="s">
        <v>479</v>
      </c>
      <c r="X852" s="154" t="s">
        <v>479</v>
      </c>
      <c r="Y852" s="154" t="s">
        <v>479</v>
      </c>
      <c r="Z852" s="154" t="s">
        <v>479</v>
      </c>
      <c r="AA852" s="154" t="s">
        <v>479</v>
      </c>
      <c r="AB852" s="154" t="s">
        <v>479</v>
      </c>
      <c r="AC852" s="154" t="s">
        <v>479</v>
      </c>
      <c r="AD852" s="154" t="s">
        <v>479</v>
      </c>
      <c r="AE852" s="154" t="s">
        <v>479</v>
      </c>
      <c r="AF852" s="154" t="s">
        <v>479</v>
      </c>
      <c r="AG852" s="154" t="s">
        <v>479</v>
      </c>
      <c r="AH852" s="154" t="s">
        <v>479</v>
      </c>
      <c r="AI852" s="154" t="s">
        <v>479</v>
      </c>
      <c r="AJ852" s="154" t="s">
        <v>479</v>
      </c>
      <c r="AK852" s="154" t="s">
        <v>479</v>
      </c>
      <c r="AL852" s="154" t="s">
        <v>424</v>
      </c>
      <c r="AS852">
        <v>852</v>
      </c>
    </row>
    <row r="853" spans="1:46" hidden="1" x14ac:dyDescent="0.25">
      <c r="A853">
        <v>852</v>
      </c>
      <c r="B853">
        <v>2025</v>
      </c>
      <c r="C853">
        <v>11</v>
      </c>
      <c r="D853" t="s">
        <v>288</v>
      </c>
      <c r="E853">
        <v>31</v>
      </c>
      <c r="F853">
        <v>10</v>
      </c>
      <c r="G853" t="s">
        <v>535</v>
      </c>
      <c r="H853" s="154" t="s">
        <v>424</v>
      </c>
      <c r="I853" s="154" t="s">
        <v>424</v>
      </c>
      <c r="J853" s="154" t="s">
        <v>424</v>
      </c>
      <c r="K853" s="154" t="s">
        <v>424</v>
      </c>
      <c r="L853" s="154" t="s">
        <v>424</v>
      </c>
      <c r="M853" s="154" t="s">
        <v>424</v>
      </c>
      <c r="N853" s="154" t="s">
        <v>424</v>
      </c>
      <c r="O853" s="154" t="s">
        <v>424</v>
      </c>
      <c r="P853" s="154" t="s">
        <v>424</v>
      </c>
      <c r="Q853" s="154" t="s">
        <v>424</v>
      </c>
      <c r="R853" s="154" t="s">
        <v>424</v>
      </c>
      <c r="S853" s="154" t="s">
        <v>424</v>
      </c>
      <c r="T853" s="154" t="s">
        <v>424</v>
      </c>
      <c r="U853" s="154" t="s">
        <v>424</v>
      </c>
      <c r="V853" s="154" t="s">
        <v>480</v>
      </c>
      <c r="W853" s="154" t="s">
        <v>480</v>
      </c>
      <c r="X853" s="154" t="s">
        <v>480</v>
      </c>
      <c r="Y853" s="154" t="s">
        <v>480</v>
      </c>
      <c r="Z853" s="154" t="s">
        <v>480</v>
      </c>
      <c r="AA853" s="154" t="s">
        <v>480</v>
      </c>
      <c r="AB853" s="154" t="s">
        <v>492</v>
      </c>
      <c r="AC853" s="154" t="s">
        <v>480</v>
      </c>
      <c r="AD853" s="154" t="s">
        <v>480</v>
      </c>
      <c r="AE853" s="154" t="s">
        <v>480</v>
      </c>
      <c r="AF853" s="154" t="s">
        <v>493</v>
      </c>
      <c r="AG853" s="154" t="s">
        <v>480</v>
      </c>
      <c r="AH853" s="154" t="s">
        <v>480</v>
      </c>
      <c r="AI853" s="154" t="s">
        <v>480</v>
      </c>
      <c r="AJ853" s="154" t="s">
        <v>480</v>
      </c>
      <c r="AK853" s="154" t="s">
        <v>480</v>
      </c>
      <c r="AL853" s="154" t="s">
        <v>424</v>
      </c>
      <c r="AM853" cm="1">
        <f t="array" ref="AM853">SUM(_xlfn.LET(_xlpm.r,((IFERROR(H853:AL853-H852:AL852,0))*24)/10,IF(_xlpm.r&gt;1,1,_xlpm.r)))</f>
        <v>16</v>
      </c>
      <c r="AO853" cm="1">
        <f t="array" ref="AO853">SUM(IFERROR(MOD((H853:AL853-H852:AL852)*24,11),""))</f>
        <v>3</v>
      </c>
      <c r="AS853">
        <v>853</v>
      </c>
    </row>
    <row r="854" spans="1:46" hidden="1" x14ac:dyDescent="0.25">
      <c r="A854">
        <v>853</v>
      </c>
      <c r="B854">
        <v>2025</v>
      </c>
      <c r="C854">
        <v>11</v>
      </c>
      <c r="D854" t="s">
        <v>289</v>
      </c>
      <c r="E854">
        <v>31</v>
      </c>
      <c r="F854">
        <v>10</v>
      </c>
      <c r="G854" t="s">
        <v>534</v>
      </c>
      <c r="H854" s="154" t="s">
        <v>424</v>
      </c>
      <c r="I854" s="154" t="s">
        <v>424</v>
      </c>
      <c r="J854" s="154" t="s">
        <v>424</v>
      </c>
      <c r="K854" s="154" t="s">
        <v>424</v>
      </c>
      <c r="L854" s="154" t="s">
        <v>424</v>
      </c>
      <c r="M854" s="154" t="s">
        <v>424</v>
      </c>
      <c r="N854" s="154" t="s">
        <v>424</v>
      </c>
      <c r="O854" s="154" t="s">
        <v>424</v>
      </c>
      <c r="P854" s="154" t="s">
        <v>424</v>
      </c>
      <c r="Q854" s="154" t="s">
        <v>424</v>
      </c>
      <c r="R854" s="154" t="s">
        <v>424</v>
      </c>
      <c r="S854" s="154" t="s">
        <v>424</v>
      </c>
      <c r="T854" s="154" t="s">
        <v>424</v>
      </c>
      <c r="U854" s="154" t="s">
        <v>424</v>
      </c>
      <c r="V854" s="154" t="s">
        <v>424</v>
      </c>
      <c r="W854" s="154" t="s">
        <v>424</v>
      </c>
      <c r="X854" s="154" t="s">
        <v>424</v>
      </c>
      <c r="Y854" s="154" t="s">
        <v>424</v>
      </c>
      <c r="Z854" s="154" t="s">
        <v>424</v>
      </c>
      <c r="AA854" s="154" t="s">
        <v>424</v>
      </c>
      <c r="AB854" s="154" t="s">
        <v>424</v>
      </c>
      <c r="AC854" s="154" t="s">
        <v>424</v>
      </c>
      <c r="AD854" s="154" t="s">
        <v>424</v>
      </c>
      <c r="AE854" s="154" t="s">
        <v>424</v>
      </c>
      <c r="AF854" s="154" t="s">
        <v>479</v>
      </c>
      <c r="AG854" s="154" t="s">
        <v>424</v>
      </c>
      <c r="AH854" s="154" t="s">
        <v>424</v>
      </c>
      <c r="AI854" s="154" t="s">
        <v>424</v>
      </c>
      <c r="AJ854" s="154" t="s">
        <v>424</v>
      </c>
      <c r="AK854" s="154" t="s">
        <v>424</v>
      </c>
      <c r="AL854" s="154" t="s">
        <v>424</v>
      </c>
      <c r="AS854">
        <v>854</v>
      </c>
    </row>
    <row r="855" spans="1:46" hidden="1" x14ac:dyDescent="0.25">
      <c r="A855">
        <v>854</v>
      </c>
      <c r="B855">
        <v>2025</v>
      </c>
      <c r="C855">
        <v>11</v>
      </c>
      <c r="D855" t="s">
        <v>289</v>
      </c>
      <c r="E855">
        <v>31</v>
      </c>
      <c r="F855">
        <v>10</v>
      </c>
      <c r="G855" t="s">
        <v>535</v>
      </c>
      <c r="H855" s="154" t="s">
        <v>424</v>
      </c>
      <c r="I855" s="154" t="s">
        <v>424</v>
      </c>
      <c r="J855" s="154" t="s">
        <v>424</v>
      </c>
      <c r="K855" s="154" t="s">
        <v>424</v>
      </c>
      <c r="L855" s="154" t="s">
        <v>424</v>
      </c>
      <c r="M855" s="154" t="s">
        <v>424</v>
      </c>
      <c r="N855" s="154" t="s">
        <v>424</v>
      </c>
      <c r="O855" s="154" t="s">
        <v>424</v>
      </c>
      <c r="P855" s="154" t="s">
        <v>424</v>
      </c>
      <c r="Q855" s="154" t="s">
        <v>424</v>
      </c>
      <c r="R855" s="154" t="s">
        <v>424</v>
      </c>
      <c r="S855" s="154" t="s">
        <v>424</v>
      </c>
      <c r="T855" s="154" t="s">
        <v>424</v>
      </c>
      <c r="U855" s="154" t="s">
        <v>424</v>
      </c>
      <c r="V855" s="154" t="s">
        <v>424</v>
      </c>
      <c r="W855" s="154" t="s">
        <v>424</v>
      </c>
      <c r="X855" s="154" t="s">
        <v>424</v>
      </c>
      <c r="Y855" s="154" t="s">
        <v>424</v>
      </c>
      <c r="Z855" s="154" t="s">
        <v>424</v>
      </c>
      <c r="AA855" s="154" t="s">
        <v>424</v>
      </c>
      <c r="AB855" s="154" t="s">
        <v>424</v>
      </c>
      <c r="AC855" s="154" t="s">
        <v>424</v>
      </c>
      <c r="AD855" s="154" t="s">
        <v>424</v>
      </c>
      <c r="AE855" s="154" t="s">
        <v>424</v>
      </c>
      <c r="AF855" s="154" t="s">
        <v>493</v>
      </c>
      <c r="AG855" s="154" t="s">
        <v>424</v>
      </c>
      <c r="AH855" s="154" t="s">
        <v>424</v>
      </c>
      <c r="AI855" s="154" t="s">
        <v>424</v>
      </c>
      <c r="AJ855" s="154" t="s">
        <v>424</v>
      </c>
      <c r="AK855" s="154" t="s">
        <v>424</v>
      </c>
      <c r="AL855" s="154" t="s">
        <v>424</v>
      </c>
      <c r="AM855" cm="1">
        <f t="array" ref="AM855">SUM(_xlfn.LET(_xlpm.r,((IFERROR(H855:AL855-H854:AL854,0))*24)/10,IF(_xlpm.r&gt;1,1,_xlpm.r)))</f>
        <v>1</v>
      </c>
      <c r="AS855">
        <v>855</v>
      </c>
    </row>
    <row r="856" spans="1:46" hidden="1" x14ac:dyDescent="0.25">
      <c r="A856">
        <v>855</v>
      </c>
      <c r="B856">
        <v>2025</v>
      </c>
      <c r="C856">
        <v>11</v>
      </c>
      <c r="D856" t="s">
        <v>282</v>
      </c>
      <c r="E856">
        <v>31</v>
      </c>
      <c r="F856">
        <v>10</v>
      </c>
      <c r="G856" t="s">
        <v>534</v>
      </c>
      <c r="H856" s="154" t="s">
        <v>479</v>
      </c>
      <c r="I856" s="154" t="s">
        <v>479</v>
      </c>
      <c r="J856" s="154" t="s">
        <v>479</v>
      </c>
      <c r="K856" s="154" t="s">
        <v>479</v>
      </c>
      <c r="L856" s="154" t="s">
        <v>479</v>
      </c>
      <c r="M856" s="154" t="s">
        <v>479</v>
      </c>
      <c r="N856" s="154" t="s">
        <v>479</v>
      </c>
      <c r="O856" s="154" t="s">
        <v>479</v>
      </c>
      <c r="P856" s="154" t="s">
        <v>424</v>
      </c>
      <c r="Q856" s="154" t="s">
        <v>479</v>
      </c>
      <c r="R856" s="154" t="s">
        <v>479</v>
      </c>
      <c r="S856" s="154" t="s">
        <v>479</v>
      </c>
      <c r="T856" s="154" t="s">
        <v>479</v>
      </c>
      <c r="U856" s="154" t="s">
        <v>479</v>
      </c>
      <c r="V856" s="154" t="s">
        <v>479</v>
      </c>
      <c r="W856" s="154" t="s">
        <v>479</v>
      </c>
      <c r="X856" s="154" t="s">
        <v>479</v>
      </c>
      <c r="Y856" s="154" t="s">
        <v>479</v>
      </c>
      <c r="Z856" s="154" t="s">
        <v>479</v>
      </c>
      <c r="AA856" s="154" t="s">
        <v>479</v>
      </c>
      <c r="AB856" s="154" t="s">
        <v>479</v>
      </c>
      <c r="AC856" s="154" t="s">
        <v>479</v>
      </c>
      <c r="AD856" s="154" t="s">
        <v>424</v>
      </c>
      <c r="AE856" s="154" t="s">
        <v>479</v>
      </c>
      <c r="AF856" s="154" t="s">
        <v>479</v>
      </c>
      <c r="AG856" s="154" t="s">
        <v>479</v>
      </c>
      <c r="AH856" s="154" t="s">
        <v>479</v>
      </c>
      <c r="AI856" s="154" t="s">
        <v>479</v>
      </c>
      <c r="AJ856" s="154" t="s">
        <v>479</v>
      </c>
      <c r="AK856" s="154" t="s">
        <v>479</v>
      </c>
      <c r="AL856" s="154" t="s">
        <v>424</v>
      </c>
      <c r="AS856">
        <v>856</v>
      </c>
    </row>
    <row r="857" spans="1:46" hidden="1" x14ac:dyDescent="0.25">
      <c r="A857">
        <v>856</v>
      </c>
      <c r="B857">
        <v>2025</v>
      </c>
      <c r="C857">
        <v>11</v>
      </c>
      <c r="D857" t="s">
        <v>282</v>
      </c>
      <c r="E857">
        <v>31</v>
      </c>
      <c r="F857">
        <v>10</v>
      </c>
      <c r="G857" t="s">
        <v>535</v>
      </c>
      <c r="H857" s="154" t="s">
        <v>494</v>
      </c>
      <c r="I857" s="154" t="s">
        <v>494</v>
      </c>
      <c r="J857" s="154" t="s">
        <v>494</v>
      </c>
      <c r="K857" s="154" t="s">
        <v>494</v>
      </c>
      <c r="L857" s="154" t="s">
        <v>494</v>
      </c>
      <c r="M857" s="154" t="s">
        <v>494</v>
      </c>
      <c r="N857" s="154" t="s">
        <v>493</v>
      </c>
      <c r="O857" s="154" t="s">
        <v>494</v>
      </c>
      <c r="P857" s="154" t="s">
        <v>424</v>
      </c>
      <c r="Q857" s="154" t="s">
        <v>494</v>
      </c>
      <c r="R857" s="154" t="s">
        <v>493</v>
      </c>
      <c r="S857" s="154" t="s">
        <v>494</v>
      </c>
      <c r="T857" s="154" t="s">
        <v>493</v>
      </c>
      <c r="U857" s="154" t="s">
        <v>494</v>
      </c>
      <c r="V857" s="154" t="s">
        <v>494</v>
      </c>
      <c r="W857" s="154" t="s">
        <v>494</v>
      </c>
      <c r="X857" s="154" t="s">
        <v>494</v>
      </c>
      <c r="Y857" s="154" t="s">
        <v>494</v>
      </c>
      <c r="Z857" s="154" t="s">
        <v>515</v>
      </c>
      <c r="AA857" s="154" t="s">
        <v>493</v>
      </c>
      <c r="AB857" s="154" t="s">
        <v>493</v>
      </c>
      <c r="AC857" s="154" t="s">
        <v>515</v>
      </c>
      <c r="AD857" s="154" t="s">
        <v>424</v>
      </c>
      <c r="AE857" s="154" t="s">
        <v>494</v>
      </c>
      <c r="AF857" s="154" t="s">
        <v>494</v>
      </c>
      <c r="AG857" s="154" t="s">
        <v>493</v>
      </c>
      <c r="AH857" s="154" t="s">
        <v>493</v>
      </c>
      <c r="AI857" s="154" t="s">
        <v>515</v>
      </c>
      <c r="AJ857" s="154" t="s">
        <v>494</v>
      </c>
      <c r="AK857" s="154" t="s">
        <v>494</v>
      </c>
      <c r="AL857" s="154" t="s">
        <v>424</v>
      </c>
      <c r="AM857" cm="1">
        <f t="array" ref="AM857">SUM(_xlfn.LET(_xlpm.r,((IFERROR(H857:AL857-H856:AL856,0))*24)/10,IF(_xlpm.r&gt;1,1,_xlpm.r)))</f>
        <v>28</v>
      </c>
      <c r="AO857" cm="1">
        <f t="array" ref="AO857">SUM(IFERROR(MOD((H857:AL857-H856:AL856)*24,11),""))</f>
        <v>79.999999999999986</v>
      </c>
      <c r="AS857">
        <v>857</v>
      </c>
    </row>
    <row r="858" spans="1:46" hidden="1" x14ac:dyDescent="0.25">
      <c r="A858">
        <v>857</v>
      </c>
      <c r="B858">
        <v>2025</v>
      </c>
      <c r="C858">
        <v>11</v>
      </c>
      <c r="D858" t="s">
        <v>456</v>
      </c>
      <c r="E858">
        <v>31</v>
      </c>
      <c r="F858">
        <v>10</v>
      </c>
      <c r="G858" t="s">
        <v>534</v>
      </c>
      <c r="H858" s="154" t="s">
        <v>424</v>
      </c>
      <c r="I858" s="154" t="s">
        <v>424</v>
      </c>
      <c r="J858" s="154" t="s">
        <v>424</v>
      </c>
      <c r="K858" s="154" t="s">
        <v>424</v>
      </c>
      <c r="L858" s="154" t="s">
        <v>424</v>
      </c>
      <c r="M858" s="154" t="s">
        <v>424</v>
      </c>
      <c r="N858" s="154" t="s">
        <v>424</v>
      </c>
      <c r="O858" s="154" t="s">
        <v>424</v>
      </c>
      <c r="P858" s="154" t="s">
        <v>424</v>
      </c>
      <c r="Q858" s="154" t="s">
        <v>424</v>
      </c>
      <c r="R858" s="154" t="s">
        <v>424</v>
      </c>
      <c r="S858" s="154" t="s">
        <v>424</v>
      </c>
      <c r="T858" s="154" t="s">
        <v>424</v>
      </c>
      <c r="U858" s="154" t="s">
        <v>424</v>
      </c>
      <c r="V858" s="154" t="s">
        <v>424</v>
      </c>
      <c r="W858" s="154" t="s">
        <v>424</v>
      </c>
      <c r="X858" s="154" t="s">
        <v>424</v>
      </c>
      <c r="Y858" s="154" t="s">
        <v>479</v>
      </c>
      <c r="Z858" s="154" t="s">
        <v>479</v>
      </c>
      <c r="AA858" s="154" t="s">
        <v>479</v>
      </c>
      <c r="AB858" s="154" t="s">
        <v>479</v>
      </c>
      <c r="AC858" s="154" t="s">
        <v>479</v>
      </c>
      <c r="AD858" s="154" t="s">
        <v>479</v>
      </c>
      <c r="AE858" s="154" t="s">
        <v>479</v>
      </c>
      <c r="AF858" s="154" t="s">
        <v>479</v>
      </c>
      <c r="AG858" s="154" t="s">
        <v>479</v>
      </c>
      <c r="AH858" s="154" t="s">
        <v>479</v>
      </c>
      <c r="AI858" s="154" t="s">
        <v>479</v>
      </c>
      <c r="AJ858" s="154" t="s">
        <v>479</v>
      </c>
      <c r="AK858" s="154" t="s">
        <v>479</v>
      </c>
      <c r="AL858" s="154" t="s">
        <v>424</v>
      </c>
      <c r="AS858">
        <v>858</v>
      </c>
    </row>
    <row r="859" spans="1:46" hidden="1" x14ac:dyDescent="0.25">
      <c r="A859">
        <v>858</v>
      </c>
      <c r="B859">
        <v>2025</v>
      </c>
      <c r="C859">
        <v>11</v>
      </c>
      <c r="D859" t="s">
        <v>456</v>
      </c>
      <c r="E859">
        <v>31</v>
      </c>
      <c r="F859">
        <v>10</v>
      </c>
      <c r="G859" t="s">
        <v>535</v>
      </c>
      <c r="H859" s="154" t="s">
        <v>424</v>
      </c>
      <c r="I859" s="154" t="s">
        <v>424</v>
      </c>
      <c r="J859" s="154" t="s">
        <v>424</v>
      </c>
      <c r="K859" s="154" t="s">
        <v>424</v>
      </c>
      <c r="L859" s="154" t="s">
        <v>424</v>
      </c>
      <c r="M859" s="154" t="s">
        <v>424</v>
      </c>
      <c r="N859" s="154" t="s">
        <v>424</v>
      </c>
      <c r="O859" s="154" t="s">
        <v>424</v>
      </c>
      <c r="P859" s="154" t="s">
        <v>424</v>
      </c>
      <c r="Q859" s="154" t="s">
        <v>424</v>
      </c>
      <c r="R859" s="154" t="s">
        <v>424</v>
      </c>
      <c r="S859" s="154" t="s">
        <v>424</v>
      </c>
      <c r="T859" s="154" t="s">
        <v>424</v>
      </c>
      <c r="U859" s="154" t="s">
        <v>424</v>
      </c>
      <c r="V859" s="154" t="s">
        <v>424</v>
      </c>
      <c r="W859" s="154" t="s">
        <v>424</v>
      </c>
      <c r="X859" s="154" t="s">
        <v>424</v>
      </c>
      <c r="Y859" s="154" t="s">
        <v>480</v>
      </c>
      <c r="Z859" s="154" t="s">
        <v>480</v>
      </c>
      <c r="AA859" s="154" t="s">
        <v>515</v>
      </c>
      <c r="AB859" s="154" t="s">
        <v>494</v>
      </c>
      <c r="AC859" s="154" t="s">
        <v>480</v>
      </c>
      <c r="AD859" s="154" t="s">
        <v>494</v>
      </c>
      <c r="AE859" s="154" t="s">
        <v>493</v>
      </c>
      <c r="AF859" s="154" t="s">
        <v>480</v>
      </c>
      <c r="AG859" s="154" t="s">
        <v>494</v>
      </c>
      <c r="AH859" s="154" t="s">
        <v>480</v>
      </c>
      <c r="AI859" s="154" t="s">
        <v>494</v>
      </c>
      <c r="AJ859" s="154" t="s">
        <v>493</v>
      </c>
      <c r="AK859" s="154" t="s">
        <v>494</v>
      </c>
      <c r="AL859" s="154" t="s">
        <v>424</v>
      </c>
      <c r="AM859" cm="1">
        <f t="array" ref="AM859">SUM(_xlfn.LET(_xlpm.r,((IFERROR(H859:AL859-H858:AL858,0))*24)/10,IF(_xlpm.r&gt;1,1,_xlpm.r)))</f>
        <v>13</v>
      </c>
      <c r="AO859" cm="1">
        <f t="array" ref="AO859">SUM(IFERROR(MOD((H859:AL859-H858:AL858)*24,11),""))</f>
        <v>22.999999999999993</v>
      </c>
      <c r="AS859">
        <v>859</v>
      </c>
    </row>
    <row r="860" spans="1:46" hidden="1" x14ac:dyDescent="0.25">
      <c r="A860">
        <v>859</v>
      </c>
      <c r="B860">
        <v>2025</v>
      </c>
      <c r="C860">
        <v>11</v>
      </c>
      <c r="D860" t="s">
        <v>286</v>
      </c>
      <c r="E860">
        <v>31</v>
      </c>
      <c r="F860">
        <v>10</v>
      </c>
      <c r="G860" t="s">
        <v>534</v>
      </c>
      <c r="H860" s="154" t="s">
        <v>479</v>
      </c>
      <c r="I860" s="154" t="s">
        <v>479</v>
      </c>
      <c r="J860" s="154" t="s">
        <v>479</v>
      </c>
      <c r="K860" s="154" t="s">
        <v>479</v>
      </c>
      <c r="L860" s="154" t="s">
        <v>479</v>
      </c>
      <c r="M860" s="154" t="s">
        <v>479</v>
      </c>
      <c r="N860" s="154" t="s">
        <v>479</v>
      </c>
      <c r="O860" s="154" t="s">
        <v>479</v>
      </c>
      <c r="P860" s="154" t="s">
        <v>424</v>
      </c>
      <c r="Q860" s="154" t="s">
        <v>479</v>
      </c>
      <c r="R860" s="154" t="s">
        <v>479</v>
      </c>
      <c r="S860" s="154" t="s">
        <v>479</v>
      </c>
      <c r="T860" s="154" t="s">
        <v>479</v>
      </c>
      <c r="U860" s="154" t="s">
        <v>479</v>
      </c>
      <c r="V860" s="154" t="s">
        <v>479</v>
      </c>
      <c r="W860" s="154" t="s">
        <v>479</v>
      </c>
      <c r="X860" s="154" t="s">
        <v>479</v>
      </c>
      <c r="Y860" s="154" t="s">
        <v>479</v>
      </c>
      <c r="Z860" s="154" t="s">
        <v>479</v>
      </c>
      <c r="AA860" s="154" t="s">
        <v>479</v>
      </c>
      <c r="AB860" s="154" t="s">
        <v>479</v>
      </c>
      <c r="AC860" s="154" t="s">
        <v>479</v>
      </c>
      <c r="AD860" s="154" t="s">
        <v>479</v>
      </c>
      <c r="AE860" s="154" t="s">
        <v>479</v>
      </c>
      <c r="AF860" s="154" t="s">
        <v>479</v>
      </c>
      <c r="AG860" s="154" t="s">
        <v>479</v>
      </c>
      <c r="AH860" s="154" t="s">
        <v>479</v>
      </c>
      <c r="AI860" s="154" t="s">
        <v>479</v>
      </c>
      <c r="AJ860" s="154" t="s">
        <v>479</v>
      </c>
      <c r="AK860" s="154" t="s">
        <v>479</v>
      </c>
      <c r="AL860" s="154" t="s">
        <v>424</v>
      </c>
      <c r="AS860">
        <v>860</v>
      </c>
    </row>
    <row r="861" spans="1:46" hidden="1" x14ac:dyDescent="0.25">
      <c r="A861">
        <v>860</v>
      </c>
      <c r="B861">
        <v>2025</v>
      </c>
      <c r="C861">
        <v>11</v>
      </c>
      <c r="D861" t="s">
        <v>286</v>
      </c>
      <c r="E861">
        <v>31</v>
      </c>
      <c r="F861">
        <v>10</v>
      </c>
      <c r="G861" t="s">
        <v>535</v>
      </c>
      <c r="H861" s="154">
        <v>0.875</v>
      </c>
      <c r="I861" s="154">
        <v>0.875</v>
      </c>
      <c r="J861" s="154">
        <v>0.875</v>
      </c>
      <c r="K861" s="154">
        <v>0.875</v>
      </c>
      <c r="L861" s="154">
        <v>0.875</v>
      </c>
      <c r="M861" s="154">
        <v>0.875</v>
      </c>
      <c r="N861" s="154">
        <v>0.875</v>
      </c>
      <c r="O861" s="154">
        <v>0.875</v>
      </c>
      <c r="P861" s="154" t="s">
        <v>424</v>
      </c>
      <c r="Q861" s="154">
        <v>0.875</v>
      </c>
      <c r="R861" s="154">
        <v>0.875</v>
      </c>
      <c r="S861" s="154">
        <v>0.875</v>
      </c>
      <c r="T861" s="154">
        <v>0.875</v>
      </c>
      <c r="U861" s="154">
        <v>0.875</v>
      </c>
      <c r="V861" s="154">
        <v>0.875</v>
      </c>
      <c r="W861" s="154">
        <v>0.875</v>
      </c>
      <c r="X861" s="154">
        <v>0.875</v>
      </c>
      <c r="Y861" s="154">
        <v>0.875</v>
      </c>
      <c r="Z861" s="154">
        <v>0.875</v>
      </c>
      <c r="AA861" s="154">
        <v>0.875</v>
      </c>
      <c r="AB861" s="154">
        <v>0.875</v>
      </c>
      <c r="AC861" s="154">
        <v>0.875</v>
      </c>
      <c r="AD861" s="154">
        <v>0.875</v>
      </c>
      <c r="AE861" s="154">
        <v>0.875</v>
      </c>
      <c r="AF861" s="154">
        <v>0.91666666666666674</v>
      </c>
      <c r="AG861" s="154">
        <v>0.91666666666666674</v>
      </c>
      <c r="AH861" s="154">
        <v>0.95833333333333326</v>
      </c>
      <c r="AI861" s="154">
        <v>0.95833333333333326</v>
      </c>
      <c r="AJ861" s="154">
        <v>0.91666666666666674</v>
      </c>
      <c r="AK861" s="154">
        <v>0.91666666666666674</v>
      </c>
      <c r="AL861" s="154" t="s">
        <v>424</v>
      </c>
      <c r="AM861" cm="1">
        <f t="array" ref="AM861">SUM(_xlfn.LET(_xlpm.r,((IFERROR(H861:AL861-H860:AL860,0))*24)/10,IF(_xlpm.r&gt;1,1,_xlpm.r)))</f>
        <v>29</v>
      </c>
      <c r="AO861" cm="1">
        <f t="array" ref="AO861">SUM(IFERROR(MOD((H861:AL861-H860:AL860)*24,11),""))</f>
        <v>94.999999999999986</v>
      </c>
      <c r="AS861">
        <v>861</v>
      </c>
    </row>
    <row r="862" spans="1:46" hidden="1" x14ac:dyDescent="0.25">
      <c r="A862">
        <v>861</v>
      </c>
      <c r="B862">
        <v>2025</v>
      </c>
      <c r="C862">
        <v>11</v>
      </c>
      <c r="D862" t="s">
        <v>457</v>
      </c>
      <c r="E862">
        <v>31</v>
      </c>
      <c r="F862">
        <v>10</v>
      </c>
      <c r="G862" t="s">
        <v>534</v>
      </c>
      <c r="H862" s="154" t="s">
        <v>424</v>
      </c>
      <c r="I862" s="154" t="s">
        <v>424</v>
      </c>
      <c r="J862" s="154" t="s">
        <v>424</v>
      </c>
      <c r="K862" s="154" t="s">
        <v>424</v>
      </c>
      <c r="L862" s="154" t="s">
        <v>424</v>
      </c>
      <c r="M862" s="154" t="s">
        <v>424</v>
      </c>
      <c r="N862" s="154" t="s">
        <v>424</v>
      </c>
      <c r="O862" s="154" t="s">
        <v>424</v>
      </c>
      <c r="P862" s="154" t="s">
        <v>424</v>
      </c>
      <c r="Q862" s="154" t="s">
        <v>424</v>
      </c>
      <c r="R862" s="154" t="s">
        <v>424</v>
      </c>
      <c r="S862" s="154" t="s">
        <v>424</v>
      </c>
      <c r="T862" s="154" t="s">
        <v>424</v>
      </c>
      <c r="U862" s="154" t="s">
        <v>424</v>
      </c>
      <c r="V862" s="154" t="s">
        <v>424</v>
      </c>
      <c r="W862" s="154" t="s">
        <v>424</v>
      </c>
      <c r="X862" s="154" t="s">
        <v>424</v>
      </c>
      <c r="Y862" s="154" t="s">
        <v>424</v>
      </c>
      <c r="Z862" s="154" t="s">
        <v>424</v>
      </c>
      <c r="AA862" s="154" t="s">
        <v>424</v>
      </c>
      <c r="AB862" s="154" t="s">
        <v>424</v>
      </c>
      <c r="AC862" s="154" t="s">
        <v>424</v>
      </c>
      <c r="AD862" s="154" t="s">
        <v>424</v>
      </c>
      <c r="AE862" s="154" t="s">
        <v>424</v>
      </c>
      <c r="AF862" s="154" t="s">
        <v>424</v>
      </c>
      <c r="AG862" s="154" t="s">
        <v>424</v>
      </c>
      <c r="AH862" s="154" t="s">
        <v>479</v>
      </c>
      <c r="AI862" s="154" t="s">
        <v>479</v>
      </c>
      <c r="AJ862" s="154" t="s">
        <v>479</v>
      </c>
      <c r="AK862" s="154" t="s">
        <v>479</v>
      </c>
      <c r="AL862" s="154" t="s">
        <v>424</v>
      </c>
      <c r="AS862">
        <v>862</v>
      </c>
    </row>
    <row r="863" spans="1:46" hidden="1" x14ac:dyDescent="0.25">
      <c r="A863">
        <v>862</v>
      </c>
      <c r="B863">
        <v>2025</v>
      </c>
      <c r="C863">
        <v>11</v>
      </c>
      <c r="D863" t="s">
        <v>457</v>
      </c>
      <c r="E863">
        <v>31</v>
      </c>
      <c r="F863">
        <v>10</v>
      </c>
      <c r="G863" t="s">
        <v>535</v>
      </c>
      <c r="H863" s="154" t="s">
        <v>424</v>
      </c>
      <c r="I863" s="154" t="s">
        <v>424</v>
      </c>
      <c r="J863" s="154" t="s">
        <v>424</v>
      </c>
      <c r="K863" s="154" t="s">
        <v>424</v>
      </c>
      <c r="L863" s="154" t="s">
        <v>424</v>
      </c>
      <c r="M863" s="154" t="s">
        <v>424</v>
      </c>
      <c r="N863" s="154" t="s">
        <v>424</v>
      </c>
      <c r="O863" s="154" t="s">
        <v>424</v>
      </c>
      <c r="P863" s="154" t="s">
        <v>424</v>
      </c>
      <c r="Q863" s="154" t="s">
        <v>424</v>
      </c>
      <c r="R863" s="154" t="s">
        <v>424</v>
      </c>
      <c r="S863" s="154" t="s">
        <v>424</v>
      </c>
      <c r="T863" s="154" t="s">
        <v>424</v>
      </c>
      <c r="U863" s="154" t="s">
        <v>424</v>
      </c>
      <c r="V863" s="154" t="s">
        <v>424</v>
      </c>
      <c r="W863" s="154" t="s">
        <v>424</v>
      </c>
      <c r="X863" s="154" t="s">
        <v>424</v>
      </c>
      <c r="Y863" s="154" t="s">
        <v>424</v>
      </c>
      <c r="Z863" s="154" t="s">
        <v>424</v>
      </c>
      <c r="AA863" s="154" t="s">
        <v>424</v>
      </c>
      <c r="AB863" s="154" t="s">
        <v>424</v>
      </c>
      <c r="AC863" s="154" t="s">
        <v>424</v>
      </c>
      <c r="AD863" s="154" t="s">
        <v>424</v>
      </c>
      <c r="AE863" s="154" t="s">
        <v>424</v>
      </c>
      <c r="AF863" s="154" t="s">
        <v>424</v>
      </c>
      <c r="AG863" s="154" t="s">
        <v>424</v>
      </c>
      <c r="AH863" s="154" t="s">
        <v>480</v>
      </c>
      <c r="AI863" s="154" t="s">
        <v>480</v>
      </c>
      <c r="AJ863" s="154" t="s">
        <v>480</v>
      </c>
      <c r="AK863" s="154" t="s">
        <v>480</v>
      </c>
      <c r="AL863" s="154" t="s">
        <v>424</v>
      </c>
      <c r="AM863" cm="1">
        <f t="array" ref="AM863">SUM(_xlfn.LET(_xlpm.r,((IFERROR(H863:AL863-H862:AL862,0))*24)/10,IF(_xlpm.r&gt;1,1,_xlpm.r)))</f>
        <v>4</v>
      </c>
      <c r="AO863" cm="1">
        <f t="array" ref="AO863">SUM(IFERROR(MOD((H863:AL863-H862:AL862)*24,11),""))</f>
        <v>0</v>
      </c>
      <c r="AS863">
        <v>863</v>
      </c>
    </row>
    <row r="864" spans="1:46" hidden="1" x14ac:dyDescent="0.25">
      <c r="A864">
        <v>863</v>
      </c>
      <c r="B864">
        <v>2025</v>
      </c>
      <c r="C864">
        <v>11</v>
      </c>
      <c r="D864" t="s">
        <v>458</v>
      </c>
      <c r="E864">
        <v>31</v>
      </c>
      <c r="F864">
        <v>10</v>
      </c>
      <c r="G864" t="s">
        <v>534</v>
      </c>
      <c r="H864" s="154" t="s">
        <v>424</v>
      </c>
      <c r="I864" s="154" t="s">
        <v>424</v>
      </c>
      <c r="J864" s="154" t="s">
        <v>424</v>
      </c>
      <c r="K864" s="154" t="s">
        <v>424</v>
      </c>
      <c r="L864" s="154" t="s">
        <v>424</v>
      </c>
      <c r="M864" s="154" t="s">
        <v>424</v>
      </c>
      <c r="N864" s="154" t="s">
        <v>424</v>
      </c>
      <c r="O864" s="154" t="s">
        <v>424</v>
      </c>
      <c r="P864" s="154" t="s">
        <v>424</v>
      </c>
      <c r="Q864" s="154" t="s">
        <v>424</v>
      </c>
      <c r="R864" s="154" t="s">
        <v>424</v>
      </c>
      <c r="S864" s="154" t="s">
        <v>424</v>
      </c>
      <c r="T864" s="154" t="s">
        <v>424</v>
      </c>
      <c r="U864" s="154" t="s">
        <v>424</v>
      </c>
      <c r="V864" s="154" t="s">
        <v>479</v>
      </c>
      <c r="W864" s="154" t="s">
        <v>479</v>
      </c>
      <c r="X864" s="154" t="s">
        <v>479</v>
      </c>
      <c r="Y864" s="154" t="s">
        <v>479</v>
      </c>
      <c r="Z864" s="154" t="s">
        <v>479</v>
      </c>
      <c r="AA864" s="154" t="s">
        <v>479</v>
      </c>
      <c r="AB864" s="154" t="s">
        <v>479</v>
      </c>
      <c r="AC864" s="154" t="s">
        <v>479</v>
      </c>
      <c r="AD864" s="154" t="s">
        <v>479</v>
      </c>
      <c r="AE864" s="154" t="s">
        <v>479</v>
      </c>
      <c r="AF864" s="154" t="s">
        <v>479</v>
      </c>
      <c r="AG864" s="154" t="s">
        <v>479</v>
      </c>
      <c r="AH864" s="154" t="s">
        <v>479</v>
      </c>
      <c r="AI864" s="154" t="s">
        <v>479</v>
      </c>
      <c r="AJ864" s="154" t="s">
        <v>479</v>
      </c>
      <c r="AK864" s="154" t="s">
        <v>479</v>
      </c>
      <c r="AL864" s="154" t="s">
        <v>424</v>
      </c>
      <c r="AS864">
        <v>864</v>
      </c>
    </row>
    <row r="865" spans="1:45" hidden="1" x14ac:dyDescent="0.25">
      <c r="A865">
        <v>864</v>
      </c>
      <c r="B865">
        <v>2025</v>
      </c>
      <c r="C865">
        <v>11</v>
      </c>
      <c r="D865" t="s">
        <v>458</v>
      </c>
      <c r="E865">
        <v>31</v>
      </c>
      <c r="F865">
        <v>10</v>
      </c>
      <c r="G865" t="s">
        <v>535</v>
      </c>
      <c r="H865" s="154" t="s">
        <v>424</v>
      </c>
      <c r="I865" s="154" t="s">
        <v>424</v>
      </c>
      <c r="J865" s="154" t="s">
        <v>424</v>
      </c>
      <c r="K865" s="154" t="s">
        <v>424</v>
      </c>
      <c r="L865" s="154" t="s">
        <v>424</v>
      </c>
      <c r="M865" s="154" t="s">
        <v>424</v>
      </c>
      <c r="N865" s="154" t="s">
        <v>424</v>
      </c>
      <c r="O865" s="154" t="s">
        <v>424</v>
      </c>
      <c r="P865" s="154" t="s">
        <v>424</v>
      </c>
      <c r="Q865" s="154" t="s">
        <v>424</v>
      </c>
      <c r="R865" s="154" t="s">
        <v>424</v>
      </c>
      <c r="S865" s="154" t="s">
        <v>424</v>
      </c>
      <c r="T865" s="154" t="s">
        <v>424</v>
      </c>
      <c r="U865" s="154" t="s">
        <v>424</v>
      </c>
      <c r="V865" s="154">
        <v>0.75</v>
      </c>
      <c r="W865" s="154">
        <v>0.75</v>
      </c>
      <c r="X865" s="154">
        <v>0.83333333333333326</v>
      </c>
      <c r="Y865" s="154">
        <v>0.75</v>
      </c>
      <c r="Z865" s="154">
        <v>0.79166666666666674</v>
      </c>
      <c r="AA865" s="154">
        <v>0.83333333333333326</v>
      </c>
      <c r="AB865" s="154">
        <v>0.79166666666666674</v>
      </c>
      <c r="AC865" s="154">
        <v>0.75</v>
      </c>
      <c r="AD865" s="154">
        <v>0.75</v>
      </c>
      <c r="AE865" s="154">
        <v>0.75</v>
      </c>
      <c r="AF865" s="154">
        <v>0.75</v>
      </c>
      <c r="AG865" s="154">
        <v>1</v>
      </c>
      <c r="AH865" s="154">
        <v>0.75</v>
      </c>
      <c r="AI865" s="154">
        <v>0.95833333333333326</v>
      </c>
      <c r="AJ865" s="154">
        <v>0.95833333333333326</v>
      </c>
      <c r="AK865" s="154">
        <v>0.75</v>
      </c>
      <c r="AL865" s="154" t="s">
        <v>424</v>
      </c>
      <c r="AM865" cm="1">
        <f t="array" ref="AM865">SUM(_xlfn.LET(_xlpm.r,((IFERROR(H865:AL865-H864:AL864,0))*24)/10,IF(_xlpm.r&gt;1,1,_xlpm.r)))</f>
        <v>16</v>
      </c>
      <c r="AO865" cm="1">
        <f t="array" ref="AO865">SUM(IFERROR(MOD((H865:AL865-H864:AL864)*24,11),""))</f>
        <v>21.999999999999986</v>
      </c>
      <c r="AS865">
        <v>865</v>
      </c>
    </row>
    <row r="866" spans="1:45" hidden="1" x14ac:dyDescent="0.25">
      <c r="A866">
        <v>865</v>
      </c>
      <c r="B866">
        <v>2025</v>
      </c>
      <c r="C866">
        <v>11</v>
      </c>
      <c r="D866" t="s">
        <v>459</v>
      </c>
      <c r="E866">
        <v>31</v>
      </c>
      <c r="F866">
        <v>10</v>
      </c>
      <c r="G866" t="s">
        <v>534</v>
      </c>
      <c r="H866" s="154" t="s">
        <v>424</v>
      </c>
      <c r="I866" s="154" t="s">
        <v>424</v>
      </c>
      <c r="J866" s="154" t="s">
        <v>424</v>
      </c>
      <c r="K866" s="154" t="s">
        <v>424</v>
      </c>
      <c r="L866" s="154" t="s">
        <v>424</v>
      </c>
      <c r="M866" s="154" t="s">
        <v>424</v>
      </c>
      <c r="N866" s="154" t="s">
        <v>424</v>
      </c>
      <c r="O866" s="154" t="s">
        <v>424</v>
      </c>
      <c r="P866" s="154" t="s">
        <v>424</v>
      </c>
      <c r="Q866" s="154" t="s">
        <v>479</v>
      </c>
      <c r="R866" s="154" t="s">
        <v>479</v>
      </c>
      <c r="S866" s="154" t="s">
        <v>479</v>
      </c>
      <c r="T866" s="154" t="s">
        <v>479</v>
      </c>
      <c r="U866" s="154" t="s">
        <v>479</v>
      </c>
      <c r="V866" s="154" t="s">
        <v>479</v>
      </c>
      <c r="W866" s="154" t="s">
        <v>479</v>
      </c>
      <c r="X866" s="154" t="s">
        <v>479</v>
      </c>
      <c r="Y866" s="154" t="s">
        <v>479</v>
      </c>
      <c r="Z866" s="154" t="s">
        <v>479</v>
      </c>
      <c r="AA866" s="154" t="s">
        <v>479</v>
      </c>
      <c r="AB866" s="154" t="s">
        <v>479</v>
      </c>
      <c r="AC866" s="154" t="s">
        <v>479</v>
      </c>
      <c r="AD866" s="154" t="s">
        <v>479</v>
      </c>
      <c r="AE866" s="154" t="s">
        <v>479</v>
      </c>
      <c r="AF866" s="154" t="s">
        <v>479</v>
      </c>
      <c r="AG866" s="154" t="s">
        <v>479</v>
      </c>
      <c r="AH866" s="154" t="s">
        <v>479</v>
      </c>
      <c r="AI866" s="154" t="s">
        <v>479</v>
      </c>
      <c r="AJ866" s="154" t="s">
        <v>479</v>
      </c>
      <c r="AK866" s="154" t="s">
        <v>479</v>
      </c>
      <c r="AL866" s="154" t="s">
        <v>424</v>
      </c>
      <c r="AS866">
        <v>866</v>
      </c>
    </row>
    <row r="867" spans="1:45" hidden="1" x14ac:dyDescent="0.25">
      <c r="A867">
        <v>866</v>
      </c>
      <c r="B867">
        <v>2025</v>
      </c>
      <c r="C867">
        <v>11</v>
      </c>
      <c r="D867" t="s">
        <v>459</v>
      </c>
      <c r="E867">
        <v>31</v>
      </c>
      <c r="F867">
        <v>10</v>
      </c>
      <c r="G867" t="s">
        <v>535</v>
      </c>
      <c r="H867" s="154" t="s">
        <v>424</v>
      </c>
      <c r="I867" s="154" t="s">
        <v>424</v>
      </c>
      <c r="J867" s="154" t="s">
        <v>424</v>
      </c>
      <c r="K867" s="154" t="s">
        <v>424</v>
      </c>
      <c r="L867" s="154" t="s">
        <v>424</v>
      </c>
      <c r="M867" s="154" t="s">
        <v>424</v>
      </c>
      <c r="N867" s="154" t="s">
        <v>424</v>
      </c>
      <c r="O867" s="154" t="s">
        <v>424</v>
      </c>
      <c r="P867" s="154" t="s">
        <v>424</v>
      </c>
      <c r="Q867" s="154" t="s">
        <v>480</v>
      </c>
      <c r="R867" s="154" t="s">
        <v>480</v>
      </c>
      <c r="S867" s="154" t="s">
        <v>480</v>
      </c>
      <c r="T867" s="154" t="s">
        <v>480</v>
      </c>
      <c r="U867" s="154" t="s">
        <v>480</v>
      </c>
      <c r="V867" s="154" t="s">
        <v>480</v>
      </c>
      <c r="W867" s="154" t="s">
        <v>480</v>
      </c>
      <c r="X867" s="154" t="s">
        <v>480</v>
      </c>
      <c r="Y867" s="154" t="s">
        <v>524</v>
      </c>
      <c r="Z867" s="154" t="s">
        <v>494</v>
      </c>
      <c r="AA867" s="154" t="s">
        <v>480</v>
      </c>
      <c r="AB867" s="154" t="s">
        <v>480</v>
      </c>
      <c r="AC867" s="154" t="s">
        <v>480</v>
      </c>
      <c r="AD867" s="154" t="s">
        <v>480</v>
      </c>
      <c r="AE867" s="154" t="s">
        <v>480</v>
      </c>
      <c r="AF867" s="154" t="s">
        <v>480</v>
      </c>
      <c r="AG867" s="154" t="s">
        <v>480</v>
      </c>
      <c r="AH867" s="154" t="s">
        <v>480</v>
      </c>
      <c r="AI867" s="154" t="s">
        <v>480</v>
      </c>
      <c r="AJ867" s="154" t="s">
        <v>480</v>
      </c>
      <c r="AK867" s="154" t="s">
        <v>480</v>
      </c>
      <c r="AL867" s="154" t="s">
        <v>424</v>
      </c>
      <c r="AM867" cm="1">
        <f t="array" ref="AM867">SUM(_xlfn.LET(_xlpm.r,((IFERROR(H867:AL867-H866:AL866,0))*24)/10,IF(_xlpm.r&gt;1,1,_xlpm.r)))</f>
        <v>21</v>
      </c>
      <c r="AO867" cm="1">
        <f t="array" ref="AO867">SUM(IFERROR(MOD((H867:AL867-H866:AL866)*24,11),""))</f>
        <v>7.9999999999999982</v>
      </c>
      <c r="AS867">
        <v>867</v>
      </c>
    </row>
    <row r="868" spans="1:45" hidden="1" x14ac:dyDescent="0.25">
      <c r="A868">
        <v>867</v>
      </c>
      <c r="B868">
        <v>2025</v>
      </c>
      <c r="C868">
        <v>11</v>
      </c>
      <c r="D868" t="s">
        <v>261</v>
      </c>
      <c r="E868">
        <v>31</v>
      </c>
      <c r="F868">
        <v>10</v>
      </c>
      <c r="G868" t="s">
        <v>534</v>
      </c>
      <c r="H868" s="154">
        <v>0.29166666666666669</v>
      </c>
      <c r="I868" s="154">
        <v>0.29166666666666669</v>
      </c>
      <c r="J868" s="154">
        <v>0.29166666666666669</v>
      </c>
      <c r="K868" s="154">
        <v>0.29166666666666669</v>
      </c>
      <c r="L868" s="154">
        <v>0.29166666666666669</v>
      </c>
      <c r="M868" s="154">
        <v>0.29166666666666669</v>
      </c>
      <c r="N868" s="154">
        <v>0.29166666666666669</v>
      </c>
      <c r="O868" s="154">
        <v>0.29166666666666669</v>
      </c>
      <c r="P868" s="154">
        <v>0.29166666666666669</v>
      </c>
      <c r="Q868" s="154">
        <v>0.29166666666666669</v>
      </c>
      <c r="R868" s="154">
        <v>0.29166666666666669</v>
      </c>
      <c r="S868" s="154">
        <v>0.29166666666666669</v>
      </c>
      <c r="T868" s="154">
        <v>0.29166666666666669</v>
      </c>
      <c r="U868" s="154">
        <v>0.29166666666666669</v>
      </c>
      <c r="V868" s="154">
        <v>0.29166666666666669</v>
      </c>
      <c r="W868" s="154">
        <v>0.29166666666666669</v>
      </c>
      <c r="X868" s="154">
        <v>0.29166666666666669</v>
      </c>
      <c r="Y868" s="154">
        <v>0.29166666666666669</v>
      </c>
      <c r="Z868" s="154">
        <v>0.29166666666666669</v>
      </c>
      <c r="AA868" s="154">
        <v>0.29166666666666669</v>
      </c>
      <c r="AB868" s="154">
        <v>0.29166666666666669</v>
      </c>
      <c r="AC868" s="154">
        <v>0.29166666666666669</v>
      </c>
      <c r="AD868" s="154">
        <v>0.29166666666666669</v>
      </c>
      <c r="AE868" s="154">
        <v>0.29166666666666669</v>
      </c>
      <c r="AF868" s="154">
        <v>0.29166666666666669</v>
      </c>
      <c r="AG868" s="154">
        <v>0.29166666666666669</v>
      </c>
      <c r="AH868" s="154">
        <v>0.29166666666666669</v>
      </c>
      <c r="AI868" s="154">
        <v>0.29166666666666669</v>
      </c>
      <c r="AJ868" s="154">
        <v>0.29166666666666669</v>
      </c>
      <c r="AK868" s="154">
        <v>0.29166666666666669</v>
      </c>
      <c r="AL868" s="154" t="s">
        <v>424</v>
      </c>
      <c r="AS868">
        <v>868</v>
      </c>
    </row>
    <row r="869" spans="1:45" hidden="1" x14ac:dyDescent="0.25">
      <c r="A869">
        <v>868</v>
      </c>
      <c r="B869">
        <v>2025</v>
      </c>
      <c r="C869">
        <v>11</v>
      </c>
      <c r="D869" t="s">
        <v>261</v>
      </c>
      <c r="E869">
        <v>31</v>
      </c>
      <c r="F869">
        <v>10</v>
      </c>
      <c r="G869" t="s">
        <v>535</v>
      </c>
      <c r="H869" s="154">
        <v>0.75</v>
      </c>
      <c r="I869" s="154">
        <v>0.75</v>
      </c>
      <c r="J869" s="154">
        <v>0.75</v>
      </c>
      <c r="K869" s="154">
        <v>0.75</v>
      </c>
      <c r="L869" s="154">
        <v>0.75</v>
      </c>
      <c r="M869" s="154">
        <v>0.75</v>
      </c>
      <c r="N869" s="154">
        <v>0.75</v>
      </c>
      <c r="O869" s="154">
        <v>0.75</v>
      </c>
      <c r="P869" s="154">
        <v>0.75</v>
      </c>
      <c r="Q869" s="154">
        <v>0.75</v>
      </c>
      <c r="R869" s="154">
        <v>0.75</v>
      </c>
      <c r="S869" s="154">
        <v>0.75</v>
      </c>
      <c r="T869" s="154">
        <v>0.75</v>
      </c>
      <c r="U869" s="154">
        <v>0.75</v>
      </c>
      <c r="V869" s="154">
        <v>0.75</v>
      </c>
      <c r="W869" s="154">
        <v>0.75</v>
      </c>
      <c r="X869" s="154">
        <v>0.75</v>
      </c>
      <c r="Y869" s="154">
        <v>0.75</v>
      </c>
      <c r="Z869" s="154">
        <v>0.75</v>
      </c>
      <c r="AA869" s="154">
        <v>0.75</v>
      </c>
      <c r="AB869" s="154">
        <v>0.75</v>
      </c>
      <c r="AC869" s="154">
        <v>0.75</v>
      </c>
      <c r="AD869" s="154">
        <v>0.75</v>
      </c>
      <c r="AE869" s="154">
        <v>0.75</v>
      </c>
      <c r="AF869" s="154">
        <v>0.75</v>
      </c>
      <c r="AG869" s="154">
        <v>0.75</v>
      </c>
      <c r="AH869" s="154">
        <v>0.75</v>
      </c>
      <c r="AI869" s="154">
        <v>0.75</v>
      </c>
      <c r="AJ869" s="154">
        <v>0.75</v>
      </c>
      <c r="AK869" s="154">
        <v>0.75</v>
      </c>
      <c r="AL869" s="154" t="s">
        <v>424</v>
      </c>
      <c r="AM869" cm="1">
        <f t="array" ref="AM869">SUM(_xlfn.LET(_xlpm.r,((IFERROR(H869:AL869-H868:AL868,0))*24)/10,IF(_xlpm.r&gt;1,1,_xlpm.r)))</f>
        <v>30</v>
      </c>
      <c r="AO869" cm="1">
        <f t="array" ref="AO869">SUM(IFERROR(MOD((H869:AL869-H868:AL868)*24,11),""))</f>
        <v>0</v>
      </c>
      <c r="AS869">
        <v>869</v>
      </c>
    </row>
    <row r="870" spans="1:45" hidden="1" x14ac:dyDescent="0.25">
      <c r="A870">
        <v>869</v>
      </c>
      <c r="B870">
        <v>2025</v>
      </c>
      <c r="C870">
        <v>11</v>
      </c>
      <c r="D870" t="s">
        <v>262</v>
      </c>
      <c r="E870">
        <v>31</v>
      </c>
      <c r="F870">
        <v>10</v>
      </c>
      <c r="G870" t="s">
        <v>534</v>
      </c>
      <c r="H870" s="154">
        <v>0.29166666666666669</v>
      </c>
      <c r="I870" s="154">
        <v>0.29166666666666669</v>
      </c>
      <c r="J870" s="154">
        <v>0.29166666666666669</v>
      </c>
      <c r="K870" s="154">
        <v>0.29166666666666669</v>
      </c>
      <c r="L870" s="154">
        <v>0.29166666666666669</v>
      </c>
      <c r="M870" s="154">
        <v>0.29166666666666669</v>
      </c>
      <c r="N870" s="154">
        <v>0.29166666666666669</v>
      </c>
      <c r="O870" s="154">
        <v>0.29166666666666669</v>
      </c>
      <c r="P870" s="154">
        <v>0.29166666666666669</v>
      </c>
      <c r="Q870" s="154">
        <v>0.29166666666666669</v>
      </c>
      <c r="R870" s="154">
        <v>0.29166666666666669</v>
      </c>
      <c r="S870" s="154">
        <v>0.29166666666666669</v>
      </c>
      <c r="T870" s="154">
        <v>0.29166666666666669</v>
      </c>
      <c r="U870" s="154">
        <v>0.29166666666666669</v>
      </c>
      <c r="V870" s="154">
        <v>0.29166666666666669</v>
      </c>
      <c r="W870" s="154">
        <v>0.29166666666666669</v>
      </c>
      <c r="X870" s="154">
        <v>0.29166666666666669</v>
      </c>
      <c r="Y870" s="154">
        <v>0.29166666666666669</v>
      </c>
      <c r="Z870" s="154">
        <v>0.29166666666666669</v>
      </c>
      <c r="AA870" s="154">
        <v>0.29166666666666669</v>
      </c>
      <c r="AB870" s="154">
        <v>0.29166666666666669</v>
      </c>
      <c r="AC870" s="154">
        <v>0.29166666666666669</v>
      </c>
      <c r="AD870" s="154">
        <v>0.29166666666666669</v>
      </c>
      <c r="AE870" s="154">
        <v>0.29166666666666669</v>
      </c>
      <c r="AF870" s="154">
        <v>0.29166666666666669</v>
      </c>
      <c r="AG870" s="154">
        <v>0.29166666666666669</v>
      </c>
      <c r="AH870" s="154">
        <v>0.29166666666666669</v>
      </c>
      <c r="AI870" s="154">
        <v>0.29166666666666669</v>
      </c>
      <c r="AJ870" s="154">
        <v>0.29166666666666669</v>
      </c>
      <c r="AK870" s="154">
        <v>0.29166666666666669</v>
      </c>
      <c r="AL870" s="154" t="s">
        <v>424</v>
      </c>
      <c r="AS870">
        <v>870</v>
      </c>
    </row>
    <row r="871" spans="1:45" hidden="1" x14ac:dyDescent="0.25">
      <c r="A871">
        <v>870</v>
      </c>
      <c r="B871">
        <v>2025</v>
      </c>
      <c r="C871">
        <v>11</v>
      </c>
      <c r="D871" t="s">
        <v>262</v>
      </c>
      <c r="E871">
        <v>31</v>
      </c>
      <c r="F871">
        <v>10</v>
      </c>
      <c r="G871" t="s">
        <v>535</v>
      </c>
      <c r="H871" s="154">
        <v>0.75</v>
      </c>
      <c r="I871" s="154">
        <v>0.75</v>
      </c>
      <c r="J871" s="154">
        <v>0.75</v>
      </c>
      <c r="K871" s="154">
        <v>0.75</v>
      </c>
      <c r="L871" s="154">
        <v>0.75</v>
      </c>
      <c r="M871" s="154">
        <v>0.75</v>
      </c>
      <c r="N871" s="154">
        <v>0.75</v>
      </c>
      <c r="O871" s="154">
        <v>0.75</v>
      </c>
      <c r="P871" s="154">
        <v>0.75</v>
      </c>
      <c r="Q871" s="154">
        <v>0.75</v>
      </c>
      <c r="R871" s="154">
        <v>0.75</v>
      </c>
      <c r="S871" s="154">
        <v>0.75</v>
      </c>
      <c r="T871" s="154">
        <v>0.75</v>
      </c>
      <c r="U871" s="154">
        <v>0.75</v>
      </c>
      <c r="V871" s="154">
        <v>0.75</v>
      </c>
      <c r="W871" s="154">
        <v>0.75</v>
      </c>
      <c r="X871" s="154">
        <v>0.75</v>
      </c>
      <c r="Y871" s="154">
        <v>0.75</v>
      </c>
      <c r="Z871" s="154">
        <v>0.75</v>
      </c>
      <c r="AA871" s="154">
        <v>0.75</v>
      </c>
      <c r="AB871" s="154">
        <v>0.75</v>
      </c>
      <c r="AC871" s="154">
        <v>0.75</v>
      </c>
      <c r="AD871" s="154">
        <v>0.75</v>
      </c>
      <c r="AE871" s="154">
        <v>0.75</v>
      </c>
      <c r="AF871" s="154">
        <v>0.75</v>
      </c>
      <c r="AG871" s="154">
        <v>0.75</v>
      </c>
      <c r="AH871" s="154">
        <v>0.75</v>
      </c>
      <c r="AI871" s="154">
        <v>0.75</v>
      </c>
      <c r="AJ871" s="154">
        <v>0.75</v>
      </c>
      <c r="AK871" s="154">
        <v>0.75</v>
      </c>
      <c r="AL871" s="154" t="s">
        <v>424</v>
      </c>
      <c r="AM871" cm="1">
        <f t="array" ref="AM871">SUM(_xlfn.LET(_xlpm.r,((IFERROR(H871:AL871-H870:AL870,0))*24)/10,IF(_xlpm.r&gt;1,1,_xlpm.r)))</f>
        <v>30</v>
      </c>
      <c r="AS871">
        <v>871</v>
      </c>
    </row>
    <row r="872" spans="1:45" hidden="1" x14ac:dyDescent="0.25">
      <c r="A872">
        <v>871</v>
      </c>
      <c r="B872">
        <v>2025</v>
      </c>
      <c r="C872">
        <v>11</v>
      </c>
      <c r="D872" t="s">
        <v>260</v>
      </c>
      <c r="E872">
        <v>31</v>
      </c>
      <c r="F872">
        <v>10</v>
      </c>
      <c r="G872" t="s">
        <v>534</v>
      </c>
      <c r="H872" s="154" t="s">
        <v>486</v>
      </c>
      <c r="I872" s="154" t="s">
        <v>486</v>
      </c>
      <c r="J872" s="154" t="s">
        <v>486</v>
      </c>
      <c r="K872" s="154" t="s">
        <v>486</v>
      </c>
      <c r="L872" s="154" t="s">
        <v>486</v>
      </c>
      <c r="M872" s="154" t="s">
        <v>486</v>
      </c>
      <c r="N872" s="154" t="s">
        <v>486</v>
      </c>
      <c r="O872" s="154" t="s">
        <v>486</v>
      </c>
      <c r="P872" s="154" t="s">
        <v>424</v>
      </c>
      <c r="Q872" s="154" t="s">
        <v>486</v>
      </c>
      <c r="R872" s="154" t="s">
        <v>486</v>
      </c>
      <c r="S872" s="154" t="s">
        <v>486</v>
      </c>
      <c r="T872" s="154" t="s">
        <v>486</v>
      </c>
      <c r="U872" s="154" t="s">
        <v>486</v>
      </c>
      <c r="V872" s="154" t="s">
        <v>486</v>
      </c>
      <c r="W872" s="154" t="s">
        <v>486</v>
      </c>
      <c r="X872" s="154" t="s">
        <v>486</v>
      </c>
      <c r="Y872" s="154" t="s">
        <v>486</v>
      </c>
      <c r="Z872" s="154" t="s">
        <v>486</v>
      </c>
      <c r="AA872" s="154" t="s">
        <v>486</v>
      </c>
      <c r="AB872" s="154" t="s">
        <v>486</v>
      </c>
      <c r="AC872" s="154" t="s">
        <v>486</v>
      </c>
      <c r="AD872" s="154" t="s">
        <v>486</v>
      </c>
      <c r="AE872" s="154" t="s">
        <v>486</v>
      </c>
      <c r="AF872" s="154" t="s">
        <v>424</v>
      </c>
      <c r="AG872" s="154" t="s">
        <v>486</v>
      </c>
      <c r="AH872" s="154" t="s">
        <v>486</v>
      </c>
      <c r="AI872" s="154" t="s">
        <v>486</v>
      </c>
      <c r="AJ872" s="154" t="s">
        <v>486</v>
      </c>
      <c r="AK872" s="154" t="s">
        <v>486</v>
      </c>
      <c r="AL872" s="154" t="s">
        <v>424</v>
      </c>
      <c r="AS872">
        <v>872</v>
      </c>
    </row>
    <row r="873" spans="1:45" hidden="1" x14ac:dyDescent="0.25">
      <c r="A873">
        <v>872</v>
      </c>
      <c r="B873">
        <v>2025</v>
      </c>
      <c r="C873">
        <v>11</v>
      </c>
      <c r="D873" t="s">
        <v>260</v>
      </c>
      <c r="E873">
        <v>31</v>
      </c>
      <c r="F873">
        <v>10</v>
      </c>
      <c r="G873" t="s">
        <v>535</v>
      </c>
      <c r="H873" s="154">
        <v>0.79166666666666674</v>
      </c>
      <c r="I873" s="154">
        <v>0.79166666666666674</v>
      </c>
      <c r="J873" s="154">
        <v>0.79166666666666674</v>
      </c>
      <c r="K873" s="154">
        <v>0.79166666666666674</v>
      </c>
      <c r="L873" s="154">
        <v>0.79166666666666674</v>
      </c>
      <c r="M873" s="154">
        <v>0.79166666666666674</v>
      </c>
      <c r="N873" s="154">
        <v>0.79166666666666674</v>
      </c>
      <c r="O873" s="154">
        <v>0.79166666666666674</v>
      </c>
      <c r="P873" s="154" t="s">
        <v>424</v>
      </c>
      <c r="Q873" s="154">
        <v>0.79166666666666674</v>
      </c>
      <c r="R873" s="154">
        <v>0.79166666666666674</v>
      </c>
      <c r="S873" s="154">
        <v>0.79166666666666674</v>
      </c>
      <c r="T873" s="154">
        <v>0.79166666666666674</v>
      </c>
      <c r="U873" s="154">
        <v>0.79166666666666674</v>
      </c>
      <c r="V873" s="154">
        <v>0.79166666666666674</v>
      </c>
      <c r="W873" s="154">
        <v>0.79166666666666674</v>
      </c>
      <c r="X873" s="154">
        <v>0.79166666666666674</v>
      </c>
      <c r="Y873" s="154">
        <v>0.79166666666666674</v>
      </c>
      <c r="Z873" s="154">
        <v>0.79166666666666674</v>
      </c>
      <c r="AA873" s="154">
        <v>0.79166666666666674</v>
      </c>
      <c r="AB873" s="154">
        <v>0.79166666666666674</v>
      </c>
      <c r="AC873" s="154">
        <v>0.79166666666666674</v>
      </c>
      <c r="AD873" s="154">
        <v>0.79166666666666674</v>
      </c>
      <c r="AE873" s="154">
        <v>0.79166666666666674</v>
      </c>
      <c r="AF873" s="154" t="s">
        <v>424</v>
      </c>
      <c r="AG873" s="154">
        <v>0.79166666666666674</v>
      </c>
      <c r="AH873" s="154">
        <v>0.79166666666666674</v>
      </c>
      <c r="AI873" s="154">
        <v>0.79166666666666674</v>
      </c>
      <c r="AJ873" s="154">
        <v>0.79166666666666674</v>
      </c>
      <c r="AK873" s="154">
        <v>0.79166666666666674</v>
      </c>
      <c r="AL873" s="154" t="s">
        <v>424</v>
      </c>
      <c r="AM873" cm="1">
        <f t="array" ref="AM873">_xlfn.LET(_xlpm.x,SUM(_xlfn.LET(_xlpm.r,((IFERROR(H873:AL873-H872:AL872,0))*24)/10,IF(_xlpm.r&gt;1,1,_xlpm.r))),IF(_xlpm.x&gt;=28,30,_xlpm.x))</f>
        <v>30</v>
      </c>
      <c r="AO873" cm="1">
        <f t="array" ref="AO873">SUM(IFERROR(MOD((H873:AL873-H872:AL872)*24,11),""))</f>
        <v>84</v>
      </c>
      <c r="AS873">
        <v>873</v>
      </c>
    </row>
    <row r="874" spans="1:45" hidden="1" x14ac:dyDescent="0.25">
      <c r="A874">
        <v>873</v>
      </c>
      <c r="B874">
        <v>2025</v>
      </c>
      <c r="C874">
        <v>11</v>
      </c>
      <c r="D874" t="s">
        <v>285</v>
      </c>
      <c r="E874">
        <v>31</v>
      </c>
      <c r="F874">
        <v>10</v>
      </c>
      <c r="G874" t="s">
        <v>534</v>
      </c>
      <c r="H874" s="154" t="s">
        <v>479</v>
      </c>
      <c r="I874" s="154" t="s">
        <v>479</v>
      </c>
      <c r="J874" s="154" t="s">
        <v>479</v>
      </c>
      <c r="K874" s="154" t="s">
        <v>479</v>
      </c>
      <c r="L874" s="154" t="s">
        <v>479</v>
      </c>
      <c r="M874" s="154" t="s">
        <v>479</v>
      </c>
      <c r="N874" s="154" t="s">
        <v>479</v>
      </c>
      <c r="O874" s="154" t="s">
        <v>479</v>
      </c>
      <c r="P874" s="154" t="s">
        <v>479</v>
      </c>
      <c r="Q874" s="154" t="s">
        <v>479</v>
      </c>
      <c r="R874" s="154" t="s">
        <v>479</v>
      </c>
      <c r="S874" s="154" t="s">
        <v>479</v>
      </c>
      <c r="T874" s="154" t="s">
        <v>479</v>
      </c>
      <c r="U874" s="154" t="s">
        <v>479</v>
      </c>
      <c r="V874" s="154" t="s">
        <v>479</v>
      </c>
      <c r="W874" s="154" t="s">
        <v>479</v>
      </c>
      <c r="X874" s="154" t="s">
        <v>479</v>
      </c>
      <c r="Y874" s="154" t="s">
        <v>479</v>
      </c>
      <c r="Z874" s="154" t="s">
        <v>479</v>
      </c>
      <c r="AA874" s="154" t="s">
        <v>479</v>
      </c>
      <c r="AB874" s="154" t="s">
        <v>479</v>
      </c>
      <c r="AC874" s="154" t="s">
        <v>479</v>
      </c>
      <c r="AD874" s="154" t="s">
        <v>479</v>
      </c>
      <c r="AE874" s="154" t="s">
        <v>479</v>
      </c>
      <c r="AF874" s="154" t="s">
        <v>479</v>
      </c>
      <c r="AG874" s="154" t="s">
        <v>479</v>
      </c>
      <c r="AH874" s="154" t="s">
        <v>479</v>
      </c>
      <c r="AI874" s="154" t="s">
        <v>479</v>
      </c>
      <c r="AJ874" s="154" t="s">
        <v>479</v>
      </c>
      <c r="AK874" s="154" t="s">
        <v>424</v>
      </c>
      <c r="AL874" s="154" t="s">
        <v>424</v>
      </c>
      <c r="AS874">
        <v>874</v>
      </c>
    </row>
    <row r="875" spans="1:45" hidden="1" x14ac:dyDescent="0.25">
      <c r="A875">
        <v>874</v>
      </c>
      <c r="B875">
        <v>2025</v>
      </c>
      <c r="C875">
        <v>11</v>
      </c>
      <c r="D875" t="s">
        <v>285</v>
      </c>
      <c r="E875">
        <v>31</v>
      </c>
      <c r="F875">
        <v>10</v>
      </c>
      <c r="G875" t="s">
        <v>535</v>
      </c>
      <c r="H875" s="154">
        <v>0.75</v>
      </c>
      <c r="I875" s="154">
        <v>0.75</v>
      </c>
      <c r="J875" s="154">
        <v>0.75</v>
      </c>
      <c r="K875" s="154">
        <v>0.75</v>
      </c>
      <c r="L875" s="154">
        <v>0.95833333333333326</v>
      </c>
      <c r="M875" s="154">
        <v>0.75</v>
      </c>
      <c r="N875" s="154">
        <v>0.95833333333333326</v>
      </c>
      <c r="O875" s="154">
        <v>0.75</v>
      </c>
      <c r="P875" s="154">
        <v>0.75</v>
      </c>
      <c r="Q875" s="154">
        <v>0.75</v>
      </c>
      <c r="R875" s="154">
        <v>1</v>
      </c>
      <c r="S875" s="154">
        <v>0.75</v>
      </c>
      <c r="T875" s="154">
        <v>0.75</v>
      </c>
      <c r="U875" s="154">
        <v>0.95833333333333326</v>
      </c>
      <c r="V875" s="154">
        <v>0.75</v>
      </c>
      <c r="W875" s="154">
        <v>0.75</v>
      </c>
      <c r="X875" s="154">
        <v>0.95833333333333326</v>
      </c>
      <c r="Y875" s="154">
        <v>0.75</v>
      </c>
      <c r="Z875" s="154">
        <v>0.79166666666666674</v>
      </c>
      <c r="AA875" s="154">
        <v>0.95833333333333326</v>
      </c>
      <c r="AB875" s="154">
        <v>0.75</v>
      </c>
      <c r="AC875" s="154">
        <v>0.95833333333333326</v>
      </c>
      <c r="AD875" s="154">
        <v>0.75</v>
      </c>
      <c r="AE875" s="154">
        <v>0.75</v>
      </c>
      <c r="AF875" s="154">
        <v>0.75</v>
      </c>
      <c r="AG875" s="154">
        <v>0.75</v>
      </c>
      <c r="AH875" s="154">
        <v>0.79166666666666674</v>
      </c>
      <c r="AI875" s="154">
        <v>0.75</v>
      </c>
      <c r="AJ875" s="154">
        <v>0.75</v>
      </c>
      <c r="AK875" s="154" t="s">
        <v>424</v>
      </c>
      <c r="AL875" s="154" t="s">
        <v>424</v>
      </c>
      <c r="AM875" cm="1">
        <f t="array" ref="AM875">SUM(_xlfn.LET(_xlpm.r,((IFERROR(H875:AL875-H874:AL874,0))*24)/10,IF(_xlpm.r&gt;1,1,_xlpm.r)))</f>
        <v>29</v>
      </c>
      <c r="AO875" cm="1">
        <f t="array" ref="AO875">SUM(IFERROR(MOD((H875:AL875-H874:AL874)*24,11),""))</f>
        <v>37.999999999999979</v>
      </c>
      <c r="AS875">
        <v>875</v>
      </c>
    </row>
    <row r="876" spans="1:45" hidden="1" x14ac:dyDescent="0.25">
      <c r="A876">
        <v>875</v>
      </c>
      <c r="B876">
        <v>2025</v>
      </c>
      <c r="C876">
        <v>11</v>
      </c>
      <c r="D876" t="s">
        <v>284</v>
      </c>
      <c r="E876">
        <v>31</v>
      </c>
      <c r="F876">
        <v>10</v>
      </c>
      <c r="G876" t="s">
        <v>534</v>
      </c>
      <c r="H876" s="154" t="s">
        <v>424</v>
      </c>
      <c r="I876" s="154" t="s">
        <v>424</v>
      </c>
      <c r="J876" s="154" t="s">
        <v>424</v>
      </c>
      <c r="K876" s="154" t="s">
        <v>424</v>
      </c>
      <c r="L876" s="154" t="s">
        <v>424</v>
      </c>
      <c r="M876" s="154" t="s">
        <v>424</v>
      </c>
      <c r="N876" s="154" t="s">
        <v>424</v>
      </c>
      <c r="O876" s="154" t="s">
        <v>424</v>
      </c>
      <c r="P876" s="154" t="s">
        <v>424</v>
      </c>
      <c r="Q876" s="154" t="s">
        <v>424</v>
      </c>
      <c r="R876" s="154" t="s">
        <v>479</v>
      </c>
      <c r="S876" s="154" t="s">
        <v>479</v>
      </c>
      <c r="T876" s="154" t="s">
        <v>479</v>
      </c>
      <c r="U876" s="154" t="s">
        <v>479</v>
      </c>
      <c r="V876" s="154" t="s">
        <v>479</v>
      </c>
      <c r="W876" s="154" t="s">
        <v>479</v>
      </c>
      <c r="X876" s="154" t="s">
        <v>479</v>
      </c>
      <c r="Y876" s="154" t="s">
        <v>424</v>
      </c>
      <c r="Z876" s="154" t="s">
        <v>479</v>
      </c>
      <c r="AA876" s="154" t="s">
        <v>479</v>
      </c>
      <c r="AB876" s="154" t="s">
        <v>479</v>
      </c>
      <c r="AC876" s="154" t="s">
        <v>479</v>
      </c>
      <c r="AD876" s="154" t="s">
        <v>424</v>
      </c>
      <c r="AE876" s="154" t="s">
        <v>479</v>
      </c>
      <c r="AF876" s="154" t="s">
        <v>479</v>
      </c>
      <c r="AG876" s="154" t="s">
        <v>479</v>
      </c>
      <c r="AH876" s="154" t="s">
        <v>479</v>
      </c>
      <c r="AI876" s="154" t="s">
        <v>479</v>
      </c>
      <c r="AJ876" s="154" t="s">
        <v>479</v>
      </c>
      <c r="AK876" s="154" t="s">
        <v>479</v>
      </c>
      <c r="AL876" s="154" t="s">
        <v>424</v>
      </c>
      <c r="AS876">
        <v>876</v>
      </c>
    </row>
    <row r="877" spans="1:45" hidden="1" x14ac:dyDescent="0.25">
      <c r="A877">
        <v>876</v>
      </c>
      <c r="B877">
        <v>2025</v>
      </c>
      <c r="C877">
        <v>11</v>
      </c>
      <c r="D877" t="s">
        <v>284</v>
      </c>
      <c r="E877">
        <v>31</v>
      </c>
      <c r="F877">
        <v>10</v>
      </c>
      <c r="G877" t="s">
        <v>535</v>
      </c>
      <c r="H877" s="154" t="s">
        <v>424</v>
      </c>
      <c r="I877" s="154" t="s">
        <v>424</v>
      </c>
      <c r="J877" s="154" t="s">
        <v>424</v>
      </c>
      <c r="K877" s="154" t="s">
        <v>424</v>
      </c>
      <c r="L877" s="154" t="s">
        <v>424</v>
      </c>
      <c r="M877" s="154" t="s">
        <v>424</v>
      </c>
      <c r="N877" s="154" t="s">
        <v>424</v>
      </c>
      <c r="O877" s="154" t="s">
        <v>424</v>
      </c>
      <c r="P877" s="154" t="s">
        <v>424</v>
      </c>
      <c r="Q877" s="154" t="s">
        <v>424</v>
      </c>
      <c r="R877" s="154" t="s">
        <v>480</v>
      </c>
      <c r="S877" s="154" t="s">
        <v>480</v>
      </c>
      <c r="T877" s="154" t="s">
        <v>480</v>
      </c>
      <c r="U877" s="154" t="s">
        <v>480</v>
      </c>
      <c r="V877" s="154" t="s">
        <v>480</v>
      </c>
      <c r="W877" s="154" t="s">
        <v>480</v>
      </c>
      <c r="X877" s="154" t="s">
        <v>480</v>
      </c>
      <c r="Y877" s="154" t="s">
        <v>424</v>
      </c>
      <c r="Z877" s="154" t="s">
        <v>480</v>
      </c>
      <c r="AA877" s="154" t="s">
        <v>480</v>
      </c>
      <c r="AB877" s="154" t="s">
        <v>480</v>
      </c>
      <c r="AC877" s="154" t="s">
        <v>480</v>
      </c>
      <c r="AD877" s="154" t="s">
        <v>424</v>
      </c>
      <c r="AE877" s="154" t="s">
        <v>480</v>
      </c>
      <c r="AF877" s="154" t="s">
        <v>480</v>
      </c>
      <c r="AG877" s="154" t="s">
        <v>480</v>
      </c>
      <c r="AH877" s="154" t="s">
        <v>480</v>
      </c>
      <c r="AI877" s="154" t="s">
        <v>480</v>
      </c>
      <c r="AJ877" s="154" t="s">
        <v>480</v>
      </c>
      <c r="AK877" s="154" t="s">
        <v>480</v>
      </c>
      <c r="AL877" s="154" t="s">
        <v>424</v>
      </c>
      <c r="AM877" cm="1">
        <f t="array" ref="AM877">SUM(_xlfn.LET(_xlpm.r,((IFERROR(H877:AL877-H876:AL876,0))*24)/10,IF(_xlpm.r&gt;1,1,_xlpm.r)))</f>
        <v>18</v>
      </c>
      <c r="AO877" cm="1">
        <f t="array" ref="AO877">SUM(IFERROR(MOD((H877:AL877-H876:AL876)*24,11),""))</f>
        <v>0</v>
      </c>
      <c r="AS877">
        <v>877</v>
      </c>
    </row>
    <row r="878" spans="1:45" hidden="1" x14ac:dyDescent="0.25">
      <c r="A878">
        <v>877</v>
      </c>
      <c r="B878">
        <v>2025</v>
      </c>
      <c r="C878">
        <v>11</v>
      </c>
      <c r="D878" t="s">
        <v>283</v>
      </c>
      <c r="E878">
        <v>31</v>
      </c>
      <c r="F878">
        <v>10</v>
      </c>
      <c r="G878" t="s">
        <v>534</v>
      </c>
      <c r="H878" s="154" t="s">
        <v>479</v>
      </c>
      <c r="I878" s="154" t="s">
        <v>479</v>
      </c>
      <c r="J878" s="154" t="s">
        <v>479</v>
      </c>
      <c r="K878" s="154" t="s">
        <v>479</v>
      </c>
      <c r="L878" s="154" t="s">
        <v>479</v>
      </c>
      <c r="M878" s="154" t="s">
        <v>479</v>
      </c>
      <c r="N878" s="154" t="s">
        <v>479</v>
      </c>
      <c r="O878" s="154" t="s">
        <v>479</v>
      </c>
      <c r="P878" s="154" t="s">
        <v>424</v>
      </c>
      <c r="Q878" s="154" t="s">
        <v>479</v>
      </c>
      <c r="R878" s="154" t="s">
        <v>479</v>
      </c>
      <c r="S878" s="154" t="s">
        <v>479</v>
      </c>
      <c r="T878" s="154" t="s">
        <v>479</v>
      </c>
      <c r="U878" s="154" t="s">
        <v>479</v>
      </c>
      <c r="V878" s="154" t="s">
        <v>479</v>
      </c>
      <c r="W878" s="154" t="s">
        <v>479</v>
      </c>
      <c r="X878" s="154" t="s">
        <v>479</v>
      </c>
      <c r="Y878" s="154" t="s">
        <v>479</v>
      </c>
      <c r="Z878" s="154" t="s">
        <v>479</v>
      </c>
      <c r="AA878" s="154" t="s">
        <v>479</v>
      </c>
      <c r="AB878" s="154" t="s">
        <v>479</v>
      </c>
      <c r="AC878" s="154" t="s">
        <v>479</v>
      </c>
      <c r="AD878" s="154" t="s">
        <v>479</v>
      </c>
      <c r="AE878" s="154" t="s">
        <v>479</v>
      </c>
      <c r="AF878" s="154" t="s">
        <v>479</v>
      </c>
      <c r="AG878" s="154" t="s">
        <v>479</v>
      </c>
      <c r="AH878" s="154" t="s">
        <v>479</v>
      </c>
      <c r="AI878" s="154" t="s">
        <v>479</v>
      </c>
      <c r="AJ878" s="154" t="s">
        <v>479</v>
      </c>
      <c r="AK878" s="154" t="s">
        <v>479</v>
      </c>
      <c r="AL878" s="154" t="s">
        <v>424</v>
      </c>
      <c r="AS878">
        <v>878</v>
      </c>
    </row>
    <row r="879" spans="1:45" hidden="1" x14ac:dyDescent="0.25">
      <c r="A879">
        <v>878</v>
      </c>
      <c r="B879">
        <v>2025</v>
      </c>
      <c r="C879">
        <v>11</v>
      </c>
      <c r="D879" t="s">
        <v>283</v>
      </c>
      <c r="E879">
        <v>31</v>
      </c>
      <c r="F879">
        <v>10</v>
      </c>
      <c r="G879" t="s">
        <v>535</v>
      </c>
      <c r="H879" s="154" t="s">
        <v>480</v>
      </c>
      <c r="I879" s="154" t="s">
        <v>480</v>
      </c>
      <c r="J879" s="154" t="s">
        <v>480</v>
      </c>
      <c r="K879" s="154" t="s">
        <v>493</v>
      </c>
      <c r="L879" s="154" t="s">
        <v>480</v>
      </c>
      <c r="M879" s="154" t="s">
        <v>493</v>
      </c>
      <c r="N879" s="154" t="s">
        <v>480</v>
      </c>
      <c r="O879" s="154" t="s">
        <v>480</v>
      </c>
      <c r="P879" s="154" t="s">
        <v>424</v>
      </c>
      <c r="Q879" s="154" t="s">
        <v>480</v>
      </c>
      <c r="R879" s="154" t="s">
        <v>494</v>
      </c>
      <c r="S879" s="154" t="s">
        <v>480</v>
      </c>
      <c r="T879" s="154" t="s">
        <v>494</v>
      </c>
      <c r="U879" s="154" t="s">
        <v>480</v>
      </c>
      <c r="V879" s="154" t="s">
        <v>480</v>
      </c>
      <c r="W879" s="154" t="s">
        <v>524</v>
      </c>
      <c r="X879" s="154" t="s">
        <v>480</v>
      </c>
      <c r="Y879" s="154" t="s">
        <v>480</v>
      </c>
      <c r="Z879" s="154" t="s">
        <v>480</v>
      </c>
      <c r="AA879" s="154" t="s">
        <v>480</v>
      </c>
      <c r="AB879" s="154" t="s">
        <v>480</v>
      </c>
      <c r="AC879" s="154" t="s">
        <v>480</v>
      </c>
      <c r="AD879" s="154" t="s">
        <v>480</v>
      </c>
      <c r="AE879" s="154" t="s">
        <v>493</v>
      </c>
      <c r="AF879" s="154" t="s">
        <v>480</v>
      </c>
      <c r="AG879" s="154" t="s">
        <v>480</v>
      </c>
      <c r="AH879" s="154" t="s">
        <v>480</v>
      </c>
      <c r="AI879" s="154" t="s">
        <v>494</v>
      </c>
      <c r="AJ879" s="154" t="s">
        <v>480</v>
      </c>
      <c r="AK879" s="154" t="s">
        <v>480</v>
      </c>
      <c r="AL879" s="154" t="s">
        <v>424</v>
      </c>
      <c r="AM879" cm="1">
        <f t="array" ref="AM879">SUM(_xlfn.LET(_xlpm.r,((IFERROR(H879:AL879-H878:AL878,0))*24)/10,IF(_xlpm.r&gt;1,1,_xlpm.r)))</f>
        <v>29</v>
      </c>
      <c r="AO879" cm="1">
        <f t="array" ref="AO879">SUM(IFERROR(MOD((H879:AL879-H878:AL878)*24,11),""))</f>
        <v>20</v>
      </c>
      <c r="AS879">
        <v>879</v>
      </c>
    </row>
    <row r="880" spans="1:45" hidden="1" x14ac:dyDescent="0.25">
      <c r="A880">
        <v>879</v>
      </c>
      <c r="B880">
        <v>2025</v>
      </c>
      <c r="C880">
        <v>11</v>
      </c>
      <c r="D880" t="s">
        <v>287</v>
      </c>
      <c r="E880">
        <v>31</v>
      </c>
      <c r="F880">
        <v>10</v>
      </c>
      <c r="G880" t="s">
        <v>534</v>
      </c>
      <c r="H880" s="154" t="s">
        <v>479</v>
      </c>
      <c r="I880" s="154" t="s">
        <v>479</v>
      </c>
      <c r="J880" s="154" t="s">
        <v>479</v>
      </c>
      <c r="K880" s="154" t="s">
        <v>479</v>
      </c>
      <c r="L880" s="154" t="s">
        <v>479</v>
      </c>
      <c r="M880" s="154" t="s">
        <v>479</v>
      </c>
      <c r="N880" s="154" t="s">
        <v>479</v>
      </c>
      <c r="O880" s="154" t="s">
        <v>479</v>
      </c>
      <c r="P880" s="154" t="s">
        <v>479</v>
      </c>
      <c r="Q880" s="154" t="s">
        <v>479</v>
      </c>
      <c r="R880" s="154" t="s">
        <v>479</v>
      </c>
      <c r="S880" s="154" t="s">
        <v>479</v>
      </c>
      <c r="T880" s="154" t="s">
        <v>479</v>
      </c>
      <c r="U880" s="154" t="s">
        <v>479</v>
      </c>
      <c r="V880" s="154" t="s">
        <v>479</v>
      </c>
      <c r="W880" s="154" t="s">
        <v>479</v>
      </c>
      <c r="X880" s="154" t="s">
        <v>479</v>
      </c>
      <c r="Y880" s="154" t="s">
        <v>479</v>
      </c>
      <c r="Z880" s="154" t="s">
        <v>479</v>
      </c>
      <c r="AA880" s="154" t="s">
        <v>479</v>
      </c>
      <c r="AB880" s="154" t="s">
        <v>479</v>
      </c>
      <c r="AC880" s="154" t="s">
        <v>479</v>
      </c>
      <c r="AD880" s="154" t="s">
        <v>479</v>
      </c>
      <c r="AE880" s="154" t="s">
        <v>479</v>
      </c>
      <c r="AF880" s="154" t="s">
        <v>479</v>
      </c>
      <c r="AG880" s="154" t="s">
        <v>479</v>
      </c>
      <c r="AH880" s="154" t="s">
        <v>479</v>
      </c>
      <c r="AI880" s="154" t="s">
        <v>479</v>
      </c>
      <c r="AJ880" s="154" t="s">
        <v>479</v>
      </c>
      <c r="AK880" s="154" t="s">
        <v>479</v>
      </c>
      <c r="AL880" s="154" t="s">
        <v>424</v>
      </c>
      <c r="AS880">
        <v>878</v>
      </c>
    </row>
    <row r="881" spans="1:45" hidden="1" x14ac:dyDescent="0.25">
      <c r="A881">
        <v>880</v>
      </c>
      <c r="B881">
        <v>2025</v>
      </c>
      <c r="C881">
        <v>11</v>
      </c>
      <c r="D881" t="s">
        <v>287</v>
      </c>
      <c r="E881">
        <v>31</v>
      </c>
      <c r="F881">
        <v>10</v>
      </c>
      <c r="G881" t="s">
        <v>535</v>
      </c>
      <c r="H881" s="154" t="s">
        <v>480</v>
      </c>
      <c r="I881" s="154" t="s">
        <v>480</v>
      </c>
      <c r="J881" s="154" t="s">
        <v>480</v>
      </c>
      <c r="K881" s="154" t="s">
        <v>480</v>
      </c>
      <c r="L881" s="154" t="s">
        <v>480</v>
      </c>
      <c r="M881" s="154" t="s">
        <v>480</v>
      </c>
      <c r="N881" s="154" t="s">
        <v>480</v>
      </c>
      <c r="O881" s="154" t="s">
        <v>480</v>
      </c>
      <c r="P881" s="154" t="s">
        <v>480</v>
      </c>
      <c r="Q881" s="154" t="s">
        <v>480</v>
      </c>
      <c r="R881" s="154" t="s">
        <v>480</v>
      </c>
      <c r="S881" s="154" t="s">
        <v>480</v>
      </c>
      <c r="T881" s="154" t="s">
        <v>480</v>
      </c>
      <c r="U881" s="154" t="s">
        <v>480</v>
      </c>
      <c r="V881" s="154" t="s">
        <v>480</v>
      </c>
      <c r="W881" s="154" t="s">
        <v>480</v>
      </c>
      <c r="X881" s="154" t="s">
        <v>480</v>
      </c>
      <c r="Y881" s="154" t="s">
        <v>480</v>
      </c>
      <c r="Z881" s="154" t="s">
        <v>480</v>
      </c>
      <c r="AA881" s="154" t="s">
        <v>480</v>
      </c>
      <c r="AB881" s="154" t="s">
        <v>480</v>
      </c>
      <c r="AC881" s="154" t="s">
        <v>480</v>
      </c>
      <c r="AD881" s="154" t="s">
        <v>480</v>
      </c>
      <c r="AE881" s="154" t="s">
        <v>480</v>
      </c>
      <c r="AF881" s="154" t="s">
        <v>480</v>
      </c>
      <c r="AG881" s="154" t="s">
        <v>480</v>
      </c>
      <c r="AH881" s="154" t="s">
        <v>480</v>
      </c>
      <c r="AI881" s="154" t="s">
        <v>480</v>
      </c>
      <c r="AJ881" s="154" t="s">
        <v>480</v>
      </c>
      <c r="AK881" s="154" t="s">
        <v>480</v>
      </c>
      <c r="AL881" s="154" t="s">
        <v>424</v>
      </c>
      <c r="AM881" cm="1">
        <f t="array" ref="AM881">SUM(_xlfn.LET(_xlpm.r,((IFERROR(H881:AL881-H880:AL880,0))*24)/10,IF(_xlpm.r&gt;1,1,_xlpm.r)))</f>
        <v>30</v>
      </c>
      <c r="AS881">
        <v>879</v>
      </c>
    </row>
    <row r="882" spans="1:45" hidden="1" x14ac:dyDescent="0.25">
      <c r="A882">
        <v>881</v>
      </c>
      <c r="B882">
        <v>2025</v>
      </c>
      <c r="C882">
        <v>5</v>
      </c>
      <c r="D882" t="s">
        <v>417</v>
      </c>
      <c r="E882">
        <v>46</v>
      </c>
      <c r="F882">
        <v>1</v>
      </c>
      <c r="G882" t="s">
        <v>534</v>
      </c>
      <c r="AE882" s="154">
        <v>0.29166666666666669</v>
      </c>
      <c r="AF882" s="154">
        <v>0.29166666666666669</v>
      </c>
      <c r="AG882" s="154">
        <v>0.29166666666666669</v>
      </c>
      <c r="AH882" s="154">
        <v>0.29166666666666669</v>
      </c>
      <c r="AI882" s="154">
        <v>0.29166666666666669</v>
      </c>
      <c r="AJ882" s="154">
        <v>0.29166666666666669</v>
      </c>
      <c r="AK882" s="154">
        <v>0.29166666666666669</v>
      </c>
      <c r="AL882" s="154">
        <v>0.29166666666666669</v>
      </c>
      <c r="AS882">
        <v>342</v>
      </c>
    </row>
    <row r="883" spans="1:45" hidden="1" x14ac:dyDescent="0.25">
      <c r="A883">
        <v>882</v>
      </c>
      <c r="B883">
        <v>2025</v>
      </c>
      <c r="C883">
        <v>5</v>
      </c>
      <c r="D883" t="s">
        <v>417</v>
      </c>
      <c r="E883">
        <v>46</v>
      </c>
      <c r="F883">
        <v>1</v>
      </c>
      <c r="G883" t="s">
        <v>535</v>
      </c>
      <c r="AE883" s="154">
        <v>0.75</v>
      </c>
      <c r="AF883" s="154">
        <v>0.75</v>
      </c>
      <c r="AG883" s="154">
        <v>0.75</v>
      </c>
      <c r="AH883" s="154">
        <v>0.75</v>
      </c>
      <c r="AI883" s="154">
        <v>0.75</v>
      </c>
      <c r="AJ883" s="154">
        <v>0.75</v>
      </c>
      <c r="AK883" s="154">
        <v>0.75</v>
      </c>
      <c r="AL883" s="154">
        <v>0.75</v>
      </c>
      <c r="AM883" cm="1">
        <f t="array" ref="AM883">SUM(_xlfn.LET(_xlpm.r,((IFERROR(H883:AL883-H882:AL882,0))*24)/10,IF(_xlpm.r&gt;1,1,_xlpm.r)))</f>
        <v>8</v>
      </c>
      <c r="AO883" cm="1">
        <f t="array" ref="AO883">SUM(IFERROR(MOD((H883:AL883-H882:AL882)*24,11),""))</f>
        <v>0</v>
      </c>
      <c r="AS883">
        <v>343</v>
      </c>
    </row>
    <row r="884" spans="1:45" hidden="1" x14ac:dyDescent="0.25">
      <c r="A884">
        <v>883</v>
      </c>
      <c r="B884">
        <v>2025</v>
      </c>
      <c r="C884">
        <v>6</v>
      </c>
      <c r="D884" t="s">
        <v>417</v>
      </c>
      <c r="E884">
        <v>46</v>
      </c>
      <c r="F884">
        <v>2</v>
      </c>
      <c r="G884" t="s">
        <v>534</v>
      </c>
      <c r="H884" s="154">
        <v>0.29166666666666669</v>
      </c>
      <c r="I884" s="154">
        <v>0.29166666666666669</v>
      </c>
      <c r="J884" s="154">
        <v>0.29166666666666669</v>
      </c>
      <c r="K884" s="154">
        <v>0.29166666666666669</v>
      </c>
      <c r="L884" s="154">
        <v>0.29166666666666669</v>
      </c>
      <c r="O884" s="154">
        <v>0.29166666666666669</v>
      </c>
      <c r="P884" s="154">
        <v>0.29166666666666669</v>
      </c>
      <c r="Q884" s="154">
        <v>0.29166666666666669</v>
      </c>
      <c r="R884" s="154">
        <v>0.29166666666666669</v>
      </c>
      <c r="S884" s="154">
        <v>0.29166666666666669</v>
      </c>
      <c r="T884" s="154">
        <v>0.29166666666666669</v>
      </c>
      <c r="U884" s="154">
        <v>0.29166666666666669</v>
      </c>
      <c r="V884" s="154">
        <v>0.29166666666666669</v>
      </c>
      <c r="W884" s="154">
        <v>0.29166666666666669</v>
      </c>
      <c r="X884" s="154">
        <v>0.29166666666666669</v>
      </c>
      <c r="Y884" s="154">
        <v>0.29166666666666669</v>
      </c>
      <c r="Z884" s="154">
        <v>0.29166666666666669</v>
      </c>
      <c r="AA884" s="154">
        <v>0.29166666666666669</v>
      </c>
      <c r="AB884" s="154">
        <v>0.29166666666666669</v>
      </c>
      <c r="AD884" s="154">
        <v>0.29166666666666669</v>
      </c>
      <c r="AE884" s="154">
        <v>0.29166666666666669</v>
      </c>
      <c r="AF884" s="154">
        <v>0.29166666666666669</v>
      </c>
      <c r="AG884" s="154">
        <v>0.29166666666666669</v>
      </c>
      <c r="AH884" s="154">
        <v>0.29166666666666669</v>
      </c>
      <c r="AI884" s="154">
        <v>0.29166666666666669</v>
      </c>
      <c r="AJ884" s="154">
        <v>0.29166666666666669</v>
      </c>
      <c r="AK884" s="154">
        <v>0.29166666666666669</v>
      </c>
      <c r="AS884">
        <v>344</v>
      </c>
    </row>
    <row r="885" spans="1:45" hidden="1" x14ac:dyDescent="0.25">
      <c r="A885">
        <v>884</v>
      </c>
      <c r="B885">
        <v>2025</v>
      </c>
      <c r="C885">
        <v>6</v>
      </c>
      <c r="D885" t="s">
        <v>417</v>
      </c>
      <c r="E885">
        <v>46</v>
      </c>
      <c r="F885">
        <v>2</v>
      </c>
      <c r="G885" t="s">
        <v>535</v>
      </c>
      <c r="H885" s="154">
        <v>0.75</v>
      </c>
      <c r="I885" s="154">
        <v>0.75</v>
      </c>
      <c r="J885" s="154">
        <v>0.75</v>
      </c>
      <c r="K885" s="154">
        <v>0.75</v>
      </c>
      <c r="L885" s="154">
        <v>0.75</v>
      </c>
      <c r="O885" s="154">
        <v>0.75</v>
      </c>
      <c r="P885" s="154">
        <v>0.75</v>
      </c>
      <c r="Q885" s="154">
        <v>0.75</v>
      </c>
      <c r="R885" s="154">
        <v>0.75</v>
      </c>
      <c r="S885" s="154">
        <v>0.75</v>
      </c>
      <c r="T885" s="154">
        <v>0.75</v>
      </c>
      <c r="U885" s="154">
        <v>0.75</v>
      </c>
      <c r="V885" s="154">
        <v>0.75</v>
      </c>
      <c r="W885" s="154">
        <v>0.75</v>
      </c>
      <c r="X885" s="154">
        <v>0.75</v>
      </c>
      <c r="Y885" s="154">
        <v>0.75</v>
      </c>
      <c r="Z885" s="154">
        <v>0.75</v>
      </c>
      <c r="AA885" s="154">
        <v>0.75</v>
      </c>
      <c r="AB885" s="154">
        <v>0.75</v>
      </c>
      <c r="AD885" s="154">
        <v>0.75</v>
      </c>
      <c r="AE885" s="154">
        <v>0.75</v>
      </c>
      <c r="AF885" s="154">
        <v>0.75</v>
      </c>
      <c r="AG885" s="154">
        <v>0.75</v>
      </c>
      <c r="AH885" s="154">
        <v>0.75</v>
      </c>
      <c r="AI885" s="154">
        <v>0.75</v>
      </c>
      <c r="AJ885" s="154">
        <v>0.75</v>
      </c>
      <c r="AK885" s="154">
        <v>0.75</v>
      </c>
      <c r="AM885" cm="1">
        <f t="array" ref="AM885">SUM(_xlfn.LET(_xlpm.r,((IFERROR(H885:AL885-H884:AL884,0))*24)/10,IF(_xlpm.r&gt;1,1,_xlpm.r)))</f>
        <v>27</v>
      </c>
      <c r="AO885" cm="1">
        <f t="array" ref="AO885">SUM(IFERROR(MOD((H885:AL885-H884:AL884)*24,11),""))</f>
        <v>0</v>
      </c>
      <c r="AS885">
        <v>345</v>
      </c>
    </row>
    <row r="886" spans="1:45" hidden="1" x14ac:dyDescent="0.25">
      <c r="A886">
        <v>885</v>
      </c>
      <c r="B886">
        <v>2025</v>
      </c>
      <c r="C886">
        <v>6</v>
      </c>
      <c r="D886" t="s">
        <v>564</v>
      </c>
      <c r="E886">
        <v>46</v>
      </c>
      <c r="F886">
        <v>2</v>
      </c>
      <c r="G886" t="s">
        <v>534</v>
      </c>
      <c r="H886" s="154">
        <v>0.29166666666666669</v>
      </c>
      <c r="I886" s="154">
        <v>0.29166666666666669</v>
      </c>
      <c r="J886" s="154">
        <v>0.29166666666666669</v>
      </c>
      <c r="K886" s="154">
        <v>0.29166666666666669</v>
      </c>
      <c r="L886" s="154">
        <v>0.29166666666666669</v>
      </c>
      <c r="O886" s="154">
        <v>0.29166666666666669</v>
      </c>
      <c r="P886" s="154">
        <v>0.29166666666666669</v>
      </c>
      <c r="Q886" s="154">
        <v>0.29166666666666669</v>
      </c>
      <c r="R886" s="154">
        <v>0.29166666666666669</v>
      </c>
      <c r="S886" s="154">
        <v>0.29166666666666669</v>
      </c>
      <c r="T886" s="154">
        <v>0.29166666666666669</v>
      </c>
      <c r="U886" s="154">
        <v>0.29166666666666669</v>
      </c>
      <c r="V886" s="154">
        <v>0.29166666666666669</v>
      </c>
      <c r="W886" s="154">
        <v>0.29166666666666669</v>
      </c>
      <c r="X886" s="154">
        <v>0.29166666666666669</v>
      </c>
      <c r="Y886" s="154">
        <v>0.29166666666666669</v>
      </c>
      <c r="Z886" s="154">
        <v>0.29166666666666669</v>
      </c>
      <c r="AA886" s="154">
        <v>0.29166666666666669</v>
      </c>
      <c r="AB886" s="154">
        <v>0.29166666666666669</v>
      </c>
      <c r="AD886" s="154">
        <v>0.29166666666666669</v>
      </c>
      <c r="AE886" s="154">
        <v>0.29166666666666669</v>
      </c>
      <c r="AF886" s="154">
        <v>0.29166666666666669</v>
      </c>
      <c r="AG886" s="154">
        <v>0.29166666666666669</v>
      </c>
      <c r="AH886" s="154">
        <v>0.29166666666666669</v>
      </c>
      <c r="AI886" s="154">
        <v>0.29166666666666669</v>
      </c>
      <c r="AJ886" s="154">
        <v>0.29166666666666669</v>
      </c>
      <c r="AK886" s="154">
        <v>0.29166666666666669</v>
      </c>
      <c r="AS886">
        <v>346</v>
      </c>
    </row>
    <row r="887" spans="1:45" hidden="1" x14ac:dyDescent="0.25">
      <c r="A887">
        <v>886</v>
      </c>
      <c r="B887">
        <v>2025</v>
      </c>
      <c r="C887">
        <v>6</v>
      </c>
      <c r="D887" t="s">
        <v>564</v>
      </c>
      <c r="E887">
        <v>46</v>
      </c>
      <c r="F887">
        <v>2</v>
      </c>
      <c r="G887" t="s">
        <v>535</v>
      </c>
      <c r="H887" s="154">
        <v>0.75</v>
      </c>
      <c r="I887" s="154">
        <v>0.75</v>
      </c>
      <c r="J887" s="154">
        <v>0.75</v>
      </c>
      <c r="K887" s="154">
        <v>0.75</v>
      </c>
      <c r="L887" s="154">
        <v>0.75</v>
      </c>
      <c r="O887" s="154">
        <v>0.75</v>
      </c>
      <c r="P887" s="154">
        <v>0.75</v>
      </c>
      <c r="Q887" s="154">
        <v>0.75</v>
      </c>
      <c r="R887" s="154">
        <v>0.75</v>
      </c>
      <c r="S887" s="154">
        <v>0.75</v>
      </c>
      <c r="T887" s="154">
        <v>0.75</v>
      </c>
      <c r="U887" s="154">
        <v>0.75</v>
      </c>
      <c r="V887" s="154">
        <v>0.75</v>
      </c>
      <c r="W887" s="154">
        <v>0.75</v>
      </c>
      <c r="X887" s="154">
        <v>0.75</v>
      </c>
      <c r="Y887" s="154">
        <v>0.75</v>
      </c>
      <c r="Z887" s="154">
        <v>0.75</v>
      </c>
      <c r="AA887" s="154">
        <v>0.75</v>
      </c>
      <c r="AB887" s="154">
        <v>0.75</v>
      </c>
      <c r="AD887" s="154">
        <v>0.75</v>
      </c>
      <c r="AE887" s="154">
        <v>0.75</v>
      </c>
      <c r="AF887" s="154">
        <v>0.75</v>
      </c>
      <c r="AG887" s="154">
        <v>0.75</v>
      </c>
      <c r="AH887" s="154">
        <v>0.75</v>
      </c>
      <c r="AI887" s="154">
        <v>0.75</v>
      </c>
      <c r="AJ887" s="154">
        <v>0.75</v>
      </c>
      <c r="AK887" s="154">
        <v>0.75</v>
      </c>
      <c r="AM887" cm="1">
        <f t="array" ref="AM887">SUM(_xlfn.LET(_xlpm.r,((IFERROR(H887:AL887-H886:AL886,0))*24)/10,IF(_xlpm.r&gt;1,1,_xlpm.r)))</f>
        <v>27</v>
      </c>
      <c r="AO887" cm="1">
        <f t="array" ref="AO887">SUM(IFERROR(MOD((H887:AL887-H886:AL886)*24,11),""))</f>
        <v>0</v>
      </c>
      <c r="AS887">
        <v>347</v>
      </c>
    </row>
    <row r="888" spans="1:45" hidden="1" x14ac:dyDescent="0.25">
      <c r="A888">
        <v>887</v>
      </c>
      <c r="B888">
        <v>2025</v>
      </c>
      <c r="C888">
        <v>7</v>
      </c>
      <c r="D888" t="s">
        <v>417</v>
      </c>
      <c r="E888">
        <v>46</v>
      </c>
      <c r="F888">
        <v>3</v>
      </c>
      <c r="G888" t="s">
        <v>534</v>
      </c>
      <c r="H888" s="154">
        <v>0.29166666666666669</v>
      </c>
      <c r="I888" s="154">
        <v>0.29166666666666669</v>
      </c>
      <c r="J888" s="154">
        <v>0.29166666666666669</v>
      </c>
      <c r="K888" s="154">
        <v>0.29166666666666669</v>
      </c>
      <c r="L888" s="154">
        <v>0.29166666666666669</v>
      </c>
      <c r="M888" s="154">
        <v>0</v>
      </c>
      <c r="N888" s="154">
        <v>0.29166666666666669</v>
      </c>
      <c r="O888" s="154">
        <v>0.29166666666666669</v>
      </c>
      <c r="P888" s="154">
        <v>0.29166666666666669</v>
      </c>
      <c r="Q888" s="154">
        <v>0.29166666666666669</v>
      </c>
      <c r="R888" s="154">
        <v>0.29166666666666669</v>
      </c>
      <c r="S888" s="154">
        <v>0.29166666666666669</v>
      </c>
      <c r="T888" s="154">
        <v>0.29166666666666669</v>
      </c>
      <c r="U888" s="154">
        <v>0.29166666666666669</v>
      </c>
      <c r="V888" s="154">
        <v>0.29166666666666669</v>
      </c>
      <c r="W888" s="154">
        <v>0.29166666666666669</v>
      </c>
      <c r="X888" s="154">
        <v>0.29166666666666669</v>
      </c>
      <c r="Y888" s="154">
        <v>0.29166666666666669</v>
      </c>
      <c r="Z888" s="154">
        <v>0.29166666666666669</v>
      </c>
      <c r="AA888" s="154">
        <v>0.29166666666666669</v>
      </c>
      <c r="AB888" s="154">
        <v>0</v>
      </c>
      <c r="AC888" s="154">
        <v>0.29166666666666669</v>
      </c>
      <c r="AD888" s="154">
        <v>0.29166666666666669</v>
      </c>
      <c r="AE888" s="154">
        <v>0.29166666666666669</v>
      </c>
      <c r="AF888" s="154">
        <v>0.29166666666666669</v>
      </c>
      <c r="AG888" s="154">
        <v>0.29166666666666669</v>
      </c>
      <c r="AH888" s="154">
        <v>0</v>
      </c>
      <c r="AI888" s="154">
        <v>0.29166666666666669</v>
      </c>
      <c r="AJ888" s="154">
        <v>0.29166666666666669</v>
      </c>
      <c r="AK888" s="154">
        <v>0.29166666666666669</v>
      </c>
      <c r="AL888" s="154">
        <v>0.29166666666666669</v>
      </c>
      <c r="AS888">
        <v>348</v>
      </c>
    </row>
    <row r="889" spans="1:45" hidden="1" x14ac:dyDescent="0.25">
      <c r="A889">
        <v>888</v>
      </c>
      <c r="B889">
        <v>2025</v>
      </c>
      <c r="C889">
        <v>7</v>
      </c>
      <c r="D889" t="s">
        <v>417</v>
      </c>
      <c r="E889">
        <v>46</v>
      </c>
      <c r="F889">
        <v>3</v>
      </c>
      <c r="G889" t="s">
        <v>535</v>
      </c>
      <c r="H889" s="154">
        <v>0.75</v>
      </c>
      <c r="I889" s="154">
        <v>0.75</v>
      </c>
      <c r="J889" s="154">
        <v>0.75</v>
      </c>
      <c r="K889" s="154">
        <v>0.75</v>
      </c>
      <c r="L889" s="154">
        <v>0.75</v>
      </c>
      <c r="M889" s="154">
        <v>0</v>
      </c>
      <c r="N889" s="154">
        <v>0.75</v>
      </c>
      <c r="O889" s="154">
        <v>0.75</v>
      </c>
      <c r="P889" s="154">
        <v>0.75</v>
      </c>
      <c r="Q889" s="154">
        <v>0.75</v>
      </c>
      <c r="R889" s="154">
        <v>0.75</v>
      </c>
      <c r="S889" s="154">
        <v>0.75</v>
      </c>
      <c r="T889" s="154">
        <v>0.75</v>
      </c>
      <c r="U889" s="154">
        <v>0.75</v>
      </c>
      <c r="V889" s="154">
        <v>0.75</v>
      </c>
      <c r="W889" s="154">
        <v>0.75</v>
      </c>
      <c r="X889" s="154">
        <v>0.75</v>
      </c>
      <c r="Y889" s="154">
        <v>0.75</v>
      </c>
      <c r="Z889" s="154">
        <v>0.75</v>
      </c>
      <c r="AA889" s="154">
        <v>0.75</v>
      </c>
      <c r="AB889" s="154">
        <v>0</v>
      </c>
      <c r="AC889" s="154">
        <v>0.43333333333333335</v>
      </c>
      <c r="AD889" s="154">
        <v>0.75</v>
      </c>
      <c r="AE889" s="154">
        <v>0.75</v>
      </c>
      <c r="AF889" s="154">
        <v>0.75</v>
      </c>
      <c r="AG889" s="154">
        <v>0.75</v>
      </c>
      <c r="AH889" s="154">
        <v>0</v>
      </c>
      <c r="AI889" s="154">
        <v>0.75</v>
      </c>
      <c r="AJ889" s="154">
        <v>0.75</v>
      </c>
      <c r="AK889" s="154">
        <v>0.75</v>
      </c>
      <c r="AL889" s="154">
        <v>0.75</v>
      </c>
      <c r="AM889" cm="1">
        <f t="array" ref="AM889">SUM(_xlfn.LET(_xlpm.r,((IFERROR(H889:AL889-H888:AL888,0))*24)/10,IF(_xlpm.r&gt;1,1,_xlpm.r)))</f>
        <v>27.34</v>
      </c>
      <c r="AS889">
        <v>349</v>
      </c>
    </row>
    <row r="890" spans="1:45" hidden="1" x14ac:dyDescent="0.25">
      <c r="A890">
        <v>889</v>
      </c>
      <c r="B890">
        <v>2025</v>
      </c>
      <c r="C890">
        <v>7</v>
      </c>
      <c r="D890" t="s">
        <v>418</v>
      </c>
      <c r="E890">
        <v>46</v>
      </c>
      <c r="F890">
        <v>3</v>
      </c>
      <c r="G890" t="s">
        <v>534</v>
      </c>
      <c r="H890" s="154">
        <v>0.29166666666666669</v>
      </c>
      <c r="I890" s="154">
        <v>0.29166666666666669</v>
      </c>
      <c r="J890" s="154">
        <v>0.29166666666666669</v>
      </c>
      <c r="K890" s="154">
        <v>0.29166666666666669</v>
      </c>
      <c r="L890" s="154">
        <v>0.29166666666666669</v>
      </c>
      <c r="M890" s="154">
        <v>0</v>
      </c>
      <c r="N890" s="154">
        <v>0.29166666666666669</v>
      </c>
      <c r="O890" s="154">
        <v>0.29166666666666669</v>
      </c>
      <c r="P890" s="154">
        <v>0.29166666666666669</v>
      </c>
      <c r="Q890" s="154">
        <v>0.29166666666666669</v>
      </c>
      <c r="R890" s="154">
        <v>0.29166666666666669</v>
      </c>
      <c r="S890" s="154">
        <v>0.29166666666666669</v>
      </c>
      <c r="T890" s="154">
        <v>0.29166666666666669</v>
      </c>
      <c r="U890" s="154">
        <v>0.29166666666666669</v>
      </c>
      <c r="V890" s="154">
        <v>0.29166666666666669</v>
      </c>
      <c r="W890" s="154">
        <v>0.29166666666666669</v>
      </c>
      <c r="X890" s="154">
        <v>0.29166666666666669</v>
      </c>
      <c r="Y890" s="154">
        <v>0.29166666666666669</v>
      </c>
      <c r="Z890" s="154">
        <v>0.29166666666666669</v>
      </c>
      <c r="AA890" s="154">
        <v>0.29166666666666669</v>
      </c>
      <c r="AB890" s="154">
        <v>0.29166666666666669</v>
      </c>
      <c r="AC890" s="154">
        <v>0.29166666666666669</v>
      </c>
      <c r="AD890" s="154">
        <v>0.29166666666666669</v>
      </c>
      <c r="AE890" s="154">
        <v>0.29166666666666669</v>
      </c>
      <c r="AF890" s="154">
        <v>0.29166666666666669</v>
      </c>
      <c r="AG890" s="154">
        <v>0.29166666666666669</v>
      </c>
      <c r="AH890" s="154">
        <v>0</v>
      </c>
      <c r="AI890" s="154">
        <v>0.29166666666666669</v>
      </c>
      <c r="AJ890" s="154">
        <v>0.29166666666666669</v>
      </c>
      <c r="AK890" s="154">
        <v>0.29166666666666669</v>
      </c>
      <c r="AL890" s="154">
        <v>0.29166666666666669</v>
      </c>
      <c r="AS890">
        <v>348</v>
      </c>
    </row>
    <row r="891" spans="1:45" hidden="1" x14ac:dyDescent="0.25">
      <c r="A891">
        <v>890</v>
      </c>
      <c r="B891">
        <v>2025</v>
      </c>
      <c r="C891">
        <v>7</v>
      </c>
      <c r="D891" t="s">
        <v>418</v>
      </c>
      <c r="E891">
        <v>46</v>
      </c>
      <c r="F891">
        <v>3</v>
      </c>
      <c r="G891" t="s">
        <v>535</v>
      </c>
      <c r="H891" s="154">
        <v>0.75</v>
      </c>
      <c r="I891" s="154">
        <v>0.75</v>
      </c>
      <c r="J891" s="154">
        <v>0.75</v>
      </c>
      <c r="K891" s="154">
        <v>0.75</v>
      </c>
      <c r="L891" s="154">
        <v>0.75</v>
      </c>
      <c r="M891" s="154">
        <v>0</v>
      </c>
      <c r="N891" s="154">
        <v>0.75</v>
      </c>
      <c r="O891" s="154">
        <v>0.75</v>
      </c>
      <c r="P891" s="154">
        <v>0.75</v>
      </c>
      <c r="Q891" s="154">
        <v>0.75</v>
      </c>
      <c r="R891" s="154">
        <v>0.75</v>
      </c>
      <c r="S891" s="154">
        <v>0.75</v>
      </c>
      <c r="T891" s="154">
        <v>0.75</v>
      </c>
      <c r="U891" s="154">
        <v>0.75</v>
      </c>
      <c r="V891" s="154">
        <v>0.75</v>
      </c>
      <c r="W891" s="154">
        <v>0.75</v>
      </c>
      <c r="X891" s="154">
        <v>0.75</v>
      </c>
      <c r="Y891" s="154">
        <v>0.75</v>
      </c>
      <c r="Z891" s="154">
        <v>0.75</v>
      </c>
      <c r="AA891" s="154">
        <v>0.75</v>
      </c>
      <c r="AB891" s="154">
        <v>0.75</v>
      </c>
      <c r="AC891" s="154">
        <v>0.75</v>
      </c>
      <c r="AD891" s="154">
        <v>0.75</v>
      </c>
      <c r="AE891" s="154">
        <v>0.75</v>
      </c>
      <c r="AF891" s="154">
        <v>0.75</v>
      </c>
      <c r="AG891" s="154">
        <v>0.75</v>
      </c>
      <c r="AH891" s="154">
        <v>0</v>
      </c>
      <c r="AI891" s="154">
        <v>0.75</v>
      </c>
      <c r="AJ891" s="154">
        <v>0.75</v>
      </c>
      <c r="AK891" s="154">
        <v>0.75</v>
      </c>
      <c r="AL891" s="154">
        <v>0.75</v>
      </c>
      <c r="AM891" cm="1">
        <f t="array" ref="AM891">SUM(_xlfn.LET(_xlpm.r,((IFERROR(H891:AL891-H890:AL890,0))*24)/10,IF(_xlpm.r&gt;1,1,_xlpm.r)))</f>
        <v>29</v>
      </c>
      <c r="AO891" cm="1">
        <f t="array" ref="AO891">SUM(IFERROR(MOD((H891:AL891-H890:AL890)*24,11),""))</f>
        <v>0</v>
      </c>
      <c r="AS891">
        <v>349</v>
      </c>
    </row>
    <row r="892" spans="1:45" hidden="1" x14ac:dyDescent="0.25">
      <c r="A892">
        <v>891</v>
      </c>
      <c r="B892">
        <v>2025</v>
      </c>
      <c r="C892">
        <v>7</v>
      </c>
      <c r="D892" t="s">
        <v>564</v>
      </c>
      <c r="E892">
        <v>46</v>
      </c>
      <c r="F892">
        <v>3</v>
      </c>
      <c r="G892" t="s">
        <v>534</v>
      </c>
      <c r="H892" s="154">
        <v>0.29166666666666669</v>
      </c>
      <c r="I892" s="154">
        <v>0.29166666666666669</v>
      </c>
      <c r="J892" s="154">
        <v>0.29166666666666669</v>
      </c>
      <c r="K892" s="154">
        <v>0.29166666666666669</v>
      </c>
      <c r="L892" s="154">
        <v>0.29166666666666669</v>
      </c>
      <c r="M892" s="154">
        <v>0</v>
      </c>
      <c r="N892" s="154">
        <v>0.29166666666666669</v>
      </c>
      <c r="O892" s="154">
        <v>0.29166666666666669</v>
      </c>
      <c r="P892" s="154">
        <v>0.29166666666666669</v>
      </c>
      <c r="Q892" s="154">
        <v>0.29166666666666669</v>
      </c>
      <c r="R892" s="154">
        <v>0.29166666666666669</v>
      </c>
      <c r="S892" s="154">
        <v>0.29166666666666669</v>
      </c>
      <c r="T892" s="154">
        <v>0.29166666666666669</v>
      </c>
      <c r="U892" s="154">
        <v>0.29166666666666669</v>
      </c>
      <c r="V892" s="154">
        <v>0.29166666666666669</v>
      </c>
      <c r="W892" s="154">
        <v>0.79166666666666663</v>
      </c>
      <c r="X892" s="154">
        <v>0.29166666666666669</v>
      </c>
      <c r="Y892" s="154">
        <v>0.29166666666666669</v>
      </c>
      <c r="Z892" s="154">
        <v>0.29166666666666669</v>
      </c>
      <c r="AA892" s="154">
        <v>0.29166666666666669</v>
      </c>
      <c r="AB892" s="154">
        <v>0.29166666666666669</v>
      </c>
      <c r="AC892" s="154">
        <v>0.79166666666666663</v>
      </c>
      <c r="AD892" s="154">
        <v>0.79166666666666663</v>
      </c>
      <c r="AE892" s="154">
        <v>0.79166666666666663</v>
      </c>
      <c r="AF892" s="154">
        <v>0.29166666666666669</v>
      </c>
      <c r="AG892" s="154">
        <v>0.29166666666666669</v>
      </c>
      <c r="AH892" s="154">
        <v>0</v>
      </c>
      <c r="AI892" s="154">
        <v>0.29166666666666669</v>
      </c>
      <c r="AJ892" s="154">
        <v>0.29166666666666669</v>
      </c>
      <c r="AK892" s="154">
        <v>0.29166666666666669</v>
      </c>
      <c r="AL892" s="154">
        <v>0.29166666666666669</v>
      </c>
      <c r="AS892">
        <v>350</v>
      </c>
    </row>
    <row r="893" spans="1:45" hidden="1" x14ac:dyDescent="0.25">
      <c r="A893">
        <v>892</v>
      </c>
      <c r="B893">
        <v>2025</v>
      </c>
      <c r="C893">
        <v>7</v>
      </c>
      <c r="D893" t="s">
        <v>564</v>
      </c>
      <c r="E893">
        <v>46</v>
      </c>
      <c r="F893">
        <v>3</v>
      </c>
      <c r="G893" t="s">
        <v>535</v>
      </c>
      <c r="H893" s="154">
        <v>0.75</v>
      </c>
      <c r="I893" s="154">
        <v>0.75</v>
      </c>
      <c r="J893" s="154">
        <v>0.75</v>
      </c>
      <c r="K893" s="154">
        <v>0.75</v>
      </c>
      <c r="L893" s="154">
        <v>0.75</v>
      </c>
      <c r="M893" s="154">
        <v>0</v>
      </c>
      <c r="N893" s="154">
        <v>0.75</v>
      </c>
      <c r="O893" s="154">
        <v>0.75</v>
      </c>
      <c r="P893" s="154">
        <v>0.75</v>
      </c>
      <c r="Q893" s="154">
        <v>0.75</v>
      </c>
      <c r="R893" s="154">
        <v>0.75</v>
      </c>
      <c r="S893" s="154">
        <v>0.75</v>
      </c>
      <c r="T893" s="154">
        <v>0.75</v>
      </c>
      <c r="U893" s="154">
        <v>0.25</v>
      </c>
      <c r="V893" s="154">
        <v>0.25</v>
      </c>
      <c r="W893" s="154">
        <v>0.25</v>
      </c>
      <c r="X893" s="154">
        <v>0.25</v>
      </c>
      <c r="Y893" s="154">
        <v>0.25</v>
      </c>
      <c r="Z893" s="154">
        <v>0.25</v>
      </c>
      <c r="AA893" s="154">
        <v>0.25</v>
      </c>
      <c r="AB893" s="154">
        <v>0.25</v>
      </c>
      <c r="AC893" s="154">
        <v>0.25</v>
      </c>
      <c r="AD893" s="154">
        <v>0.25</v>
      </c>
      <c r="AE893" s="154">
        <v>0.25</v>
      </c>
      <c r="AF893" s="154">
        <v>0.25</v>
      </c>
      <c r="AG893" s="154">
        <v>0.25</v>
      </c>
      <c r="AH893" s="154">
        <v>0</v>
      </c>
      <c r="AI893" s="154">
        <v>0.25</v>
      </c>
      <c r="AJ893" s="154">
        <v>0.25</v>
      </c>
      <c r="AK893" s="154">
        <v>0.25</v>
      </c>
      <c r="AL893" s="154">
        <v>0.25</v>
      </c>
      <c r="AM893" cm="1">
        <f t="array" ref="AM893">SUM(_xlfn.LET(_xlpm.r,(H893:AL893&lt;H892:AL892)+H893:AL893-H892:AL892,IF(_xlpm.r&gt;10/24,1,0)))-AN893</f>
        <v>16</v>
      </c>
      <c r="AN893" cm="1">
        <f t="array" ref="AN893">SUM(_xlfn.LET(_xlpm.r,(H893:AL893&lt;H892:AL892)+H893:AL893-H892:AL892,IF(_xlpm.r&gt;22/24,1,0)))</f>
        <v>13</v>
      </c>
      <c r="AS893">
        <v>351</v>
      </c>
    </row>
    <row r="894" spans="1:45" hidden="1" x14ac:dyDescent="0.25">
      <c r="A894">
        <v>893</v>
      </c>
      <c r="B894">
        <v>2025</v>
      </c>
      <c r="C894">
        <v>8</v>
      </c>
      <c r="D894" t="s">
        <v>417</v>
      </c>
      <c r="E894">
        <v>46</v>
      </c>
      <c r="F894">
        <v>4</v>
      </c>
      <c r="G894" t="s">
        <v>534</v>
      </c>
      <c r="H894" s="154">
        <v>0.29166666666666669</v>
      </c>
      <c r="I894" s="154">
        <v>0.29166666666666669</v>
      </c>
      <c r="J894" s="154">
        <v>0.29166666666666669</v>
      </c>
      <c r="K894" s="154">
        <v>0.29166666666666669</v>
      </c>
      <c r="L894" s="154">
        <v>0.29166666666666669</v>
      </c>
      <c r="M894" s="154">
        <v>0.29166666666666669</v>
      </c>
      <c r="N894" s="154">
        <v>0.29166666666666669</v>
      </c>
      <c r="O894" s="154">
        <v>0.29166666666666669</v>
      </c>
      <c r="P894" s="154">
        <v>0.29166666666666669</v>
      </c>
      <c r="Q894" s="154">
        <v>0</v>
      </c>
      <c r="R894" s="154">
        <v>0.29166666666666669</v>
      </c>
      <c r="S894" s="154">
        <v>0.29166666666666669</v>
      </c>
      <c r="T894" s="154">
        <v>0.29166666666666669</v>
      </c>
      <c r="U894" s="154">
        <v>0.29166666666666669</v>
      </c>
      <c r="V894" s="154">
        <v>0.29166666666666669</v>
      </c>
      <c r="W894" s="154">
        <v>0.29166666666666669</v>
      </c>
      <c r="X894" s="154">
        <v>0.29166666666666669</v>
      </c>
      <c r="Y894" s="154">
        <v>0.29166666666666669</v>
      </c>
      <c r="Z894" s="154">
        <v>0.29166666666666669</v>
      </c>
      <c r="AA894" s="154">
        <v>0.29166666666666669</v>
      </c>
      <c r="AB894" s="154">
        <v>0.29166666666666669</v>
      </c>
      <c r="AC894" s="154">
        <v>0.29166666666666669</v>
      </c>
      <c r="AD894" s="154">
        <v>0.29166666666666669</v>
      </c>
      <c r="AE894" s="154">
        <v>0</v>
      </c>
      <c r="AF894" s="154">
        <v>0.29166666666666669</v>
      </c>
      <c r="AG894" s="154">
        <v>0.29166666666666669</v>
      </c>
      <c r="AH894" s="154">
        <v>0.29166666666666669</v>
      </c>
      <c r="AI894" s="154">
        <v>0.29166666666666669</v>
      </c>
      <c r="AJ894" s="154">
        <v>0.29166666666666669</v>
      </c>
      <c r="AK894" s="154">
        <v>0.29166666666666669</v>
      </c>
      <c r="AL894" s="154">
        <v>0.29166666666666669</v>
      </c>
    </row>
    <row r="895" spans="1:45" hidden="1" x14ac:dyDescent="0.25">
      <c r="A895">
        <v>894</v>
      </c>
      <c r="B895">
        <v>2025</v>
      </c>
      <c r="C895">
        <v>8</v>
      </c>
      <c r="D895" t="s">
        <v>417</v>
      </c>
      <c r="E895">
        <v>46</v>
      </c>
      <c r="F895">
        <v>4</v>
      </c>
      <c r="G895" t="s">
        <v>535</v>
      </c>
      <c r="H895" s="154">
        <v>0.75</v>
      </c>
      <c r="I895" s="154">
        <v>0.75</v>
      </c>
      <c r="J895" s="154">
        <v>0.75</v>
      </c>
      <c r="K895" s="154">
        <v>0.75</v>
      </c>
      <c r="L895" s="154">
        <v>0.75</v>
      </c>
      <c r="M895" s="154">
        <v>0.75</v>
      </c>
      <c r="N895" s="154">
        <v>0.75</v>
      </c>
      <c r="O895" s="154">
        <v>0.75</v>
      </c>
      <c r="P895" s="154">
        <v>0.75</v>
      </c>
      <c r="Q895" s="154">
        <v>0</v>
      </c>
      <c r="R895" s="154">
        <v>0.75</v>
      </c>
      <c r="S895" s="154">
        <v>0.75</v>
      </c>
      <c r="T895" s="154">
        <v>0.75</v>
      </c>
      <c r="U895" s="154">
        <v>0.75</v>
      </c>
      <c r="V895" s="154">
        <v>0.75</v>
      </c>
      <c r="W895" s="154">
        <v>0.75</v>
      </c>
      <c r="X895" s="154">
        <v>0.75</v>
      </c>
      <c r="Y895" s="154">
        <v>0.75</v>
      </c>
      <c r="Z895" s="154">
        <v>0.75</v>
      </c>
      <c r="AA895" s="154">
        <v>0.75</v>
      </c>
      <c r="AB895" s="154">
        <v>0.75</v>
      </c>
      <c r="AC895" s="154">
        <v>0.75</v>
      </c>
      <c r="AD895" s="154">
        <v>0.75</v>
      </c>
      <c r="AE895" s="154">
        <v>0</v>
      </c>
      <c r="AF895" s="154">
        <v>0.75</v>
      </c>
      <c r="AG895" s="154">
        <v>0.75</v>
      </c>
      <c r="AH895" s="154">
        <v>0.75</v>
      </c>
      <c r="AI895" s="154">
        <v>0.75</v>
      </c>
      <c r="AJ895" s="154">
        <v>0.75</v>
      </c>
      <c r="AK895" s="154">
        <v>0.75</v>
      </c>
      <c r="AL895" s="154">
        <v>0.75</v>
      </c>
      <c r="AM895" cm="1">
        <f t="array" ref="AM895">SUM(_xlfn.LET(_xlpm.r,((IFERROR(H895:AL895-H894:AL894,0))*24)/10,IF(_xlpm.r&gt;1,1,_xlpm.r)))</f>
        <v>29</v>
      </c>
      <c r="AO895" cm="1">
        <f t="array" ref="AO895">SUM(IFERROR(MOD((H895:AL895-H894:AL894)*24,11),""))</f>
        <v>0</v>
      </c>
    </row>
    <row r="896" spans="1:45" hidden="1" x14ac:dyDescent="0.25">
      <c r="A896">
        <v>895</v>
      </c>
      <c r="B896">
        <v>2025</v>
      </c>
      <c r="C896">
        <v>8</v>
      </c>
      <c r="D896" t="s">
        <v>418</v>
      </c>
      <c r="E896">
        <v>46</v>
      </c>
      <c r="F896">
        <v>4</v>
      </c>
      <c r="G896" t="s">
        <v>534</v>
      </c>
      <c r="H896" s="154">
        <v>0.29166666666666669</v>
      </c>
      <c r="I896" s="154">
        <v>0.29166666666666669</v>
      </c>
      <c r="J896" s="154">
        <v>0.29166666666666669</v>
      </c>
      <c r="K896" s="154">
        <v>0.29166666666666669</v>
      </c>
      <c r="L896" s="154">
        <v>0.29166666666666669</v>
      </c>
      <c r="M896" s="154">
        <v>0.29166666666666669</v>
      </c>
      <c r="N896" s="154">
        <v>0.29166666666666669</v>
      </c>
      <c r="O896" s="154">
        <v>0.29166666666666669</v>
      </c>
      <c r="P896" s="154">
        <v>0.29166666666666669</v>
      </c>
      <c r="Q896" s="154">
        <v>0</v>
      </c>
      <c r="R896" s="154">
        <v>0.29166666666666669</v>
      </c>
      <c r="S896" s="154">
        <v>0.29166666666666669</v>
      </c>
      <c r="T896" s="154">
        <v>0.29166666666666669</v>
      </c>
      <c r="U896" s="154">
        <v>0.29166666666666669</v>
      </c>
      <c r="V896" s="154">
        <v>0.29166666666666669</v>
      </c>
      <c r="W896" s="154">
        <v>0.29166666666666669</v>
      </c>
      <c r="X896" s="154">
        <v>0.29166666666666669</v>
      </c>
      <c r="Y896" s="154">
        <v>0.29166666666666669</v>
      </c>
      <c r="Z896" s="154">
        <v>0.29166666666666669</v>
      </c>
      <c r="AA896" s="154">
        <v>0.29166666666666669</v>
      </c>
      <c r="AB896" s="154">
        <v>0.29166666666666669</v>
      </c>
      <c r="AC896" s="154">
        <v>0.29166666666666669</v>
      </c>
      <c r="AD896" s="154">
        <v>0.29166666666666669</v>
      </c>
      <c r="AE896" s="154">
        <v>0</v>
      </c>
      <c r="AF896" s="154">
        <v>0.29166666666666669</v>
      </c>
      <c r="AG896" s="154">
        <v>0.29166666666666669</v>
      </c>
      <c r="AH896" s="154">
        <v>0.29166666666666669</v>
      </c>
      <c r="AI896" s="154">
        <v>0.29166666666666669</v>
      </c>
      <c r="AJ896" s="154">
        <v>0.29166666666666669</v>
      </c>
      <c r="AK896" s="154">
        <v>0.29166666666666669</v>
      </c>
      <c r="AL896" s="154">
        <v>0.29166666666666669</v>
      </c>
    </row>
    <row r="897" spans="1:41" hidden="1" x14ac:dyDescent="0.25">
      <c r="A897">
        <v>896</v>
      </c>
      <c r="B897">
        <v>2025</v>
      </c>
      <c r="C897">
        <v>8</v>
      </c>
      <c r="D897" t="s">
        <v>418</v>
      </c>
      <c r="E897">
        <v>46</v>
      </c>
      <c r="F897">
        <v>4</v>
      </c>
      <c r="G897" t="s">
        <v>535</v>
      </c>
      <c r="H897" s="154">
        <v>0.25</v>
      </c>
      <c r="I897" s="154">
        <v>0.25</v>
      </c>
      <c r="J897" s="154">
        <v>0.25</v>
      </c>
      <c r="K897" s="154">
        <v>0.25</v>
      </c>
      <c r="L897" s="154">
        <v>0.25</v>
      </c>
      <c r="M897" s="154">
        <v>0.25</v>
      </c>
      <c r="N897" s="154">
        <v>0.25</v>
      </c>
      <c r="O897" s="154">
        <v>0.25</v>
      </c>
      <c r="P897" s="154">
        <v>0.25</v>
      </c>
      <c r="Q897" s="154">
        <v>0</v>
      </c>
      <c r="R897" s="154">
        <v>0.25</v>
      </c>
      <c r="S897" s="154">
        <v>0.25</v>
      </c>
      <c r="T897" s="154">
        <v>0.25</v>
      </c>
      <c r="U897" s="154">
        <v>0.25</v>
      </c>
      <c r="V897" s="154">
        <v>0.25</v>
      </c>
      <c r="W897" s="154">
        <v>0.25</v>
      </c>
      <c r="X897" s="154">
        <v>0.25</v>
      </c>
      <c r="Y897" s="154">
        <v>0.25</v>
      </c>
      <c r="Z897" s="154">
        <v>0.75</v>
      </c>
      <c r="AA897" s="154">
        <v>0.25</v>
      </c>
      <c r="AB897" s="154">
        <v>0.75</v>
      </c>
      <c r="AC897" s="154">
        <v>0.75</v>
      </c>
      <c r="AD897" s="154">
        <v>0.75</v>
      </c>
      <c r="AE897" s="154">
        <v>0</v>
      </c>
      <c r="AF897" s="154">
        <v>0.25</v>
      </c>
      <c r="AG897" s="154">
        <v>0.25</v>
      </c>
      <c r="AH897" s="154">
        <v>0.75</v>
      </c>
      <c r="AI897" s="154">
        <v>0.25</v>
      </c>
      <c r="AJ897" s="154">
        <v>0.25</v>
      </c>
      <c r="AK897" s="154">
        <v>0.75</v>
      </c>
      <c r="AL897" s="154">
        <v>0.25</v>
      </c>
      <c r="AM897" cm="1">
        <f t="array" ref="AM897">SUM(_xlfn.LET(_xlpm.r,(H897:AL897&lt;H896:AL896)+H897:AL897-H896:AL896,IF(_xlpm.r&gt;10/24,1,0)))-AN897</f>
        <v>6</v>
      </c>
      <c r="AN897" cm="1">
        <f t="array" ref="AN897">SUM(_xlfn.LET(_xlpm.r,(H897:AL897&lt;H896:AL896)+H897:AL897-H896:AL896,IF(_xlpm.r&gt;22/24,1,0)))</f>
        <v>23</v>
      </c>
    </row>
    <row r="898" spans="1:41" hidden="1" x14ac:dyDescent="0.25">
      <c r="A898">
        <v>897</v>
      </c>
      <c r="B898">
        <v>2025</v>
      </c>
      <c r="C898">
        <v>8</v>
      </c>
      <c r="D898" t="s">
        <v>564</v>
      </c>
      <c r="E898">
        <v>46</v>
      </c>
      <c r="F898">
        <v>4</v>
      </c>
      <c r="G898" t="s">
        <v>534</v>
      </c>
      <c r="H898" s="154">
        <v>0.29166666666666669</v>
      </c>
      <c r="I898" s="154">
        <v>0.29166666666666669</v>
      </c>
      <c r="J898" s="154">
        <v>0.29166666666666669</v>
      </c>
      <c r="K898" s="154">
        <v>0.29166666666666669</v>
      </c>
      <c r="L898" s="154">
        <v>0.29166666666666669</v>
      </c>
      <c r="M898" s="154">
        <v>0.29166666666666669</v>
      </c>
      <c r="N898" s="154">
        <v>0.29166666666666669</v>
      </c>
      <c r="O898" s="154">
        <v>0.29166666666666669</v>
      </c>
      <c r="P898" s="154">
        <v>0.29166666666666669</v>
      </c>
      <c r="Q898" s="154">
        <v>0</v>
      </c>
      <c r="R898" s="154">
        <v>0.29166666666666669</v>
      </c>
      <c r="S898" s="154">
        <v>0.29166666666666669</v>
      </c>
      <c r="T898" s="154">
        <v>0.29166666666666669</v>
      </c>
      <c r="U898" s="154">
        <v>0.29166666666666669</v>
      </c>
      <c r="V898" s="154">
        <v>0.29166666666666669</v>
      </c>
      <c r="W898" s="154">
        <v>0.29166666666666669</v>
      </c>
      <c r="X898" s="154">
        <v>0.29166666666666669</v>
      </c>
      <c r="Y898" s="154">
        <v>0.29166666666666669</v>
      </c>
      <c r="Z898" s="154">
        <v>0.29166666666666669</v>
      </c>
      <c r="AA898" s="154">
        <v>0.29166666666666669</v>
      </c>
      <c r="AB898" s="154">
        <v>0.29166666666666669</v>
      </c>
      <c r="AC898" s="154">
        <v>0.29166666666666669</v>
      </c>
      <c r="AD898" s="154">
        <v>0.29166666666666669</v>
      </c>
      <c r="AE898" s="154">
        <v>0</v>
      </c>
      <c r="AF898" s="154">
        <v>0.29166666666666669</v>
      </c>
      <c r="AG898" s="154">
        <v>0.29166666666666669</v>
      </c>
      <c r="AH898" s="154">
        <v>0.29166666666666669</v>
      </c>
      <c r="AI898" s="154">
        <v>0.29166666666666669</v>
      </c>
      <c r="AJ898" s="154">
        <v>0.29166666666666669</v>
      </c>
      <c r="AK898" s="154">
        <v>0.29166666666666669</v>
      </c>
      <c r="AL898" s="154">
        <v>0.29166666666666669</v>
      </c>
    </row>
    <row r="899" spans="1:41" hidden="1" x14ac:dyDescent="0.25">
      <c r="A899">
        <v>898</v>
      </c>
      <c r="B899">
        <v>2025</v>
      </c>
      <c r="C899">
        <v>8</v>
      </c>
      <c r="D899" t="s">
        <v>564</v>
      </c>
      <c r="E899">
        <v>46</v>
      </c>
      <c r="F899">
        <v>4</v>
      </c>
      <c r="G899" t="s">
        <v>535</v>
      </c>
      <c r="H899" s="154">
        <v>0.25</v>
      </c>
      <c r="I899" s="154">
        <v>0.25</v>
      </c>
      <c r="J899" s="154">
        <v>0.25</v>
      </c>
      <c r="K899" s="154">
        <v>0.25</v>
      </c>
      <c r="L899" s="154">
        <v>0.25</v>
      </c>
      <c r="M899" s="154">
        <v>0.25</v>
      </c>
      <c r="N899" s="154">
        <v>0.25</v>
      </c>
      <c r="O899" s="154">
        <v>0.25</v>
      </c>
      <c r="P899" s="154">
        <v>0.25</v>
      </c>
      <c r="Q899" s="154">
        <v>0</v>
      </c>
      <c r="R899" s="154">
        <v>0.25</v>
      </c>
      <c r="S899" s="154">
        <v>0.75</v>
      </c>
      <c r="T899" s="154">
        <v>0.75</v>
      </c>
      <c r="U899" s="154">
        <v>0.75</v>
      </c>
      <c r="V899" s="154">
        <v>0.75</v>
      </c>
      <c r="W899" s="154">
        <v>0.75</v>
      </c>
      <c r="X899" s="154">
        <v>0.75</v>
      </c>
      <c r="Y899" s="154">
        <v>0.75</v>
      </c>
      <c r="Z899" s="154">
        <v>0.75</v>
      </c>
      <c r="AA899" s="154">
        <v>0.75</v>
      </c>
      <c r="AB899" s="154">
        <v>0.75</v>
      </c>
      <c r="AC899" s="154">
        <v>0.75</v>
      </c>
      <c r="AD899" s="154">
        <v>0.75</v>
      </c>
      <c r="AE899" s="154">
        <v>0</v>
      </c>
      <c r="AF899" s="154">
        <v>0.75</v>
      </c>
      <c r="AG899" s="154">
        <v>0.75</v>
      </c>
      <c r="AH899" s="154">
        <v>0.75</v>
      </c>
      <c r="AI899" s="154">
        <v>0.75</v>
      </c>
      <c r="AJ899" s="154">
        <v>0.75</v>
      </c>
      <c r="AK899" s="154">
        <v>0.75</v>
      </c>
      <c r="AL899" s="154">
        <v>0.75</v>
      </c>
      <c r="AM899" cm="1">
        <f t="array" ref="AM899">SUM(_xlfn.LET(_xlpm.r,(H899:AL899&lt;H898:AL898)+H899:AL899-H898:AL898,IF(_xlpm.r&gt;10/24,1,0)))-AN899</f>
        <v>19</v>
      </c>
      <c r="AN899" cm="1">
        <f t="array" ref="AN899">SUM(_xlfn.LET(_xlpm.r,(H899:AL899&lt;H898:AL898)+H899:AL899-H898:AL898,IF(_xlpm.r&gt;22/24,1,0)))</f>
        <v>10</v>
      </c>
    </row>
    <row r="900" spans="1:41" hidden="1" x14ac:dyDescent="0.25">
      <c r="A900">
        <v>899</v>
      </c>
      <c r="B900">
        <v>2025</v>
      </c>
      <c r="C900">
        <v>8</v>
      </c>
      <c r="D900" t="s">
        <v>565</v>
      </c>
      <c r="E900">
        <v>46</v>
      </c>
      <c r="F900">
        <v>4</v>
      </c>
      <c r="G900" t="s">
        <v>534</v>
      </c>
      <c r="H900" s="154">
        <v>0.29166666666666669</v>
      </c>
      <c r="I900" s="154">
        <v>0.29166666666666669</v>
      </c>
      <c r="J900" s="154">
        <v>0.29166666666666669</v>
      </c>
      <c r="K900" s="154">
        <v>0.29166666666666669</v>
      </c>
      <c r="L900" s="154">
        <v>0.29166666666666669</v>
      </c>
      <c r="M900" s="154">
        <v>0.29166666666666669</v>
      </c>
      <c r="N900" s="154">
        <v>0.29166666666666669</v>
      </c>
      <c r="O900" s="154">
        <v>0.29166666666666669</v>
      </c>
      <c r="P900" s="154">
        <v>0.29166666666666669</v>
      </c>
      <c r="Q900" s="154">
        <v>0</v>
      </c>
      <c r="R900" s="154">
        <v>0.29166666666666669</v>
      </c>
      <c r="S900" s="154">
        <v>0.29166666666666669</v>
      </c>
      <c r="T900" s="154">
        <v>0</v>
      </c>
      <c r="U900" s="154">
        <v>0.29166666666666669</v>
      </c>
      <c r="V900" s="154">
        <v>0.29166666666666669</v>
      </c>
      <c r="W900" s="154">
        <v>0.29166666666666669</v>
      </c>
      <c r="X900" s="154">
        <v>0.29166666666666669</v>
      </c>
      <c r="Y900" s="154">
        <v>0.29166666666666669</v>
      </c>
      <c r="Z900" s="154">
        <v>0.29166666666666669</v>
      </c>
      <c r="AA900" s="154">
        <v>0</v>
      </c>
      <c r="AB900" s="154">
        <v>0.29166666666666669</v>
      </c>
      <c r="AC900" s="154">
        <v>0.29166666666666669</v>
      </c>
      <c r="AD900" s="154">
        <v>0.29166666666666669</v>
      </c>
      <c r="AE900" s="154">
        <v>0</v>
      </c>
      <c r="AF900" s="154">
        <v>0.29166666666666669</v>
      </c>
      <c r="AG900" s="154">
        <v>0.29166666666666669</v>
      </c>
      <c r="AH900" s="154">
        <v>0</v>
      </c>
      <c r="AI900" s="154">
        <v>0</v>
      </c>
      <c r="AJ900" s="154">
        <v>0.29166666666666669</v>
      </c>
      <c r="AK900" s="154">
        <v>0</v>
      </c>
      <c r="AL900" s="154">
        <v>0.29166666666666669</v>
      </c>
    </row>
    <row r="901" spans="1:41" hidden="1" x14ac:dyDescent="0.25">
      <c r="A901">
        <v>900</v>
      </c>
      <c r="B901">
        <v>2025</v>
      </c>
      <c r="C901">
        <v>8</v>
      </c>
      <c r="D901" t="s">
        <v>565</v>
      </c>
      <c r="E901">
        <v>46</v>
      </c>
      <c r="F901">
        <v>4</v>
      </c>
      <c r="G901" t="s">
        <v>535</v>
      </c>
      <c r="H901" s="154">
        <v>0.75</v>
      </c>
      <c r="I901" s="154">
        <v>0.75</v>
      </c>
      <c r="J901" s="154">
        <v>0.75</v>
      </c>
      <c r="K901" s="154">
        <v>0.75</v>
      </c>
      <c r="L901" s="154">
        <v>0.75</v>
      </c>
      <c r="M901" s="154">
        <v>0.75</v>
      </c>
      <c r="N901" s="154">
        <v>0.75</v>
      </c>
      <c r="O901" s="154">
        <v>0.75</v>
      </c>
      <c r="P901" s="154">
        <v>0.75</v>
      </c>
      <c r="Q901" s="154">
        <v>0</v>
      </c>
      <c r="R901" s="154">
        <v>0.75</v>
      </c>
      <c r="S901" s="154">
        <v>0.75</v>
      </c>
      <c r="T901" s="154">
        <v>0</v>
      </c>
      <c r="U901" s="154">
        <v>0.75</v>
      </c>
      <c r="V901" s="154">
        <v>0.75</v>
      </c>
      <c r="W901" s="154">
        <v>0.75</v>
      </c>
      <c r="X901" s="154">
        <v>0.75</v>
      </c>
      <c r="Y901" s="154">
        <v>0.75</v>
      </c>
      <c r="Z901" s="154">
        <v>0.75</v>
      </c>
      <c r="AA901" s="154">
        <v>0</v>
      </c>
      <c r="AB901" s="154">
        <v>0.75</v>
      </c>
      <c r="AC901" s="154">
        <v>0.75</v>
      </c>
      <c r="AD901" s="154">
        <v>0.75</v>
      </c>
      <c r="AE901" s="154">
        <v>0</v>
      </c>
      <c r="AF901" s="154">
        <v>0.75</v>
      </c>
      <c r="AG901" s="154">
        <v>0.75</v>
      </c>
      <c r="AH901" s="154">
        <v>0</v>
      </c>
      <c r="AI901" s="154">
        <v>0</v>
      </c>
      <c r="AJ901" s="154">
        <v>0.5</v>
      </c>
      <c r="AK901" s="154">
        <v>0</v>
      </c>
      <c r="AL901" s="154">
        <v>0.75</v>
      </c>
      <c r="AM901" cm="1">
        <f t="array" ref="AM901">SUM(_xlfn.LET(_xlpm.r,((IFERROR(H901:AL901-H900:AL900,0))*24)/10,IF(_xlpm.r&gt;1,1,_xlpm.r)))</f>
        <v>23.5</v>
      </c>
    </row>
    <row r="902" spans="1:41" hidden="1" x14ac:dyDescent="0.25">
      <c r="A902">
        <v>901</v>
      </c>
      <c r="B902">
        <v>2025</v>
      </c>
      <c r="C902">
        <v>9</v>
      </c>
      <c r="D902" t="s">
        <v>417</v>
      </c>
      <c r="E902">
        <v>46</v>
      </c>
      <c r="F902">
        <v>5</v>
      </c>
      <c r="G902" t="s">
        <v>534</v>
      </c>
      <c r="H902" s="154">
        <v>0.29166666666666669</v>
      </c>
      <c r="I902" s="154">
        <v>0.29166666666666669</v>
      </c>
      <c r="J902" s="154">
        <v>0.29166666666666669</v>
      </c>
      <c r="K902" s="154">
        <v>0.29166666666666669</v>
      </c>
      <c r="L902" s="154">
        <v>0.29166666666666669</v>
      </c>
      <c r="M902" s="154">
        <v>0.29166666666666669</v>
      </c>
      <c r="N902" s="154">
        <v>0</v>
      </c>
      <c r="O902" s="154">
        <v>0.29166666666666669</v>
      </c>
      <c r="P902" s="154">
        <v>0.29166666666666669</v>
      </c>
      <c r="Q902" s="154">
        <v>0.29166666666666669</v>
      </c>
      <c r="R902" s="154">
        <v>0.29166666666666669</v>
      </c>
      <c r="S902" s="154">
        <v>0.29166666666666669</v>
      </c>
      <c r="T902" s="154">
        <v>0.29166666666666669</v>
      </c>
      <c r="U902" s="154">
        <v>0</v>
      </c>
      <c r="V902" s="154">
        <v>0.29166666666666669</v>
      </c>
      <c r="W902" s="154">
        <v>0.29166666666666669</v>
      </c>
      <c r="X902" s="154">
        <v>0.29166666666666669</v>
      </c>
      <c r="Y902" s="154">
        <v>0.29166666666666669</v>
      </c>
      <c r="Z902" s="154">
        <v>0.29166666666666669</v>
      </c>
      <c r="AA902" s="154">
        <v>0.29166666666666669</v>
      </c>
      <c r="AB902" s="154">
        <v>0.29166666666666669</v>
      </c>
      <c r="AC902" s="154">
        <v>0.29166666666666669</v>
      </c>
      <c r="AD902" s="154">
        <v>0.29166666666666669</v>
      </c>
      <c r="AE902" s="154">
        <v>0.29166666666666669</v>
      </c>
      <c r="AF902" s="154">
        <v>0.29166666666666669</v>
      </c>
      <c r="AG902" s="154">
        <v>0.29166666666666669</v>
      </c>
      <c r="AH902" s="154">
        <v>0.29166666666666669</v>
      </c>
      <c r="AI902" s="154">
        <v>0</v>
      </c>
      <c r="AJ902" s="154">
        <v>0.29166666666666669</v>
      </c>
      <c r="AK902" s="154">
        <v>0.29166666666666669</v>
      </c>
      <c r="AL902" s="154">
        <v>0</v>
      </c>
    </row>
    <row r="903" spans="1:41" hidden="1" x14ac:dyDescent="0.25">
      <c r="A903">
        <v>902</v>
      </c>
      <c r="B903">
        <v>2025</v>
      </c>
      <c r="C903">
        <v>9</v>
      </c>
      <c r="D903" t="s">
        <v>417</v>
      </c>
      <c r="E903">
        <v>46</v>
      </c>
      <c r="F903">
        <v>5</v>
      </c>
      <c r="G903" t="s">
        <v>535</v>
      </c>
      <c r="H903" s="154">
        <v>0.75</v>
      </c>
      <c r="I903" s="154">
        <v>0.75</v>
      </c>
      <c r="J903" s="154">
        <v>0.75</v>
      </c>
      <c r="K903" s="154">
        <v>0.75</v>
      </c>
      <c r="L903" s="154">
        <v>0.75</v>
      </c>
      <c r="M903" s="154">
        <v>0.75</v>
      </c>
      <c r="N903" s="154">
        <v>0</v>
      </c>
      <c r="O903" s="154">
        <v>0.75</v>
      </c>
      <c r="P903" s="154">
        <v>0.75</v>
      </c>
      <c r="Q903" s="154">
        <v>0.75</v>
      </c>
      <c r="R903" s="154">
        <v>0.75</v>
      </c>
      <c r="S903" s="154">
        <v>0.75</v>
      </c>
      <c r="T903" s="154">
        <v>0.75</v>
      </c>
      <c r="U903" s="154">
        <v>0</v>
      </c>
      <c r="V903" s="154">
        <v>0.75</v>
      </c>
      <c r="W903" s="154">
        <v>0.75</v>
      </c>
      <c r="X903" s="154">
        <v>0.75</v>
      </c>
      <c r="Y903" s="154">
        <v>0.75</v>
      </c>
      <c r="Z903" s="154">
        <v>0.75</v>
      </c>
      <c r="AA903" s="154">
        <v>0.75</v>
      </c>
      <c r="AB903" s="154">
        <v>0.75</v>
      </c>
      <c r="AC903" s="154">
        <v>0.75</v>
      </c>
      <c r="AD903" s="154">
        <v>0.75</v>
      </c>
      <c r="AE903" s="154">
        <v>0.75</v>
      </c>
      <c r="AF903" s="154">
        <v>0.75</v>
      </c>
      <c r="AG903" s="154">
        <v>0.75</v>
      </c>
      <c r="AH903" s="154">
        <v>0.75</v>
      </c>
      <c r="AI903" s="154">
        <v>0</v>
      </c>
      <c r="AJ903" s="154">
        <v>0.75</v>
      </c>
      <c r="AK903" s="154">
        <v>0.75</v>
      </c>
      <c r="AL903" s="154">
        <v>0</v>
      </c>
      <c r="AM903" cm="1">
        <f t="array" ref="AM903">SUM(_xlfn.LET(_xlpm.r,((IFERROR(H903:AL903-H902:AL902,0))*24)/10,IF(_xlpm.r&gt;1,1,_xlpm.r)))</f>
        <v>27</v>
      </c>
      <c r="AO903" cm="1">
        <f t="array" ref="AO903">SUM(IFERROR(MOD((H903:AL903-H902:AL902)*24,11),""))</f>
        <v>0</v>
      </c>
    </row>
    <row r="904" spans="1:41" hidden="1" x14ac:dyDescent="0.25">
      <c r="A904">
        <v>903</v>
      </c>
      <c r="B904">
        <v>2025</v>
      </c>
      <c r="C904">
        <v>9</v>
      </c>
      <c r="D904" t="s">
        <v>418</v>
      </c>
      <c r="E904">
        <v>46</v>
      </c>
      <c r="F904">
        <v>5</v>
      </c>
      <c r="G904" t="s">
        <v>534</v>
      </c>
      <c r="H904" s="154">
        <v>0.29166666666666669</v>
      </c>
      <c r="I904" s="154">
        <v>0.29166666666666669</v>
      </c>
      <c r="J904" s="154">
        <v>0.29166666666666669</v>
      </c>
      <c r="K904" s="154">
        <v>0.29166666666666669</v>
      </c>
      <c r="L904" s="154">
        <v>0.29166666666666669</v>
      </c>
      <c r="M904" s="154">
        <v>0.29166666666666669</v>
      </c>
      <c r="N904" s="154">
        <v>0</v>
      </c>
      <c r="O904" s="154">
        <v>0.29166666666666669</v>
      </c>
      <c r="P904" s="154">
        <v>0.29166666666666669</v>
      </c>
      <c r="Q904" s="154">
        <v>0.29166666666666669</v>
      </c>
      <c r="R904" s="154">
        <v>0.29166666666666669</v>
      </c>
      <c r="S904" s="154">
        <v>0.29166666666666669</v>
      </c>
      <c r="T904" s="154">
        <v>0.29166666666666669</v>
      </c>
      <c r="U904" s="154">
        <v>0</v>
      </c>
      <c r="V904" s="154">
        <v>0.29166666666666669</v>
      </c>
      <c r="W904" s="154">
        <v>0.29166666666666669</v>
      </c>
      <c r="X904" s="154">
        <v>0.29166666666666669</v>
      </c>
      <c r="Y904" s="154">
        <v>0.29166666666666669</v>
      </c>
      <c r="Z904" s="154">
        <v>0.29166666666666669</v>
      </c>
      <c r="AA904" s="154">
        <v>0.29166666666666669</v>
      </c>
      <c r="AB904" s="154">
        <v>0.29166666666666669</v>
      </c>
      <c r="AC904" s="154">
        <v>0.29166666666666669</v>
      </c>
      <c r="AD904" s="154">
        <v>0.29166666666666669</v>
      </c>
      <c r="AE904" s="154">
        <v>0.29166666666666669</v>
      </c>
      <c r="AF904" s="154">
        <v>0.29166666666666669</v>
      </c>
      <c r="AG904" s="154">
        <v>0.29166666666666669</v>
      </c>
      <c r="AH904" s="154">
        <v>0.29166666666666669</v>
      </c>
      <c r="AI904" s="154">
        <v>0</v>
      </c>
      <c r="AJ904" s="154">
        <v>0.29166666666666669</v>
      </c>
      <c r="AK904" s="154">
        <v>0.29166666666666669</v>
      </c>
      <c r="AL904" s="154">
        <v>0</v>
      </c>
    </row>
    <row r="905" spans="1:41" hidden="1" x14ac:dyDescent="0.25">
      <c r="A905">
        <v>904</v>
      </c>
      <c r="B905">
        <v>2025</v>
      </c>
      <c r="C905">
        <v>9</v>
      </c>
      <c r="D905" t="s">
        <v>418</v>
      </c>
      <c r="E905">
        <v>46</v>
      </c>
      <c r="F905">
        <v>5</v>
      </c>
      <c r="G905" t="s">
        <v>535</v>
      </c>
      <c r="H905" s="154">
        <v>0.75</v>
      </c>
      <c r="I905" s="154">
        <v>0.75</v>
      </c>
      <c r="J905" s="154">
        <v>0.75</v>
      </c>
      <c r="K905" s="154">
        <v>0.75</v>
      </c>
      <c r="L905" s="154">
        <v>0.75</v>
      </c>
      <c r="M905" s="154">
        <v>0.75</v>
      </c>
      <c r="N905" s="154">
        <v>0</v>
      </c>
      <c r="O905" s="154">
        <v>0.75</v>
      </c>
      <c r="P905" s="154">
        <v>0.75</v>
      </c>
      <c r="Q905" s="154">
        <v>0.75</v>
      </c>
      <c r="R905" s="154">
        <v>0.75</v>
      </c>
      <c r="S905" s="154">
        <v>0.75</v>
      </c>
      <c r="T905" s="154">
        <v>0.75</v>
      </c>
      <c r="U905" s="154">
        <v>0</v>
      </c>
      <c r="V905" s="154">
        <v>0.75</v>
      </c>
      <c r="W905" s="154">
        <v>0.75</v>
      </c>
      <c r="X905" s="154">
        <v>0.75</v>
      </c>
      <c r="Y905" s="154">
        <v>0.75</v>
      </c>
      <c r="Z905" s="154">
        <v>0.75</v>
      </c>
      <c r="AA905" s="154">
        <v>0.75</v>
      </c>
      <c r="AB905" s="154">
        <v>0.75</v>
      </c>
      <c r="AC905" s="154">
        <v>0.75</v>
      </c>
      <c r="AD905" s="154">
        <v>0.25</v>
      </c>
      <c r="AE905" s="154">
        <v>0.25</v>
      </c>
      <c r="AF905" s="154">
        <v>0.25</v>
      </c>
      <c r="AG905" s="154">
        <v>0.25</v>
      </c>
      <c r="AH905" s="154">
        <v>0.25</v>
      </c>
      <c r="AI905" s="154">
        <v>0</v>
      </c>
      <c r="AJ905" s="154">
        <v>0.25</v>
      </c>
      <c r="AK905" s="154">
        <v>0.25</v>
      </c>
      <c r="AL905" s="154">
        <v>0</v>
      </c>
      <c r="AM905" cm="1">
        <f t="array" ref="AM905">SUM(_xlfn.LET(_xlpm.r,(H905:AL905&lt;H904:AL904)+H905:AL905-H904:AL904,IF(_xlpm.r&gt;10/24,1,0)))-AN905</f>
        <v>20</v>
      </c>
      <c r="AN905" cm="1">
        <f t="array" ref="AN905">SUM(_xlfn.LET(_xlpm.r,(H905:AL905&lt;H904:AL904)+H905:AL905-H904:AL904,IF(_xlpm.r&gt;22/24,1,0)))</f>
        <v>7</v>
      </c>
    </row>
    <row r="906" spans="1:41" hidden="1" x14ac:dyDescent="0.25">
      <c r="A906">
        <v>905</v>
      </c>
      <c r="B906">
        <v>2025</v>
      </c>
      <c r="C906">
        <v>9</v>
      </c>
      <c r="D906" t="s">
        <v>564</v>
      </c>
      <c r="E906">
        <v>46</v>
      </c>
      <c r="F906">
        <v>5</v>
      </c>
      <c r="G906" t="s">
        <v>534</v>
      </c>
      <c r="H906" s="154">
        <v>0.29166666666666669</v>
      </c>
      <c r="I906" s="154">
        <v>0.29166666666666669</v>
      </c>
      <c r="J906" s="154">
        <v>0.29166666666666669</v>
      </c>
      <c r="K906" s="154">
        <v>0.29166666666666669</v>
      </c>
      <c r="L906" s="154">
        <v>0.29166666666666669</v>
      </c>
      <c r="M906" s="154">
        <v>0.29166666666666669</v>
      </c>
      <c r="N906" s="154">
        <v>0</v>
      </c>
      <c r="O906" s="154">
        <v>0.29166666666666669</v>
      </c>
      <c r="P906" s="154">
        <v>0.29166666666666669</v>
      </c>
      <c r="Q906" s="154">
        <v>0</v>
      </c>
      <c r="R906" s="154">
        <v>0</v>
      </c>
      <c r="S906" s="154">
        <v>0</v>
      </c>
      <c r="T906" s="154">
        <v>0</v>
      </c>
      <c r="U906" s="154">
        <v>0</v>
      </c>
      <c r="V906" s="154">
        <v>0</v>
      </c>
      <c r="W906" s="154">
        <v>0</v>
      </c>
      <c r="X906" s="154">
        <v>0</v>
      </c>
      <c r="Y906" s="154">
        <v>0</v>
      </c>
      <c r="Z906" s="154">
        <v>0</v>
      </c>
      <c r="AA906" s="154">
        <v>0</v>
      </c>
      <c r="AB906" s="154">
        <v>0</v>
      </c>
      <c r="AC906" s="154">
        <v>0</v>
      </c>
      <c r="AD906" s="154">
        <v>0</v>
      </c>
      <c r="AE906" s="154">
        <v>0</v>
      </c>
      <c r="AF906" s="154">
        <v>0</v>
      </c>
      <c r="AG906" s="154">
        <v>0</v>
      </c>
      <c r="AH906" s="154">
        <v>0</v>
      </c>
      <c r="AI906" s="154">
        <v>0</v>
      </c>
      <c r="AJ906" s="154">
        <v>0</v>
      </c>
      <c r="AK906" s="154">
        <v>0</v>
      </c>
      <c r="AL906" s="154">
        <v>0</v>
      </c>
    </row>
    <row r="907" spans="1:41" hidden="1" x14ac:dyDescent="0.25">
      <c r="A907">
        <v>906</v>
      </c>
      <c r="B907">
        <v>2025</v>
      </c>
      <c r="C907">
        <v>9</v>
      </c>
      <c r="D907" t="s">
        <v>564</v>
      </c>
      <c r="E907">
        <v>46</v>
      </c>
      <c r="F907">
        <v>5</v>
      </c>
      <c r="G907" t="s">
        <v>535</v>
      </c>
      <c r="H907" s="154">
        <v>0.75</v>
      </c>
      <c r="I907" s="154">
        <v>0.75</v>
      </c>
      <c r="J907" s="154">
        <v>0.75</v>
      </c>
      <c r="K907" s="154">
        <v>0.75</v>
      </c>
      <c r="L907" s="154">
        <v>0.75</v>
      </c>
      <c r="M907" s="154">
        <v>0.75</v>
      </c>
      <c r="N907" s="154">
        <v>0</v>
      </c>
      <c r="O907" s="154">
        <v>0.75</v>
      </c>
      <c r="P907" s="154">
        <v>0.75</v>
      </c>
      <c r="Q907" s="154">
        <v>0</v>
      </c>
      <c r="R907" s="154">
        <v>0</v>
      </c>
      <c r="S907" s="154">
        <v>0</v>
      </c>
      <c r="T907" s="154">
        <v>0</v>
      </c>
      <c r="U907" s="154">
        <v>0</v>
      </c>
      <c r="V907" s="154">
        <v>0</v>
      </c>
      <c r="W907" s="154">
        <v>0</v>
      </c>
      <c r="X907" s="154">
        <v>0</v>
      </c>
      <c r="Y907" s="154">
        <v>0</v>
      </c>
      <c r="Z907" s="154">
        <v>0</v>
      </c>
      <c r="AA907" s="154">
        <v>0</v>
      </c>
      <c r="AB907" s="154">
        <v>0</v>
      </c>
      <c r="AC907" s="154">
        <v>0</v>
      </c>
      <c r="AD907" s="154">
        <v>0</v>
      </c>
      <c r="AE907" s="154">
        <v>0</v>
      </c>
      <c r="AF907" s="154">
        <v>0</v>
      </c>
      <c r="AG907" s="154">
        <v>0</v>
      </c>
      <c r="AH907" s="154">
        <v>0</v>
      </c>
      <c r="AI907" s="154">
        <v>0</v>
      </c>
      <c r="AJ907" s="154">
        <v>0</v>
      </c>
      <c r="AK907" s="154">
        <v>0</v>
      </c>
      <c r="AL907" s="154">
        <v>0</v>
      </c>
      <c r="AM907" cm="1">
        <f t="array" ref="AM907">SUM(_xlfn.LET(_xlpm.r,(H907:AL907&lt;H906:AL906)+H907:AL907-H906:AL906,IF(_xlpm.r&gt;10/24,1,0)))-AN907</f>
        <v>8</v>
      </c>
      <c r="AN907" cm="1">
        <f t="array" ref="AN907">SUM(_xlfn.LET(_xlpm.r,(H907:AL907&lt;H906:AL906)+H907:AL907-H906:AL906,IF(_xlpm.r&gt;22/24,1,0)))</f>
        <v>0</v>
      </c>
    </row>
    <row r="908" spans="1:41" hidden="1" x14ac:dyDescent="0.25">
      <c r="A908">
        <v>907</v>
      </c>
      <c r="B908">
        <v>2025</v>
      </c>
      <c r="C908">
        <v>9</v>
      </c>
      <c r="D908" t="s">
        <v>565</v>
      </c>
      <c r="E908">
        <v>46</v>
      </c>
      <c r="F908">
        <v>5</v>
      </c>
      <c r="G908" t="s">
        <v>534</v>
      </c>
      <c r="H908" s="154">
        <v>0.29166666666666669</v>
      </c>
      <c r="I908" s="154">
        <v>0.29166666666666669</v>
      </c>
      <c r="J908" s="154">
        <v>0.29166666666666669</v>
      </c>
      <c r="K908" s="154">
        <v>0.29166666666666669</v>
      </c>
      <c r="L908" s="154">
        <v>0.29166666666666669</v>
      </c>
      <c r="M908" s="154">
        <v>0.29166666666666669</v>
      </c>
      <c r="N908" s="154">
        <v>0</v>
      </c>
      <c r="O908" s="154">
        <v>0</v>
      </c>
      <c r="P908" s="154">
        <v>0</v>
      </c>
      <c r="Q908" s="154">
        <v>0</v>
      </c>
      <c r="R908" s="154">
        <v>0</v>
      </c>
      <c r="S908" s="154">
        <v>0</v>
      </c>
      <c r="T908" s="154">
        <v>0</v>
      </c>
      <c r="U908" s="154">
        <v>0</v>
      </c>
      <c r="V908" s="154">
        <v>0</v>
      </c>
      <c r="W908" s="154">
        <v>0</v>
      </c>
      <c r="X908" s="154">
        <v>0</v>
      </c>
      <c r="Y908" s="154">
        <v>0</v>
      </c>
      <c r="Z908" s="154">
        <v>0</v>
      </c>
      <c r="AA908" s="154">
        <v>0</v>
      </c>
      <c r="AB908" s="154">
        <v>0</v>
      </c>
      <c r="AC908" s="154">
        <v>0</v>
      </c>
      <c r="AD908" s="154">
        <v>0</v>
      </c>
      <c r="AE908" s="154">
        <v>0</v>
      </c>
      <c r="AF908" s="154">
        <v>0</v>
      </c>
      <c r="AG908" s="154">
        <v>0</v>
      </c>
      <c r="AH908" s="154">
        <v>0</v>
      </c>
      <c r="AI908" s="154">
        <v>0</v>
      </c>
      <c r="AJ908" s="154">
        <v>0</v>
      </c>
      <c r="AK908" s="154">
        <v>0</v>
      </c>
      <c r="AL908" s="154">
        <v>0</v>
      </c>
    </row>
    <row r="909" spans="1:41" hidden="1" x14ac:dyDescent="0.25">
      <c r="A909">
        <v>908</v>
      </c>
      <c r="B909">
        <v>2025</v>
      </c>
      <c r="C909">
        <v>9</v>
      </c>
      <c r="D909" t="s">
        <v>565</v>
      </c>
      <c r="E909">
        <v>46</v>
      </c>
      <c r="F909">
        <v>5</v>
      </c>
      <c r="G909" t="s">
        <v>535</v>
      </c>
      <c r="H909" s="154">
        <v>0.75</v>
      </c>
      <c r="I909" s="154">
        <v>0.75</v>
      </c>
      <c r="J909" s="154">
        <v>0.75</v>
      </c>
      <c r="K909" s="154">
        <v>0.75</v>
      </c>
      <c r="L909" s="154">
        <v>0.75</v>
      </c>
      <c r="M909" s="154">
        <v>0.75</v>
      </c>
      <c r="N909" s="154">
        <v>0</v>
      </c>
      <c r="O909" s="154">
        <v>0</v>
      </c>
      <c r="P909" s="154">
        <v>0</v>
      </c>
      <c r="Q909" s="154">
        <v>0</v>
      </c>
      <c r="R909" s="154">
        <v>0</v>
      </c>
      <c r="S909" s="154">
        <v>0</v>
      </c>
      <c r="T909" s="154">
        <v>0</v>
      </c>
      <c r="U909" s="154">
        <v>0</v>
      </c>
      <c r="V909" s="154">
        <v>0</v>
      </c>
      <c r="W909" s="154">
        <v>0</v>
      </c>
      <c r="X909" s="154">
        <v>0</v>
      </c>
      <c r="Y909" s="154">
        <v>0</v>
      </c>
      <c r="Z909" s="154">
        <v>0</v>
      </c>
      <c r="AA909" s="154">
        <v>0</v>
      </c>
      <c r="AB909" s="154">
        <v>0</v>
      </c>
      <c r="AC909" s="154">
        <v>0</v>
      </c>
      <c r="AD909" s="154">
        <v>0</v>
      </c>
      <c r="AE909" s="154">
        <v>0</v>
      </c>
      <c r="AF909" s="154">
        <v>0</v>
      </c>
      <c r="AG909" s="154">
        <v>0</v>
      </c>
      <c r="AH909" s="154">
        <v>0</v>
      </c>
      <c r="AI909" s="154">
        <v>0</v>
      </c>
      <c r="AJ909" s="154">
        <v>0</v>
      </c>
      <c r="AK909" s="154">
        <v>0</v>
      </c>
      <c r="AL909" s="154">
        <v>0</v>
      </c>
      <c r="AM909" cm="1">
        <f t="array" ref="AM909">SUM(_xlfn.LET(_xlpm.r,((IFERROR(H909:AL909-H908:AL908,0))*24)/10,IF(_xlpm.r&gt;1,1,_xlpm.r)))</f>
        <v>6</v>
      </c>
      <c r="AO909" cm="1">
        <f t="array" ref="AO909">SUM(IFERROR(MOD((H909:AL909-H908:AL908)*24,11),""))</f>
        <v>0</v>
      </c>
    </row>
    <row r="910" spans="1:41" hidden="1" x14ac:dyDescent="0.25">
      <c r="A910">
        <v>909</v>
      </c>
      <c r="B910">
        <v>2025</v>
      </c>
      <c r="C910">
        <v>10</v>
      </c>
      <c r="D910" t="s">
        <v>417</v>
      </c>
      <c r="E910">
        <v>46</v>
      </c>
      <c r="F910">
        <v>6</v>
      </c>
      <c r="G910" t="s">
        <v>534</v>
      </c>
      <c r="H910" s="154">
        <v>0.29166666666666669</v>
      </c>
      <c r="I910" s="154">
        <v>0.29166666666666669</v>
      </c>
      <c r="J910" s="154">
        <v>0.29166666666666669</v>
      </c>
      <c r="K910" s="154">
        <v>0.29166666666666669</v>
      </c>
      <c r="L910" s="154">
        <v>0.29166666666666669</v>
      </c>
      <c r="M910" s="154">
        <v>0.29166666666666669</v>
      </c>
      <c r="N910" s="154">
        <v>0.29166666666666669</v>
      </c>
      <c r="O910" s="154">
        <v>0.29166666666666669</v>
      </c>
      <c r="P910" s="154">
        <v>0.29166666666666669</v>
      </c>
      <c r="Q910" s="154">
        <v>0.29166666666666669</v>
      </c>
      <c r="R910" s="154">
        <v>0.29166666666666669</v>
      </c>
      <c r="S910" s="154">
        <v>0</v>
      </c>
      <c r="T910" s="154">
        <v>0.29166666666666669</v>
      </c>
      <c r="U910" s="154">
        <v>0.29166666666666669</v>
      </c>
      <c r="V910" s="154">
        <v>0.29166666666666669</v>
      </c>
      <c r="W910" s="154">
        <v>0.29166666666666669</v>
      </c>
      <c r="X910" s="154">
        <v>0.29166666666666669</v>
      </c>
      <c r="Y910" s="154">
        <v>0.29166666666666669</v>
      </c>
      <c r="Z910" s="154">
        <v>0.29166666666666669</v>
      </c>
      <c r="AA910" s="154">
        <v>0.29166666666666669</v>
      </c>
      <c r="AB910" s="154">
        <v>0.29166666666666669</v>
      </c>
      <c r="AC910" s="154">
        <v>0.29166666666666669</v>
      </c>
      <c r="AD910" s="154">
        <v>0.29166666666666669</v>
      </c>
      <c r="AE910" s="154">
        <v>0.29166666666666669</v>
      </c>
      <c r="AF910" s="154">
        <v>0.29166666666666669</v>
      </c>
      <c r="AG910" s="154">
        <v>0</v>
      </c>
      <c r="AH910" s="154">
        <v>0.29166666666666669</v>
      </c>
      <c r="AI910" s="154">
        <v>0.29166666666666669</v>
      </c>
      <c r="AJ910" s="154">
        <v>0.29166666666666669</v>
      </c>
      <c r="AK910" s="154">
        <v>0.29166666666666669</v>
      </c>
      <c r="AL910" s="154">
        <v>0.29166666666666669</v>
      </c>
    </row>
    <row r="911" spans="1:41" hidden="1" x14ac:dyDescent="0.25">
      <c r="A911">
        <v>910</v>
      </c>
      <c r="B911">
        <v>2025</v>
      </c>
      <c r="C911">
        <v>10</v>
      </c>
      <c r="D911" t="s">
        <v>417</v>
      </c>
      <c r="E911">
        <v>46</v>
      </c>
      <c r="F911">
        <v>6</v>
      </c>
      <c r="G911" t="s">
        <v>535</v>
      </c>
      <c r="H911" s="154">
        <v>0.25</v>
      </c>
      <c r="I911" s="154">
        <v>0.25</v>
      </c>
      <c r="J911" s="154">
        <v>0.25</v>
      </c>
      <c r="K911" s="154">
        <v>0.25</v>
      </c>
      <c r="L911" s="154">
        <v>0.25</v>
      </c>
      <c r="M911" s="154">
        <v>0.25</v>
      </c>
      <c r="N911" s="154">
        <v>0.25</v>
      </c>
      <c r="O911" s="154">
        <v>0.25</v>
      </c>
      <c r="P911" s="154">
        <v>0.25</v>
      </c>
      <c r="Q911" s="154">
        <v>0.25</v>
      </c>
      <c r="R911" s="154">
        <v>0.25</v>
      </c>
      <c r="S911" s="154">
        <v>0</v>
      </c>
      <c r="T911" s="154">
        <v>0.25</v>
      </c>
      <c r="U911" s="154">
        <v>0.25</v>
      </c>
      <c r="V911" s="154">
        <v>0.25</v>
      </c>
      <c r="W911" s="154">
        <v>0.25</v>
      </c>
      <c r="X911" s="154">
        <v>0.25</v>
      </c>
      <c r="Y911" s="154">
        <v>0.25</v>
      </c>
      <c r="Z911" s="154">
        <v>0.25</v>
      </c>
      <c r="AA911" s="154">
        <v>0.25</v>
      </c>
      <c r="AB911" s="154">
        <v>0.25</v>
      </c>
      <c r="AC911" s="154">
        <v>0.25</v>
      </c>
      <c r="AD911" s="154">
        <v>0.25</v>
      </c>
      <c r="AE911" s="154">
        <v>0.25</v>
      </c>
      <c r="AF911" s="154">
        <v>0.25</v>
      </c>
      <c r="AG911" s="154">
        <v>0</v>
      </c>
      <c r="AH911" s="154">
        <v>0.25</v>
      </c>
      <c r="AI911" s="154">
        <v>0.25</v>
      </c>
      <c r="AJ911" s="154">
        <v>0.25</v>
      </c>
      <c r="AK911" s="154">
        <v>0.25</v>
      </c>
      <c r="AL911" s="154">
        <v>0.25</v>
      </c>
      <c r="AM911" cm="1">
        <f t="array" ref="AM911">SUM(_xlfn.LET(_xlpm.r,(H911:AL911&lt;H910:AL910)+H911:AL911-H910:AL910,IF(_xlpm.r&gt;10/24,1,0)))-AN911</f>
        <v>0</v>
      </c>
      <c r="AN911" cm="1">
        <f t="array" ref="AN911">SUM(_xlfn.LET(_xlpm.r,(H911:AL911&lt;H910:AL910)+H911:AL911-H910:AL910,IF(_xlpm.r&gt;22/24,1,0)))</f>
        <v>29</v>
      </c>
    </row>
    <row r="912" spans="1:41" hidden="1" x14ac:dyDescent="0.25">
      <c r="A912">
        <v>911</v>
      </c>
      <c r="B912">
        <v>2025</v>
      </c>
      <c r="C912">
        <v>10</v>
      </c>
      <c r="D912" t="s">
        <v>418</v>
      </c>
      <c r="E912">
        <v>46</v>
      </c>
      <c r="F912">
        <v>6</v>
      </c>
      <c r="G912" t="s">
        <v>534</v>
      </c>
      <c r="H912" s="154">
        <v>0.29166666666666669</v>
      </c>
      <c r="I912" s="154">
        <v>0.29166666666666669</v>
      </c>
      <c r="J912" s="154">
        <v>0.29166666666666669</v>
      </c>
      <c r="K912" s="154">
        <v>0.29166666666666669</v>
      </c>
      <c r="L912" s="154">
        <v>0.29166666666666669</v>
      </c>
      <c r="M912" s="154">
        <v>0.29166666666666669</v>
      </c>
      <c r="N912" s="154">
        <v>0.29166666666666669</v>
      </c>
      <c r="O912" s="154">
        <v>0.29166666666666669</v>
      </c>
      <c r="P912" s="154">
        <v>0.29166666666666669</v>
      </c>
      <c r="Q912" s="154">
        <v>0.29166666666666669</v>
      </c>
      <c r="R912" s="154">
        <v>0.29166666666666669</v>
      </c>
      <c r="S912" s="154">
        <v>0.29166666666666669</v>
      </c>
      <c r="T912" s="154">
        <v>0.29166666666666669</v>
      </c>
      <c r="U912" s="154">
        <v>0.29166666666666669</v>
      </c>
      <c r="V912" s="154">
        <v>0.29166666666666669</v>
      </c>
      <c r="W912" s="154">
        <v>0.29166666666666669</v>
      </c>
      <c r="X912" s="154">
        <v>0.29166666666666669</v>
      </c>
      <c r="Y912" s="154">
        <v>0.29166666666666669</v>
      </c>
      <c r="Z912" s="154">
        <v>0.29166666666666669</v>
      </c>
      <c r="AA912" s="154">
        <v>0.29166666666666669</v>
      </c>
      <c r="AB912" s="154">
        <v>0.29166666666666669</v>
      </c>
      <c r="AC912" s="154">
        <v>0.29166666666666669</v>
      </c>
      <c r="AD912" s="154">
        <v>0.29166666666666669</v>
      </c>
      <c r="AE912" s="154">
        <v>0.29166666666666669</v>
      </c>
      <c r="AF912" s="154">
        <v>0.29166666666666669</v>
      </c>
      <c r="AG912" s="154">
        <v>0</v>
      </c>
      <c r="AH912" s="154">
        <v>0.29166666666666669</v>
      </c>
      <c r="AI912" s="154">
        <v>0.29166666666666669</v>
      </c>
      <c r="AJ912" s="154">
        <v>0.29166666666666669</v>
      </c>
      <c r="AK912" s="154">
        <v>0.29166666666666669</v>
      </c>
      <c r="AL912" s="154">
        <v>0.29166666666666669</v>
      </c>
    </row>
    <row r="913" spans="1:41" hidden="1" x14ac:dyDescent="0.25">
      <c r="A913">
        <v>912</v>
      </c>
      <c r="B913">
        <v>2025</v>
      </c>
      <c r="C913">
        <v>10</v>
      </c>
      <c r="D913" t="s">
        <v>418</v>
      </c>
      <c r="E913">
        <v>46</v>
      </c>
      <c r="F913">
        <v>6</v>
      </c>
      <c r="G913" t="s">
        <v>535</v>
      </c>
      <c r="H913" s="154">
        <v>0.75</v>
      </c>
      <c r="I913" s="154">
        <v>0.25</v>
      </c>
      <c r="J913" s="154">
        <v>0.25</v>
      </c>
      <c r="K913" s="154">
        <v>0.25</v>
      </c>
      <c r="L913" s="154">
        <v>0.25</v>
      </c>
      <c r="M913" s="154">
        <v>0.25</v>
      </c>
      <c r="N913" s="154">
        <v>0.25</v>
      </c>
      <c r="O913" s="154">
        <v>0.25</v>
      </c>
      <c r="P913" s="154">
        <v>0.25</v>
      </c>
      <c r="Q913" s="154">
        <v>0.25</v>
      </c>
      <c r="R913" s="154">
        <v>0.25</v>
      </c>
      <c r="S913" s="154">
        <v>0.25</v>
      </c>
      <c r="T913" s="154">
        <v>0.75</v>
      </c>
      <c r="U913" s="154">
        <v>0.75</v>
      </c>
      <c r="V913" s="154">
        <v>0.75</v>
      </c>
      <c r="W913" s="154">
        <v>0.75</v>
      </c>
      <c r="X913" s="154">
        <v>0.75</v>
      </c>
      <c r="Y913" s="154">
        <v>0.75</v>
      </c>
      <c r="Z913" s="154">
        <v>0.75</v>
      </c>
      <c r="AA913" s="154">
        <v>0.75</v>
      </c>
      <c r="AB913" s="154">
        <v>0.75</v>
      </c>
      <c r="AC913" s="154">
        <v>0.75</v>
      </c>
      <c r="AD913" s="154">
        <v>0.75</v>
      </c>
      <c r="AE913" s="154">
        <v>0.75</v>
      </c>
      <c r="AF913" s="154">
        <v>0.75</v>
      </c>
      <c r="AG913" s="154">
        <v>0</v>
      </c>
      <c r="AH913" s="154">
        <v>0.75</v>
      </c>
      <c r="AI913" s="154">
        <v>0.75</v>
      </c>
      <c r="AJ913" s="154">
        <v>0.75</v>
      </c>
      <c r="AK913" s="154">
        <v>0.75</v>
      </c>
      <c r="AL913" s="154">
        <v>0.75</v>
      </c>
      <c r="AM913" cm="1">
        <f t="array" ref="AM913">SUM(_xlfn.LET(_xlpm.r,(H913:AL913&lt;H912:AL912)+H913:AL913-H912:AL912,IF(_xlpm.r&gt;10/24,1,0)))-AN913</f>
        <v>19</v>
      </c>
      <c r="AN913" cm="1">
        <f t="array" ref="AN913">SUM(_xlfn.LET(_xlpm.r,(H913:AL913&lt;H912:AL912)+H913:AL913-H912:AL912,IF(_xlpm.r&gt;22/24,1,0)))</f>
        <v>11</v>
      </c>
    </row>
    <row r="914" spans="1:41" hidden="1" x14ac:dyDescent="0.25">
      <c r="A914">
        <v>913</v>
      </c>
      <c r="B914">
        <v>2025</v>
      </c>
      <c r="C914">
        <v>10</v>
      </c>
      <c r="D914" t="s">
        <v>564</v>
      </c>
      <c r="E914">
        <v>46</v>
      </c>
      <c r="F914">
        <v>6</v>
      </c>
      <c r="G914" t="s">
        <v>534</v>
      </c>
      <c r="H914" s="154">
        <v>0.29166666666666669</v>
      </c>
      <c r="I914" s="154">
        <v>0.29166666666666669</v>
      </c>
      <c r="J914" s="154">
        <v>0.29166666666666669</v>
      </c>
      <c r="K914" s="154">
        <v>0.29166666666666669</v>
      </c>
      <c r="L914" s="154">
        <v>0.29166666666666669</v>
      </c>
      <c r="M914" s="154">
        <v>0.29166666666666669</v>
      </c>
      <c r="N914" s="154">
        <v>0.29166666666666669</v>
      </c>
      <c r="O914" s="154">
        <v>0.29166666666666669</v>
      </c>
      <c r="P914" s="154">
        <v>0.29166666666666669</v>
      </c>
      <c r="Q914" s="154">
        <v>0.29166666666666669</v>
      </c>
      <c r="R914" s="154">
        <v>0.29166666666666669</v>
      </c>
      <c r="S914" s="154">
        <v>0</v>
      </c>
      <c r="T914" s="154">
        <v>0.29166666666666669</v>
      </c>
      <c r="U914" s="154">
        <v>0.29166666666666669</v>
      </c>
      <c r="V914" s="154">
        <v>0.29166666666666669</v>
      </c>
      <c r="W914" s="154">
        <v>0.29166666666666669</v>
      </c>
      <c r="X914" s="154">
        <v>0.29166666666666669</v>
      </c>
      <c r="Y914" s="154">
        <v>0.29166666666666669</v>
      </c>
      <c r="Z914" s="154">
        <v>0.29166666666666669</v>
      </c>
      <c r="AA914" s="154">
        <v>0.29166666666666669</v>
      </c>
      <c r="AB914" s="154">
        <v>0.29166666666666669</v>
      </c>
      <c r="AC914" s="154">
        <v>0.29166666666666669</v>
      </c>
      <c r="AD914" s="154">
        <v>0.29166666666666669</v>
      </c>
      <c r="AE914" s="154">
        <v>0.29166666666666669</v>
      </c>
      <c r="AF914" s="154">
        <v>0.29166666666666669</v>
      </c>
      <c r="AG914" s="154">
        <v>0</v>
      </c>
      <c r="AH914" s="154">
        <v>0.29166666666666669</v>
      </c>
      <c r="AI914" s="154">
        <v>0.29166666666666669</v>
      </c>
      <c r="AJ914" s="154">
        <v>0.29166666666666669</v>
      </c>
      <c r="AK914" s="154">
        <v>0.29166666666666669</v>
      </c>
      <c r="AL914" s="154">
        <v>0.29166666666666669</v>
      </c>
    </row>
    <row r="915" spans="1:41" hidden="1" x14ac:dyDescent="0.25">
      <c r="A915">
        <v>914</v>
      </c>
      <c r="B915">
        <v>2025</v>
      </c>
      <c r="C915">
        <v>10</v>
      </c>
      <c r="D915" t="s">
        <v>564</v>
      </c>
      <c r="E915">
        <v>46</v>
      </c>
      <c r="F915">
        <v>6</v>
      </c>
      <c r="G915" t="s">
        <v>535</v>
      </c>
      <c r="H915" s="154">
        <v>0.75</v>
      </c>
      <c r="I915" s="154">
        <v>0.25</v>
      </c>
      <c r="J915" s="154">
        <v>0.25</v>
      </c>
      <c r="K915" s="154">
        <v>0.25</v>
      </c>
      <c r="L915" s="154">
        <v>0.25</v>
      </c>
      <c r="M915" s="154">
        <v>0.25</v>
      </c>
      <c r="N915" s="154">
        <v>0.25</v>
      </c>
      <c r="O915" s="154">
        <v>0.25</v>
      </c>
      <c r="P915" s="154">
        <v>0.25</v>
      </c>
      <c r="Q915" s="154">
        <v>0.25</v>
      </c>
      <c r="R915" s="154">
        <v>0.25</v>
      </c>
      <c r="S915" s="154">
        <v>0</v>
      </c>
      <c r="T915" s="154">
        <v>0.25</v>
      </c>
      <c r="U915" s="154">
        <v>0.25</v>
      </c>
      <c r="V915" s="154">
        <v>0.25</v>
      </c>
      <c r="W915" s="154">
        <v>0.25</v>
      </c>
      <c r="X915" s="154">
        <v>0.25</v>
      </c>
      <c r="Y915" s="154">
        <v>0.25</v>
      </c>
      <c r="Z915" s="154">
        <v>0.25</v>
      </c>
      <c r="AA915" s="154">
        <v>0.25</v>
      </c>
      <c r="AB915" s="154">
        <v>0.25</v>
      </c>
      <c r="AC915" s="154">
        <v>0.25</v>
      </c>
      <c r="AD915" s="154">
        <v>0.25</v>
      </c>
      <c r="AE915" s="154">
        <v>0.25</v>
      </c>
      <c r="AF915" s="154">
        <v>0.25</v>
      </c>
      <c r="AG915" s="154">
        <v>0</v>
      </c>
      <c r="AH915" s="154">
        <v>0.25</v>
      </c>
      <c r="AI915" s="154">
        <v>0.25</v>
      </c>
      <c r="AJ915" s="154">
        <v>0.25</v>
      </c>
      <c r="AK915" s="154">
        <v>0.25</v>
      </c>
      <c r="AL915" s="154">
        <v>0.25</v>
      </c>
      <c r="AM915" cm="1">
        <f t="array" ref="AM915">SUM(_xlfn.LET(_xlpm.r,(H915:AL915&lt;H914:AL914)+H915:AL915-H914:AL914,IF(_xlpm.r&gt;10/24,1,0)))-AN915</f>
        <v>1</v>
      </c>
      <c r="AN915" cm="1">
        <f t="array" ref="AN915">SUM(_xlfn.LET(_xlpm.r,(H915:AL915&lt;H914:AL914)+H915:AL915-H914:AL914,IF(_xlpm.r&gt;22/24,1,0)))</f>
        <v>28</v>
      </c>
    </row>
    <row r="916" spans="1:41" hidden="1" x14ac:dyDescent="0.25">
      <c r="A916">
        <v>915</v>
      </c>
      <c r="B916">
        <v>2025</v>
      </c>
      <c r="C916">
        <v>11</v>
      </c>
      <c r="D916" t="s">
        <v>417</v>
      </c>
      <c r="E916">
        <v>46</v>
      </c>
      <c r="F916">
        <v>7</v>
      </c>
      <c r="G916" t="s">
        <v>534</v>
      </c>
      <c r="H916" s="154">
        <v>0.29166666666666669</v>
      </c>
      <c r="I916" s="154">
        <v>0.29166666666666669</v>
      </c>
      <c r="J916" s="154">
        <v>0.29166666666666669</v>
      </c>
      <c r="K916" s="154">
        <v>0.29166666666666669</v>
      </c>
      <c r="L916" s="154">
        <v>0.29166666666666669</v>
      </c>
      <c r="M916" s="154">
        <v>0.29166666666666669</v>
      </c>
      <c r="N916" s="154">
        <v>0.29166666666666669</v>
      </c>
      <c r="O916" s="154">
        <v>0.29166666666666669</v>
      </c>
      <c r="P916" s="154">
        <v>0</v>
      </c>
      <c r="Q916" s="154">
        <v>0.29166666666666669</v>
      </c>
      <c r="R916" s="154">
        <v>0.29166666666666669</v>
      </c>
      <c r="S916" s="154">
        <v>0.29166666666666669</v>
      </c>
      <c r="T916" s="154">
        <v>0.29166666666666669</v>
      </c>
      <c r="U916" s="154">
        <v>0.29166666666666669</v>
      </c>
      <c r="V916" s="154">
        <v>0.29166666666666669</v>
      </c>
      <c r="W916" s="154">
        <v>0.29166666666666669</v>
      </c>
      <c r="X916" s="154">
        <v>0.29166666666666669</v>
      </c>
      <c r="Y916" s="154">
        <v>0.29166666666666669</v>
      </c>
      <c r="Z916" s="154">
        <v>0.29166666666666669</v>
      </c>
      <c r="AA916" s="154">
        <v>0.29166666666666669</v>
      </c>
      <c r="AB916" s="154">
        <v>0.29166666666666669</v>
      </c>
      <c r="AC916" s="154">
        <v>0.29166666666666669</v>
      </c>
      <c r="AD916" s="154">
        <v>0</v>
      </c>
      <c r="AE916" s="154">
        <v>0.29166666666666669</v>
      </c>
      <c r="AF916" s="154">
        <v>0.29166666666666669</v>
      </c>
      <c r="AG916" s="154">
        <v>0.29166666666666669</v>
      </c>
      <c r="AH916" s="154">
        <v>0.29166666666666669</v>
      </c>
      <c r="AI916" s="154">
        <v>0.29166666666666669</v>
      </c>
      <c r="AJ916" s="154">
        <v>0.29166666666666669</v>
      </c>
      <c r="AK916" s="154">
        <v>0.29166666666666669</v>
      </c>
      <c r="AL916" s="154">
        <v>0</v>
      </c>
    </row>
    <row r="917" spans="1:41" hidden="1" x14ac:dyDescent="0.25">
      <c r="A917">
        <v>916</v>
      </c>
      <c r="B917">
        <v>2025</v>
      </c>
      <c r="C917">
        <v>11</v>
      </c>
      <c r="D917" t="s">
        <v>417</v>
      </c>
      <c r="E917">
        <v>46</v>
      </c>
      <c r="F917">
        <v>7</v>
      </c>
      <c r="G917" t="s">
        <v>535</v>
      </c>
      <c r="H917" s="154">
        <v>0.75</v>
      </c>
      <c r="I917" s="154">
        <v>0.75</v>
      </c>
      <c r="J917" s="154">
        <v>0.75</v>
      </c>
      <c r="K917" s="154">
        <v>0.75</v>
      </c>
      <c r="L917" s="154">
        <v>0.75</v>
      </c>
      <c r="M917" s="154">
        <v>0.75</v>
      </c>
      <c r="N917" s="154">
        <v>0.75</v>
      </c>
      <c r="O917" s="154">
        <v>0.75</v>
      </c>
      <c r="P917" s="154">
        <v>0</v>
      </c>
      <c r="Q917" s="154">
        <v>0.75</v>
      </c>
      <c r="R917" s="154">
        <v>0.75</v>
      </c>
      <c r="S917" s="154">
        <v>0.75</v>
      </c>
      <c r="T917" s="154">
        <v>0.75</v>
      </c>
      <c r="U917" s="154">
        <v>0.75</v>
      </c>
      <c r="V917" s="154">
        <v>0.75</v>
      </c>
      <c r="W917" s="154">
        <v>0.75</v>
      </c>
      <c r="X917" s="154">
        <v>0.75</v>
      </c>
      <c r="Y917" s="154">
        <v>0.75</v>
      </c>
      <c r="Z917" s="154">
        <v>0.75</v>
      </c>
      <c r="AA917" s="154">
        <v>0.75</v>
      </c>
      <c r="AB917" s="154">
        <v>0.75</v>
      </c>
      <c r="AC917" s="154">
        <v>0.75</v>
      </c>
      <c r="AD917" s="154">
        <v>0</v>
      </c>
      <c r="AE917" s="154">
        <v>0.75</v>
      </c>
      <c r="AF917" s="154">
        <v>0.75</v>
      </c>
      <c r="AG917" s="154">
        <v>0.75</v>
      </c>
      <c r="AH917" s="154">
        <v>0.75</v>
      </c>
      <c r="AI917" s="154">
        <v>0.75</v>
      </c>
      <c r="AJ917" s="154">
        <v>0.75</v>
      </c>
      <c r="AK917" s="154">
        <v>0.75</v>
      </c>
      <c r="AL917" s="154">
        <v>0</v>
      </c>
      <c r="AM917" cm="1">
        <f t="array" ref="AM917">SUM(_xlfn.LET(_xlpm.r,((IFERROR(H917:AL917-H916:AL916,0))*24)/10,IF(_xlpm.r&gt;1,1,_xlpm.r)))</f>
        <v>28</v>
      </c>
      <c r="AO917" cm="1">
        <f t="array" ref="AO917">SUM(IFERROR(MOD((H917:AL917-H916:AL916)*24,11),""))</f>
        <v>0</v>
      </c>
    </row>
    <row r="918" spans="1:41" hidden="1" x14ac:dyDescent="0.25">
      <c r="A918">
        <v>917</v>
      </c>
      <c r="B918">
        <v>2025</v>
      </c>
      <c r="C918">
        <v>11</v>
      </c>
      <c r="D918" t="s">
        <v>564</v>
      </c>
      <c r="E918">
        <v>46</v>
      </c>
      <c r="F918">
        <v>7</v>
      </c>
      <c r="G918" t="s">
        <v>534</v>
      </c>
      <c r="H918" s="154">
        <v>0.29166666666666669</v>
      </c>
      <c r="I918" s="154">
        <v>0.29166666666666669</v>
      </c>
      <c r="J918" s="154">
        <v>0.29166666666666669</v>
      </c>
      <c r="K918" s="154">
        <v>0.29166666666666669</v>
      </c>
      <c r="L918" s="154">
        <v>0.29166666666666669</v>
      </c>
      <c r="M918" s="154">
        <v>0.29166666666666669</v>
      </c>
      <c r="N918" s="154">
        <v>0.29166666666666669</v>
      </c>
      <c r="O918" s="154">
        <v>0.29166666666666669</v>
      </c>
      <c r="P918" s="154">
        <v>0</v>
      </c>
      <c r="Q918" s="154">
        <v>0.29166666666666669</v>
      </c>
      <c r="R918" s="154">
        <v>0.29166666666666669</v>
      </c>
      <c r="S918" s="154">
        <v>0.29166666666666669</v>
      </c>
      <c r="T918" s="154">
        <v>0.29166666666666669</v>
      </c>
      <c r="U918" s="154">
        <v>0.29166666666666669</v>
      </c>
      <c r="V918" s="154">
        <v>0.29166666666666669</v>
      </c>
      <c r="W918" s="154">
        <v>0.29166666666666669</v>
      </c>
      <c r="X918" s="154">
        <v>0.29166666666666669</v>
      </c>
      <c r="Y918" s="154">
        <v>0.29166666666666669</v>
      </c>
      <c r="Z918" s="154">
        <v>0.29166666666666669</v>
      </c>
      <c r="AA918" s="154">
        <v>0.29166666666666669</v>
      </c>
      <c r="AB918" s="154">
        <v>0</v>
      </c>
      <c r="AC918" s="154">
        <v>0</v>
      </c>
      <c r="AD918" s="154">
        <v>0</v>
      </c>
      <c r="AE918" s="154">
        <v>0</v>
      </c>
      <c r="AF918" s="154">
        <v>0</v>
      </c>
      <c r="AG918" s="154">
        <v>0</v>
      </c>
      <c r="AH918" s="154">
        <v>0</v>
      </c>
      <c r="AI918" s="154">
        <v>0</v>
      </c>
      <c r="AJ918" s="154">
        <v>0</v>
      </c>
      <c r="AK918" s="154">
        <v>0</v>
      </c>
      <c r="AL918" s="154">
        <v>0</v>
      </c>
    </row>
    <row r="919" spans="1:41" hidden="1" x14ac:dyDescent="0.25">
      <c r="A919">
        <v>918</v>
      </c>
      <c r="B919">
        <v>2025</v>
      </c>
      <c r="C919">
        <v>11</v>
      </c>
      <c r="D919" t="s">
        <v>564</v>
      </c>
      <c r="E919">
        <v>46</v>
      </c>
      <c r="F919">
        <v>7</v>
      </c>
      <c r="G919" t="s">
        <v>535</v>
      </c>
      <c r="H919" s="154">
        <v>0.75</v>
      </c>
      <c r="I919" s="154">
        <v>0.75</v>
      </c>
      <c r="J919" s="154">
        <v>0.75</v>
      </c>
      <c r="K919" s="154">
        <v>0.75</v>
      </c>
      <c r="L919" s="154">
        <v>0.75</v>
      </c>
      <c r="M919" s="154">
        <v>0.75</v>
      </c>
      <c r="N919" s="154">
        <v>0.75</v>
      </c>
      <c r="O919" s="154">
        <v>0.75</v>
      </c>
      <c r="P919" s="154">
        <v>0</v>
      </c>
      <c r="Q919" s="154">
        <v>0.75</v>
      </c>
      <c r="R919" s="154">
        <v>0.75</v>
      </c>
      <c r="S919" s="154">
        <v>0.75</v>
      </c>
      <c r="T919" s="154">
        <v>0.75</v>
      </c>
      <c r="U919" s="154">
        <v>0.75</v>
      </c>
      <c r="V919" s="154">
        <v>0.75</v>
      </c>
      <c r="W919" s="154">
        <v>0.75</v>
      </c>
      <c r="X919" s="154">
        <v>0.75</v>
      </c>
      <c r="Y919" s="154">
        <v>0.75</v>
      </c>
      <c r="Z919" s="154">
        <v>0.75</v>
      </c>
      <c r="AA919" s="154">
        <v>0.75</v>
      </c>
      <c r="AB919" s="154">
        <v>0</v>
      </c>
      <c r="AC919" s="154">
        <v>0</v>
      </c>
      <c r="AD919" s="154">
        <v>0</v>
      </c>
      <c r="AE919" s="154">
        <v>0</v>
      </c>
      <c r="AF919" s="154">
        <v>0</v>
      </c>
      <c r="AG919" s="154">
        <v>0</v>
      </c>
      <c r="AH919" s="154">
        <v>0</v>
      </c>
      <c r="AI919" s="154">
        <v>0</v>
      </c>
      <c r="AJ919" s="154">
        <v>0</v>
      </c>
      <c r="AK919" s="154">
        <v>0</v>
      </c>
      <c r="AL919" s="154">
        <v>0</v>
      </c>
      <c r="AM919" cm="1">
        <f t="array" ref="AM919">SUM(_xlfn.LET(_xlpm.r,((IFERROR(H919:AL919-H918:AL918,0))*24)/10,IF(_xlpm.r&gt;1,1,_xlpm.r)))</f>
        <v>19</v>
      </c>
      <c r="AO919" cm="1">
        <f t="array" ref="AO919">SUM(IFERROR(MOD((H919:AL919-H918:AL918)*24,11),""))</f>
        <v>0</v>
      </c>
    </row>
    <row r="920" spans="1:41" x14ac:dyDescent="0.25">
      <c r="A920">
        <v>919</v>
      </c>
      <c r="B920">
        <v>2025</v>
      </c>
      <c r="C920">
        <v>6</v>
      </c>
      <c r="D920" t="s">
        <v>567</v>
      </c>
      <c r="E920">
        <v>50</v>
      </c>
      <c r="F920">
        <v>1</v>
      </c>
      <c r="G920" t="s">
        <v>534</v>
      </c>
      <c r="J920" s="154">
        <v>0.29166666666666669</v>
      </c>
      <c r="K920" s="154">
        <v>0.29166666666666669</v>
      </c>
      <c r="L920" s="154">
        <v>0.29166666666666669</v>
      </c>
      <c r="O920" s="154">
        <v>0.29166666666666669</v>
      </c>
      <c r="P920" s="154">
        <v>0.29166666666666669</v>
      </c>
      <c r="Q920" s="154">
        <v>0.29166666666666669</v>
      </c>
      <c r="R920" s="154">
        <v>0.29166666666666669</v>
      </c>
      <c r="S920" s="154">
        <v>0.29166666666666669</v>
      </c>
      <c r="T920" s="154">
        <v>0.29166666666666669</v>
      </c>
      <c r="U920" s="154">
        <v>0.29166666666666669</v>
      </c>
      <c r="V920" s="154">
        <v>0.29166666666666669</v>
      </c>
      <c r="W920" s="154">
        <v>0.29166666666666669</v>
      </c>
      <c r="X920" s="154">
        <v>0.29166666666666669</v>
      </c>
      <c r="Y920" s="154">
        <v>0.29166666666666669</v>
      </c>
      <c r="Z920" s="154">
        <v>0.29166666666666669</v>
      </c>
      <c r="AA920" s="154">
        <v>0.29166666666666669</v>
      </c>
      <c r="AB920" s="154">
        <v>0.29166666666666669</v>
      </c>
      <c r="AD920" s="154">
        <v>0.29166666666666669</v>
      </c>
      <c r="AE920" s="154">
        <v>0.29166666666666669</v>
      </c>
      <c r="AF920" s="154">
        <v>0.29166666666666669</v>
      </c>
      <c r="AG920" s="154">
        <v>0.29166666666666669</v>
      </c>
      <c r="AH920" s="154">
        <v>0.29166666666666669</v>
      </c>
      <c r="AI920" s="154">
        <v>0.29166666666666669</v>
      </c>
      <c r="AJ920" s="154">
        <v>0.29166666666666669</v>
      </c>
      <c r="AK920" s="154">
        <v>0.29166666666666669</v>
      </c>
    </row>
    <row r="921" spans="1:41" x14ac:dyDescent="0.25">
      <c r="A921">
        <v>920</v>
      </c>
      <c r="B921">
        <v>2025</v>
      </c>
      <c r="C921">
        <v>6</v>
      </c>
      <c r="D921" t="s">
        <v>567</v>
      </c>
      <c r="E921">
        <v>50</v>
      </c>
      <c r="F921">
        <v>1</v>
      </c>
      <c r="G921" t="s">
        <v>535</v>
      </c>
      <c r="J921" s="154">
        <v>0.75</v>
      </c>
      <c r="K921" s="154">
        <v>0.75</v>
      </c>
      <c r="L921" s="154">
        <v>0.75</v>
      </c>
      <c r="O921" s="154">
        <v>0.75</v>
      </c>
      <c r="P921" s="154">
        <v>0.75</v>
      </c>
      <c r="Q921" s="154">
        <v>0.75</v>
      </c>
      <c r="R921" s="154">
        <v>0.5</v>
      </c>
      <c r="S921" s="154">
        <v>0.75</v>
      </c>
      <c r="T921" s="154">
        <v>0.75</v>
      </c>
      <c r="U921" s="154">
        <v>0.75</v>
      </c>
      <c r="V921" s="154">
        <v>0.75</v>
      </c>
      <c r="W921" s="154">
        <v>0.75</v>
      </c>
      <c r="X921" s="154">
        <v>0.75</v>
      </c>
      <c r="Y921" s="154">
        <v>0.75</v>
      </c>
      <c r="Z921" s="154">
        <v>0.75</v>
      </c>
      <c r="AA921" s="154">
        <v>0.75</v>
      </c>
      <c r="AB921" s="154">
        <v>0.75</v>
      </c>
      <c r="AD921" s="154">
        <v>0.75</v>
      </c>
      <c r="AE921" s="154">
        <v>0.75</v>
      </c>
      <c r="AF921" s="154">
        <v>0.75</v>
      </c>
      <c r="AG921" s="154">
        <v>0.75</v>
      </c>
      <c r="AH921" s="154">
        <v>0.75</v>
      </c>
      <c r="AI921" s="154">
        <v>0.75</v>
      </c>
      <c r="AJ921" s="154">
        <v>0.75</v>
      </c>
      <c r="AK921" s="154">
        <v>0.75</v>
      </c>
      <c r="AM921" cm="1">
        <f t="array" ref="AM921">SUM(_xlfn.LET(_xlpm.r,((IFERROR(H921:AL921-H920:AL920,0))*24)/10,IF(_xlpm.r&gt;1,1,_xlpm.r)))</f>
        <v>24.5</v>
      </c>
      <c r="AO921">
        <v>0</v>
      </c>
    </row>
    <row r="922" spans="1:41" x14ac:dyDescent="0.25">
      <c r="A922">
        <v>921</v>
      </c>
      <c r="B922">
        <v>2025</v>
      </c>
      <c r="C922">
        <v>7</v>
      </c>
      <c r="D922" t="s">
        <v>567</v>
      </c>
      <c r="E922">
        <v>50</v>
      </c>
      <c r="F922">
        <v>2</v>
      </c>
      <c r="G922" t="s">
        <v>534</v>
      </c>
      <c r="H922" s="154">
        <v>0.29166666666666669</v>
      </c>
      <c r="I922" s="154">
        <v>0.29166666666666669</v>
      </c>
      <c r="J922" s="154">
        <v>0.29166666666666669</v>
      </c>
      <c r="K922" s="154">
        <v>0.29166666666666669</v>
      </c>
      <c r="L922" s="154">
        <v>0.29166666666666669</v>
      </c>
      <c r="N922" s="154">
        <v>0.29166666666666669</v>
      </c>
      <c r="O922" s="154">
        <v>0.29166666666666669</v>
      </c>
      <c r="P922" s="154">
        <v>0.29166666666666669</v>
      </c>
      <c r="Q922" s="154">
        <v>0.29166666666666669</v>
      </c>
      <c r="R922" s="154">
        <v>0.29166666666666669</v>
      </c>
      <c r="S922" s="154">
        <v>0.29166666666666669</v>
      </c>
      <c r="T922" s="154">
        <v>0.29166666666666669</v>
      </c>
      <c r="U922" s="154">
        <v>0.29166666666666669</v>
      </c>
      <c r="V922" s="154">
        <v>0.29166666666666669</v>
      </c>
      <c r="W922" s="154">
        <v>0.29166666666666669</v>
      </c>
      <c r="X922" s="154">
        <v>0.29166666666666669</v>
      </c>
      <c r="Y922" s="154">
        <v>0.29166666666666669</v>
      </c>
      <c r="Z922" s="154">
        <v>0.29166666666666669</v>
      </c>
      <c r="AA922" s="154">
        <v>0.29166666666666669</v>
      </c>
      <c r="AB922" s="154">
        <v>0.29166666666666669</v>
      </c>
      <c r="AC922" s="154">
        <v>0.29166666666666669</v>
      </c>
      <c r="AD922" s="154">
        <v>0.29166666666666669</v>
      </c>
      <c r="AE922" s="154">
        <v>0.29166666666666669</v>
      </c>
      <c r="AF922" s="154">
        <v>0.29166666666666669</v>
      </c>
      <c r="AG922" s="154">
        <v>0.29166666666666669</v>
      </c>
      <c r="AI922" s="154">
        <v>0.29166666666666669</v>
      </c>
      <c r="AJ922" s="154">
        <v>0.29166666666666669</v>
      </c>
      <c r="AK922" s="154">
        <v>0.29166666666666669</v>
      </c>
      <c r="AL922" s="154">
        <v>0.29166666666666669</v>
      </c>
    </row>
    <row r="923" spans="1:41" x14ac:dyDescent="0.25">
      <c r="A923">
        <v>922</v>
      </c>
      <c r="B923">
        <v>2025</v>
      </c>
      <c r="C923">
        <v>7</v>
      </c>
      <c r="D923" t="s">
        <v>567</v>
      </c>
      <c r="E923">
        <v>50</v>
      </c>
      <c r="F923">
        <v>2</v>
      </c>
      <c r="G923" t="s">
        <v>535</v>
      </c>
      <c r="H923" s="154">
        <v>0.75</v>
      </c>
      <c r="I923" s="154">
        <v>0.75</v>
      </c>
      <c r="J923" s="154">
        <v>0.75</v>
      </c>
      <c r="K923" s="154">
        <v>0.75</v>
      </c>
      <c r="L923" s="154">
        <v>0.75</v>
      </c>
      <c r="N923" s="154">
        <v>0.75</v>
      </c>
      <c r="O923" s="154">
        <v>0.75</v>
      </c>
      <c r="P923" s="154">
        <v>0.75</v>
      </c>
      <c r="Q923" s="154">
        <v>0.75</v>
      </c>
      <c r="R923" s="154">
        <v>0.75</v>
      </c>
      <c r="S923" s="154">
        <v>0.75</v>
      </c>
      <c r="T923" s="154">
        <v>0.75</v>
      </c>
      <c r="U923" s="154">
        <v>0.75</v>
      </c>
      <c r="V923" s="154">
        <v>0.75</v>
      </c>
      <c r="W923" s="154">
        <v>0.75</v>
      </c>
      <c r="X923" s="154">
        <v>0.75</v>
      </c>
      <c r="Y923" s="154">
        <v>0.75</v>
      </c>
      <c r="Z923" s="154">
        <v>0.75</v>
      </c>
      <c r="AA923" s="154">
        <v>0.75</v>
      </c>
      <c r="AB923" s="154">
        <v>0.75</v>
      </c>
      <c r="AC923" s="154">
        <v>0.75</v>
      </c>
      <c r="AD923" s="154">
        <v>0.75</v>
      </c>
      <c r="AE923" s="154">
        <v>0.75</v>
      </c>
      <c r="AF923" s="154">
        <v>0.75</v>
      </c>
      <c r="AG923" s="154">
        <v>0.75</v>
      </c>
      <c r="AI923" s="154">
        <v>0.75</v>
      </c>
      <c r="AJ923" s="154">
        <v>0.75</v>
      </c>
      <c r="AK923" s="154">
        <v>0.75</v>
      </c>
      <c r="AL923" s="154">
        <v>0.75</v>
      </c>
      <c r="AM923" cm="1">
        <f t="array" ref="AM923">SUM(_xlfn.LET(_xlpm.r,((IFERROR(H923:AL923-H922:AL922,0))*24)/10,IF(_xlpm.r&gt;1,1,_xlpm.r)))</f>
        <v>29</v>
      </c>
      <c r="AO923" cm="1">
        <f t="array" ref="AO923">SUM(IFERROR(MOD((H923:AL923-H922:AL922)*24,11),""))</f>
        <v>0</v>
      </c>
    </row>
    <row r="924" spans="1:41" x14ac:dyDescent="0.25">
      <c r="A924">
        <v>923</v>
      </c>
      <c r="B924">
        <v>2025</v>
      </c>
      <c r="C924">
        <v>8</v>
      </c>
      <c r="D924" t="s">
        <v>567</v>
      </c>
      <c r="E924">
        <v>50</v>
      </c>
      <c r="F924">
        <v>3</v>
      </c>
      <c r="G924" t="s">
        <v>534</v>
      </c>
      <c r="H924" s="154">
        <v>0.29166666666666669</v>
      </c>
      <c r="I924" s="154">
        <v>0.29166666666666669</v>
      </c>
      <c r="J924" s="154">
        <v>0.29166666666666669</v>
      </c>
      <c r="K924" s="154">
        <v>0.29166666666666669</v>
      </c>
      <c r="L924" s="154">
        <v>0.29166666666666669</v>
      </c>
      <c r="M924" s="154">
        <v>0.29166666666666669</v>
      </c>
      <c r="N924" s="154">
        <v>0.29166666666666669</v>
      </c>
      <c r="O924" s="154">
        <v>0.29166666666666669</v>
      </c>
      <c r="P924" s="154">
        <v>0.29166666666666669</v>
      </c>
      <c r="Q924" s="154">
        <v>0.29166666666666669</v>
      </c>
      <c r="R924" s="154">
        <v>0.29166666666666669</v>
      </c>
      <c r="S924" s="154">
        <v>0.29166666666666669</v>
      </c>
      <c r="T924" s="154">
        <v>0.29166666666666669</v>
      </c>
      <c r="U924" s="154">
        <v>0.29166666666666669</v>
      </c>
      <c r="V924" s="154">
        <v>0.29166666666666669</v>
      </c>
      <c r="W924" s="154">
        <v>0.29166666666666669</v>
      </c>
      <c r="X924" s="154">
        <v>0.29166666666666669</v>
      </c>
      <c r="Y924" s="154">
        <v>0.29166666666666669</v>
      </c>
      <c r="Z924" s="154">
        <v>0.29166666666666669</v>
      </c>
      <c r="AB924" s="154">
        <v>0.29166666666666669</v>
      </c>
      <c r="AC924" s="154">
        <v>0.29166666666666669</v>
      </c>
      <c r="AD924" s="154">
        <v>0.29166666666666669</v>
      </c>
      <c r="AF924" s="154">
        <v>0.29166666666666669</v>
      </c>
      <c r="AG924" s="154">
        <v>0.29166666666666669</v>
      </c>
      <c r="AH924" s="154">
        <v>0.29166666666666669</v>
      </c>
      <c r="AI924" s="154">
        <v>0.29166666666666669</v>
      </c>
      <c r="AJ924" s="154">
        <v>0.29166666666666669</v>
      </c>
      <c r="AK924" s="154">
        <v>0.29166666666666669</v>
      </c>
      <c r="AL924" s="154">
        <v>0.29166666666666669</v>
      </c>
    </row>
    <row r="925" spans="1:41" x14ac:dyDescent="0.25">
      <c r="A925">
        <v>924</v>
      </c>
      <c r="B925">
        <v>2025</v>
      </c>
      <c r="C925">
        <v>8</v>
      </c>
      <c r="D925" t="s">
        <v>567</v>
      </c>
      <c r="E925">
        <v>50</v>
      </c>
      <c r="F925">
        <v>3</v>
      </c>
      <c r="G925" t="s">
        <v>535</v>
      </c>
      <c r="H925" s="154">
        <v>0.75</v>
      </c>
      <c r="I925" s="154">
        <v>0.75</v>
      </c>
      <c r="J925" s="154">
        <v>0.75</v>
      </c>
      <c r="K925" s="154">
        <v>0.75</v>
      </c>
      <c r="L925" s="154">
        <v>0.75</v>
      </c>
      <c r="M925" s="154">
        <v>0.75</v>
      </c>
      <c r="N925" s="154">
        <v>0.75</v>
      </c>
      <c r="O925" s="154">
        <v>0.75</v>
      </c>
      <c r="P925" s="154">
        <v>0.75</v>
      </c>
      <c r="Q925" s="154">
        <v>0.75</v>
      </c>
      <c r="R925" s="154">
        <v>0.75</v>
      </c>
      <c r="S925" s="154">
        <v>0.75</v>
      </c>
      <c r="T925" s="154">
        <v>0.75</v>
      </c>
      <c r="U925" s="154">
        <v>0.75</v>
      </c>
      <c r="V925" s="154">
        <v>0.75</v>
      </c>
      <c r="W925" s="154">
        <v>0.75</v>
      </c>
      <c r="X925" s="154">
        <v>0.75</v>
      </c>
      <c r="Y925" s="154">
        <v>0.75</v>
      </c>
      <c r="Z925" s="154">
        <v>0.75</v>
      </c>
      <c r="AB925" s="154">
        <v>0.75</v>
      </c>
      <c r="AC925" s="154">
        <v>0.75</v>
      </c>
      <c r="AD925" s="154">
        <v>0.75</v>
      </c>
      <c r="AF925" s="154">
        <v>0.75</v>
      </c>
      <c r="AG925" s="154">
        <v>0.75</v>
      </c>
      <c r="AH925" s="154">
        <v>0.75</v>
      </c>
      <c r="AI925" s="154">
        <v>0.75</v>
      </c>
      <c r="AJ925" s="154">
        <v>0.75</v>
      </c>
      <c r="AK925" s="154">
        <v>0.75</v>
      </c>
      <c r="AL925" s="154">
        <v>0.75</v>
      </c>
      <c r="AM925" cm="1">
        <f t="array" ref="AM925">SUM(_xlfn.LET(_xlpm.r,((IFERROR(H925:AL925-H924:AL924,0))*24)/10,IF(_xlpm.r&gt;1,1,_xlpm.r)))</f>
        <v>29</v>
      </c>
      <c r="AO925" cm="1">
        <f t="array" ref="AO925">SUM(IFERROR(MOD((H925:AL925-H924:AL924)*24,11),""))</f>
        <v>0</v>
      </c>
    </row>
    <row r="926" spans="1:41" x14ac:dyDescent="0.25">
      <c r="A926">
        <v>925</v>
      </c>
      <c r="B926">
        <v>2025</v>
      </c>
      <c r="C926">
        <v>9</v>
      </c>
      <c r="D926" t="s">
        <v>567</v>
      </c>
      <c r="E926">
        <v>50</v>
      </c>
      <c r="F926">
        <v>4</v>
      </c>
      <c r="G926" t="s">
        <v>534</v>
      </c>
      <c r="H926" s="154">
        <v>0.29166666666666669</v>
      </c>
      <c r="I926" s="154">
        <v>0.29166666666666669</v>
      </c>
      <c r="J926" s="154">
        <v>0.29166666666666669</v>
      </c>
      <c r="K926" s="154">
        <v>0.29166666666666669</v>
      </c>
      <c r="L926" s="154">
        <v>0.29166666666666669</v>
      </c>
      <c r="M926" s="154">
        <v>0.29166666666666669</v>
      </c>
      <c r="N926" s="154" t="s">
        <v>424</v>
      </c>
      <c r="O926" s="154">
        <v>0.29166666666666669</v>
      </c>
      <c r="P926" s="154">
        <v>0.29166666666666669</v>
      </c>
      <c r="Q926" s="154">
        <v>0.29166666666666669</v>
      </c>
      <c r="R926" s="154">
        <v>0.29166666666666669</v>
      </c>
      <c r="S926" s="154">
        <v>0.29166666666666669</v>
      </c>
      <c r="T926" s="154">
        <v>0.29166666666666669</v>
      </c>
      <c r="U926" s="154" t="s">
        <v>424</v>
      </c>
      <c r="V926" s="154">
        <v>0.29166666666666669</v>
      </c>
      <c r="W926" s="154">
        <v>0.29166666666666669</v>
      </c>
      <c r="X926" s="154">
        <v>0.29166666666666669</v>
      </c>
      <c r="Y926" s="154">
        <v>0.29166666666666669</v>
      </c>
      <c r="Z926" s="154">
        <v>0.29166666666666669</v>
      </c>
      <c r="AA926" s="154">
        <v>0.29166666666666669</v>
      </c>
      <c r="AB926" s="154">
        <v>0.29166666666666669</v>
      </c>
      <c r="AC926" s="154">
        <v>0.29166666666666669</v>
      </c>
      <c r="AD926" s="154">
        <v>0.29166666666666669</v>
      </c>
      <c r="AE926" s="154">
        <v>0.29166666666666669</v>
      </c>
      <c r="AF926" s="154">
        <v>0.29166666666666669</v>
      </c>
      <c r="AG926" s="154">
        <v>0.29166666666666669</v>
      </c>
      <c r="AH926" s="154">
        <v>0.29166666666666669</v>
      </c>
      <c r="AI926" s="154" t="s">
        <v>424</v>
      </c>
      <c r="AJ926" s="154">
        <v>0.29166666666666669</v>
      </c>
      <c r="AK926" s="154">
        <v>0.29166666666666669</v>
      </c>
      <c r="AL926" s="154" t="s">
        <v>424</v>
      </c>
    </row>
    <row r="927" spans="1:41" x14ac:dyDescent="0.25">
      <c r="A927">
        <v>926</v>
      </c>
      <c r="B927">
        <v>2025</v>
      </c>
      <c r="C927">
        <v>9</v>
      </c>
      <c r="D927" t="s">
        <v>567</v>
      </c>
      <c r="E927">
        <v>50</v>
      </c>
      <c r="F927">
        <v>4</v>
      </c>
      <c r="G927" t="s">
        <v>535</v>
      </c>
      <c r="H927" s="154">
        <v>0.75</v>
      </c>
      <c r="I927" s="154">
        <v>0.75</v>
      </c>
      <c r="J927" s="154">
        <v>0.75</v>
      </c>
      <c r="K927" s="154">
        <v>0.75</v>
      </c>
      <c r="L927" s="154">
        <v>0.75</v>
      </c>
      <c r="M927" s="154">
        <v>0.75</v>
      </c>
      <c r="N927" s="154" t="s">
        <v>424</v>
      </c>
      <c r="O927" s="154">
        <v>0.75</v>
      </c>
      <c r="P927" s="154">
        <v>0.75</v>
      </c>
      <c r="Q927" s="154">
        <v>0.75</v>
      </c>
      <c r="R927" s="154">
        <v>0.75</v>
      </c>
      <c r="S927" s="154">
        <v>0.75</v>
      </c>
      <c r="T927" s="154">
        <v>0.75</v>
      </c>
      <c r="U927" s="154" t="s">
        <v>424</v>
      </c>
      <c r="V927" s="154">
        <v>0.75</v>
      </c>
      <c r="W927" s="154">
        <v>0.75</v>
      </c>
      <c r="X927" s="154">
        <v>0.75</v>
      </c>
      <c r="Y927" s="154">
        <v>0.75</v>
      </c>
      <c r="Z927" s="154">
        <v>0.75</v>
      </c>
      <c r="AA927" s="154">
        <v>0.75</v>
      </c>
      <c r="AB927" s="154">
        <v>0.75</v>
      </c>
      <c r="AC927" s="154">
        <v>0.75</v>
      </c>
      <c r="AD927" s="154">
        <v>0.75</v>
      </c>
      <c r="AE927" s="154">
        <v>0.75</v>
      </c>
      <c r="AF927" s="154">
        <v>0.75</v>
      </c>
      <c r="AG927" s="154">
        <v>0.75</v>
      </c>
      <c r="AH927" s="154">
        <v>0.75</v>
      </c>
      <c r="AI927" s="154" t="s">
        <v>424</v>
      </c>
      <c r="AJ927" s="154">
        <v>0.75</v>
      </c>
      <c r="AK927" s="154">
        <v>0.75</v>
      </c>
      <c r="AL927" s="154" t="s">
        <v>424</v>
      </c>
      <c r="AM927" cm="1">
        <f t="array" ref="AM927">SUM(_xlfn.LET(_xlpm.r,((IFERROR(H927:AL927-H926:AL926,0))*24)/10,IF(_xlpm.r&gt;1,1,_xlpm.r)))</f>
        <v>27</v>
      </c>
      <c r="AO927" cm="1">
        <f t="array" ref="AO927">SUM(IFERROR(MOD((H927:AL927-H926:AL926)*24,11),""))</f>
        <v>0</v>
      </c>
    </row>
    <row r="928" spans="1:41" x14ac:dyDescent="0.25">
      <c r="A928">
        <v>927</v>
      </c>
      <c r="B928">
        <v>2025</v>
      </c>
      <c r="C928">
        <v>10</v>
      </c>
      <c r="D928" t="s">
        <v>567</v>
      </c>
      <c r="E928">
        <v>50</v>
      </c>
      <c r="F928">
        <v>5</v>
      </c>
      <c r="G928" t="s">
        <v>534</v>
      </c>
      <c r="H928" s="154">
        <v>0.29166666666666669</v>
      </c>
      <c r="I928" s="154">
        <v>0.29166666666666669</v>
      </c>
      <c r="J928" s="154">
        <v>0.29166666666666669</v>
      </c>
      <c r="K928" s="154">
        <v>0.29166666666666669</v>
      </c>
      <c r="L928" s="154">
        <v>0.29166666666666669</v>
      </c>
      <c r="M928" s="154">
        <v>0.29166666666666669</v>
      </c>
      <c r="N928" s="154">
        <v>0.29166666666666669</v>
      </c>
      <c r="O928" s="154">
        <v>0.29166666666666669</v>
      </c>
      <c r="P928" s="154">
        <v>0.29166666666666669</v>
      </c>
      <c r="Q928" s="154">
        <v>0.29166666666666669</v>
      </c>
      <c r="R928" s="154">
        <v>0.29166666666666669</v>
      </c>
      <c r="S928" s="154" t="s">
        <v>424</v>
      </c>
      <c r="T928" s="154">
        <v>0.29166666666666669</v>
      </c>
      <c r="U928" s="154">
        <v>0.29166666666666669</v>
      </c>
      <c r="V928" s="154" t="s">
        <v>424</v>
      </c>
      <c r="W928" s="154">
        <v>0.29166666666666669</v>
      </c>
      <c r="X928" s="154">
        <v>0.29166666666666669</v>
      </c>
      <c r="Y928" s="154">
        <v>0.29166666666666669</v>
      </c>
      <c r="Z928" s="154">
        <v>0.29166666666666669</v>
      </c>
      <c r="AA928" s="154">
        <v>0.29166666666666669</v>
      </c>
      <c r="AB928" s="154">
        <v>0.29166666666666669</v>
      </c>
      <c r="AC928" s="154">
        <v>0.29166666666666669</v>
      </c>
      <c r="AD928" s="154">
        <v>0.29166666666666669</v>
      </c>
      <c r="AE928" s="154">
        <v>0.29166666666666669</v>
      </c>
      <c r="AF928" s="154">
        <v>0.29166666666666669</v>
      </c>
      <c r="AG928" s="154" t="s">
        <v>424</v>
      </c>
      <c r="AH928" s="154">
        <v>0.29166666666666669</v>
      </c>
      <c r="AI928" s="154">
        <v>0.29166666666666669</v>
      </c>
      <c r="AJ928" s="154">
        <v>0.29166666666666669</v>
      </c>
      <c r="AK928" s="154">
        <v>0.29166666666666669</v>
      </c>
      <c r="AL928" s="154">
        <v>0.29166666666666669</v>
      </c>
    </row>
    <row r="929" spans="1:41" x14ac:dyDescent="0.25">
      <c r="A929">
        <v>928</v>
      </c>
      <c r="B929">
        <v>2025</v>
      </c>
      <c r="C929">
        <v>10</v>
      </c>
      <c r="D929" t="s">
        <v>567</v>
      </c>
      <c r="E929">
        <v>50</v>
      </c>
      <c r="F929">
        <v>5</v>
      </c>
      <c r="G929" t="s">
        <v>535</v>
      </c>
      <c r="H929" s="154">
        <v>0.75</v>
      </c>
      <c r="I929" s="154">
        <v>0.75</v>
      </c>
      <c r="J929" s="154">
        <v>0.75</v>
      </c>
      <c r="K929" s="154">
        <v>0.75</v>
      </c>
      <c r="L929" s="154">
        <v>0.75</v>
      </c>
      <c r="M929" s="154">
        <v>0.75</v>
      </c>
      <c r="N929" s="154">
        <v>0.75</v>
      </c>
      <c r="O929" s="154">
        <v>0.75</v>
      </c>
      <c r="P929" s="154">
        <v>0.75</v>
      </c>
      <c r="Q929" s="154">
        <v>0.75</v>
      </c>
      <c r="R929" s="154">
        <v>0.75</v>
      </c>
      <c r="S929" s="154" t="s">
        <v>424</v>
      </c>
      <c r="T929" s="154">
        <v>0.75</v>
      </c>
      <c r="U929" s="154">
        <v>0.75</v>
      </c>
      <c r="V929" s="154" t="s">
        <v>424</v>
      </c>
      <c r="W929" s="154">
        <v>0.75</v>
      </c>
      <c r="X929" s="154">
        <v>0.75</v>
      </c>
      <c r="Y929" s="154">
        <v>0.75</v>
      </c>
      <c r="Z929" s="154">
        <v>0.75</v>
      </c>
      <c r="AA929" s="154">
        <v>0.75</v>
      </c>
      <c r="AB929" s="154">
        <v>0.75</v>
      </c>
      <c r="AC929" s="154">
        <v>0.75</v>
      </c>
      <c r="AD929" s="154">
        <v>0.75</v>
      </c>
      <c r="AE929" s="154">
        <v>0.75</v>
      </c>
      <c r="AF929" s="154">
        <v>0.75</v>
      </c>
      <c r="AG929" s="154" t="s">
        <v>424</v>
      </c>
      <c r="AH929" s="154">
        <v>0.75</v>
      </c>
      <c r="AI929" s="154">
        <v>0.75</v>
      </c>
      <c r="AJ929" s="154">
        <v>0.75</v>
      </c>
      <c r="AK929" s="154">
        <v>0.75</v>
      </c>
      <c r="AL929" s="154">
        <v>0.75</v>
      </c>
      <c r="AM929" cm="1">
        <f t="array" ref="AM929">SUM(_xlfn.LET(_xlpm.r,((IFERROR(H929:AL929-H928:AL928,0))*24)/10,IF(_xlpm.r&gt;1,1,_xlpm.r)))</f>
        <v>28</v>
      </c>
      <c r="AO929" cm="1">
        <f t="array" ref="AO929">SUM(IFERROR(MOD((H929:AL929-H928:AL928)*24,11),""))</f>
        <v>0</v>
      </c>
    </row>
    <row r="930" spans="1:41" x14ac:dyDescent="0.25">
      <c r="A930">
        <v>929</v>
      </c>
      <c r="B930">
        <v>2025</v>
      </c>
      <c r="C930">
        <v>11</v>
      </c>
      <c r="D930" t="s">
        <v>567</v>
      </c>
      <c r="E930">
        <v>50</v>
      </c>
      <c r="F930">
        <v>6</v>
      </c>
      <c r="G930" t="s">
        <v>534</v>
      </c>
      <c r="H930" s="154">
        <v>0.29166666666666669</v>
      </c>
      <c r="I930" s="154">
        <v>0.29166666666666669</v>
      </c>
      <c r="J930" s="154">
        <v>0.29166666666666669</v>
      </c>
      <c r="K930" s="154">
        <v>0.29166666666666669</v>
      </c>
      <c r="L930" s="154">
        <v>0.29166666666666669</v>
      </c>
      <c r="M930" s="154">
        <v>0.29166666666666669</v>
      </c>
      <c r="N930" s="154">
        <v>0.29166666666666669</v>
      </c>
      <c r="O930" s="154">
        <v>0.29166666666666669</v>
      </c>
      <c r="P930" s="154" t="s">
        <v>424</v>
      </c>
      <c r="Q930" s="154">
        <v>0.29166666666666669</v>
      </c>
      <c r="R930" s="154">
        <v>0.29166666666666669</v>
      </c>
      <c r="S930" s="154">
        <v>0.29166666666666669</v>
      </c>
      <c r="T930" s="154">
        <v>0.29166666666666669</v>
      </c>
      <c r="U930" s="154">
        <v>0.29166666666666669</v>
      </c>
      <c r="V930" s="154">
        <v>0.29166666666666669</v>
      </c>
      <c r="W930" s="154">
        <v>0.29166666666666669</v>
      </c>
      <c r="X930" s="154">
        <v>0.29166666666666669</v>
      </c>
      <c r="Y930" s="154">
        <v>0.29166666666666669</v>
      </c>
      <c r="Z930" s="154">
        <v>0.29166666666666669</v>
      </c>
      <c r="AA930" s="154">
        <v>0.29166666666666669</v>
      </c>
      <c r="AB930" s="154">
        <v>0.29166666666666669</v>
      </c>
      <c r="AC930" s="154">
        <v>0.29166666666666669</v>
      </c>
      <c r="AD930" s="154" t="s">
        <v>424</v>
      </c>
      <c r="AE930" s="154">
        <v>0.29166666666666669</v>
      </c>
      <c r="AF930" s="154">
        <v>0.29166666666666669</v>
      </c>
      <c r="AG930" s="154">
        <v>0.29166666666666669</v>
      </c>
      <c r="AH930" s="154">
        <v>0.29166666666666669</v>
      </c>
      <c r="AI930" s="154">
        <v>0.29166666666666669</v>
      </c>
      <c r="AJ930" s="154">
        <v>0.29166666666666669</v>
      </c>
      <c r="AK930" s="154">
        <v>0.29166666666666669</v>
      </c>
      <c r="AL930" s="154" t="s">
        <v>424</v>
      </c>
    </row>
    <row r="931" spans="1:41" x14ac:dyDescent="0.25">
      <c r="A931">
        <v>930</v>
      </c>
      <c r="B931">
        <v>2025</v>
      </c>
      <c r="C931">
        <v>11</v>
      </c>
      <c r="D931" t="s">
        <v>567</v>
      </c>
      <c r="E931">
        <v>50</v>
      </c>
      <c r="F931">
        <v>6</v>
      </c>
      <c r="G931" t="s">
        <v>535</v>
      </c>
      <c r="H931" s="154">
        <v>0.75</v>
      </c>
      <c r="I931" s="154">
        <v>0.75</v>
      </c>
      <c r="J931" s="154">
        <v>0.75</v>
      </c>
      <c r="K931" s="154">
        <v>0.75</v>
      </c>
      <c r="L931" s="154">
        <v>0.75</v>
      </c>
      <c r="M931" s="154">
        <v>0.75</v>
      </c>
      <c r="N931" s="154">
        <v>0.75</v>
      </c>
      <c r="O931" s="154">
        <v>0.75</v>
      </c>
      <c r="P931" s="154" t="s">
        <v>424</v>
      </c>
      <c r="Q931" s="154">
        <v>0.75</v>
      </c>
      <c r="R931" s="154">
        <v>0.75</v>
      </c>
      <c r="S931" s="154">
        <v>0.75</v>
      </c>
      <c r="T931" s="154">
        <v>0.75</v>
      </c>
      <c r="U931" s="154">
        <v>0.75</v>
      </c>
      <c r="V931" s="154">
        <v>0.75</v>
      </c>
      <c r="W931" s="154">
        <v>0.75</v>
      </c>
      <c r="X931" s="154">
        <v>0.75</v>
      </c>
      <c r="Y931" s="154">
        <v>0.75</v>
      </c>
      <c r="Z931" s="154">
        <v>0.75</v>
      </c>
      <c r="AA931" s="154">
        <v>0.75</v>
      </c>
      <c r="AB931" s="154">
        <v>0.75</v>
      </c>
      <c r="AC931" s="154">
        <v>0.75</v>
      </c>
      <c r="AD931" s="154" t="s">
        <v>424</v>
      </c>
      <c r="AE931" s="154">
        <v>0.75</v>
      </c>
      <c r="AF931" s="154">
        <v>0.75</v>
      </c>
      <c r="AG931" s="154">
        <v>0.75</v>
      </c>
      <c r="AH931" s="154">
        <v>0.75</v>
      </c>
      <c r="AI931" s="154">
        <v>0.75</v>
      </c>
      <c r="AJ931" s="154">
        <v>0.75</v>
      </c>
      <c r="AK931" s="154">
        <v>0.75</v>
      </c>
      <c r="AL931" s="154" t="s">
        <v>424</v>
      </c>
      <c r="AM931" cm="1">
        <f t="array" ref="AM931">SUM(_xlfn.LET(_xlpm.r,((IFERROR(H931:AL931-H930:AL930,0))*24)/10,IF(_xlpm.r&gt;1,1,_xlpm.r)))</f>
        <v>28</v>
      </c>
      <c r="AO931" cm="1">
        <f t="array" ref="AO931">SUM(IFERROR(MOD((H931:AL931-H930:AL930)*24,11),""))</f>
        <v>0</v>
      </c>
    </row>
    <row r="932" spans="1:41" hidden="1" x14ac:dyDescent="0.25">
      <c r="A932">
        <v>931</v>
      </c>
      <c r="B932">
        <v>2025</v>
      </c>
      <c r="C932">
        <v>7</v>
      </c>
      <c r="D932" t="s">
        <v>572</v>
      </c>
      <c r="E932">
        <v>51</v>
      </c>
      <c r="F932">
        <v>1</v>
      </c>
      <c r="G932" t="s">
        <v>534</v>
      </c>
      <c r="H932" s="154" t="s">
        <v>424</v>
      </c>
      <c r="I932" s="154" t="s">
        <v>424</v>
      </c>
      <c r="J932" s="154" t="s">
        <v>424</v>
      </c>
      <c r="K932" s="154" t="s">
        <v>424</v>
      </c>
      <c r="L932" s="154" t="s">
        <v>424</v>
      </c>
      <c r="M932" s="154" t="s">
        <v>424</v>
      </c>
      <c r="N932" s="154" t="s">
        <v>424</v>
      </c>
      <c r="O932" s="154" t="s">
        <v>424</v>
      </c>
      <c r="P932" s="154" t="s">
        <v>424</v>
      </c>
      <c r="Q932" s="154" t="s">
        <v>424</v>
      </c>
      <c r="R932" s="154" t="s">
        <v>424</v>
      </c>
      <c r="S932" s="154" t="s">
        <v>424</v>
      </c>
      <c r="T932" s="154" t="s">
        <v>424</v>
      </c>
      <c r="U932" s="154" t="s">
        <v>424</v>
      </c>
      <c r="V932" s="154">
        <v>0.29166666666666669</v>
      </c>
      <c r="W932" s="154">
        <v>0.29166666666666669</v>
      </c>
      <c r="X932" s="154">
        <v>0.29166666666666669</v>
      </c>
      <c r="Y932" s="154">
        <v>0.29166666666666669</v>
      </c>
      <c r="Z932" s="154">
        <v>0.29166666666666669</v>
      </c>
      <c r="AA932" s="154">
        <v>0.29166666666666669</v>
      </c>
      <c r="AB932" s="154">
        <v>0.29166666666666669</v>
      </c>
      <c r="AC932" s="154">
        <v>0.29166666666666669</v>
      </c>
      <c r="AD932" s="154">
        <v>0.29166666666666669</v>
      </c>
      <c r="AE932" s="154">
        <v>0.29166666666666669</v>
      </c>
      <c r="AF932" s="154">
        <v>0.29166666666666669</v>
      </c>
      <c r="AG932" s="154">
        <v>0.29166666666666669</v>
      </c>
      <c r="AH932" s="154">
        <v>0.29166666666666669</v>
      </c>
      <c r="AI932" s="154">
        <v>0.29166666666666669</v>
      </c>
      <c r="AJ932" s="154">
        <v>0.29166666666666669</v>
      </c>
      <c r="AK932" s="154">
        <v>0.29166666666666669</v>
      </c>
      <c r="AL932" s="154" t="s">
        <v>424</v>
      </c>
    </row>
    <row r="933" spans="1:41" hidden="1" x14ac:dyDescent="0.25">
      <c r="A933">
        <v>932</v>
      </c>
      <c r="B933">
        <v>2025</v>
      </c>
      <c r="C933">
        <v>7</v>
      </c>
      <c r="D933" t="s">
        <v>572</v>
      </c>
      <c r="E933">
        <v>51</v>
      </c>
      <c r="F933">
        <v>1</v>
      </c>
      <c r="G933" t="s">
        <v>535</v>
      </c>
      <c r="H933" s="154" t="s">
        <v>424</v>
      </c>
      <c r="I933" s="154" t="s">
        <v>424</v>
      </c>
      <c r="J933" s="154" t="s">
        <v>424</v>
      </c>
      <c r="K933" s="154" t="s">
        <v>424</v>
      </c>
      <c r="L933" s="154" t="s">
        <v>424</v>
      </c>
      <c r="M933" s="154" t="s">
        <v>424</v>
      </c>
      <c r="N933" s="154" t="s">
        <v>424</v>
      </c>
      <c r="O933" s="154" t="s">
        <v>424</v>
      </c>
      <c r="P933" s="154" t="s">
        <v>424</v>
      </c>
      <c r="Q933" s="154" t="s">
        <v>424</v>
      </c>
      <c r="R933" s="154" t="s">
        <v>424</v>
      </c>
      <c r="S933" s="154" t="s">
        <v>424</v>
      </c>
      <c r="T933" s="154" t="s">
        <v>424</v>
      </c>
      <c r="U933" s="154" t="s">
        <v>424</v>
      </c>
      <c r="V933" s="154">
        <v>0.75</v>
      </c>
      <c r="W933" s="154">
        <v>0.75</v>
      </c>
      <c r="X933" s="154">
        <v>0.75</v>
      </c>
      <c r="Y933" s="154">
        <v>0.75</v>
      </c>
      <c r="Z933" s="154">
        <v>0.75</v>
      </c>
      <c r="AA933" s="154">
        <v>0.75</v>
      </c>
      <c r="AB933" s="154">
        <v>0.75</v>
      </c>
      <c r="AC933" s="154">
        <v>0.79166666666666663</v>
      </c>
      <c r="AD933" s="154">
        <v>0.79166666666666663</v>
      </c>
      <c r="AE933" s="154">
        <v>0.79166666666666663</v>
      </c>
      <c r="AF933" s="154">
        <v>0.79166666666666663</v>
      </c>
      <c r="AG933" s="154">
        <v>0.75</v>
      </c>
      <c r="AH933" s="154">
        <v>0.75</v>
      </c>
      <c r="AI933" s="154">
        <v>0.75</v>
      </c>
      <c r="AJ933" s="154">
        <v>0.75</v>
      </c>
      <c r="AK933" s="154">
        <v>0.75</v>
      </c>
      <c r="AL933" s="154" t="s">
        <v>424</v>
      </c>
      <c r="AM933" cm="1">
        <f t="array" ref="AM933">SUM(_xlfn.LET(_xlpm.r,((IFERROR(H933:AL933-H932:AL932,0))*24)/10,IF(_xlpm.r&gt;1,1,_xlpm.r)))</f>
        <v>16</v>
      </c>
      <c r="AO933" cm="1">
        <f t="array" ref="AO933">SUM(IFERROR(MOD((H933:AL933-H932:AL932)*24,11),""))</f>
        <v>3.9999999999999929</v>
      </c>
    </row>
    <row r="934" spans="1:41" hidden="1" x14ac:dyDescent="0.25">
      <c r="A934">
        <v>933</v>
      </c>
      <c r="B934">
        <v>2025</v>
      </c>
      <c r="C934">
        <v>8</v>
      </c>
      <c r="D934" t="s">
        <v>575</v>
      </c>
      <c r="E934">
        <v>51</v>
      </c>
      <c r="F934">
        <v>2</v>
      </c>
      <c r="G934" t="s">
        <v>534</v>
      </c>
      <c r="H934" s="154" t="s">
        <v>424</v>
      </c>
      <c r="I934" s="154" t="s">
        <v>424</v>
      </c>
      <c r="J934" s="154" t="s">
        <v>424</v>
      </c>
      <c r="K934" s="154" t="s">
        <v>424</v>
      </c>
      <c r="L934" s="154" t="s">
        <v>424</v>
      </c>
      <c r="M934" s="154" t="s">
        <v>424</v>
      </c>
      <c r="N934" s="154" t="s">
        <v>424</v>
      </c>
      <c r="O934" s="154" t="s">
        <v>424</v>
      </c>
      <c r="P934" s="154" t="s">
        <v>424</v>
      </c>
      <c r="Q934" s="154" t="s">
        <v>424</v>
      </c>
      <c r="R934" s="154" t="s">
        <v>424</v>
      </c>
      <c r="S934" s="154" t="s">
        <v>424</v>
      </c>
      <c r="T934" s="154" t="s">
        <v>424</v>
      </c>
      <c r="U934" s="154" t="s">
        <v>424</v>
      </c>
      <c r="V934" s="154" t="s">
        <v>424</v>
      </c>
      <c r="W934" s="154" t="s">
        <v>424</v>
      </c>
      <c r="X934" s="154" t="s">
        <v>424</v>
      </c>
      <c r="Y934" s="154" t="s">
        <v>424</v>
      </c>
      <c r="Z934" s="154">
        <v>0.29166666666666669</v>
      </c>
      <c r="AA934" s="154">
        <v>0.29166666666666669</v>
      </c>
      <c r="AB934" s="154">
        <v>0.29166666666666669</v>
      </c>
      <c r="AC934" s="154">
        <v>0.29166666666666669</v>
      </c>
      <c r="AD934" s="154">
        <v>0.29166666666666669</v>
      </c>
      <c r="AE934" s="154">
        <v>0.29166666666666669</v>
      </c>
      <c r="AF934" s="154">
        <v>0.29166666666666669</v>
      </c>
      <c r="AG934" s="154">
        <v>0.29166666666666669</v>
      </c>
      <c r="AH934" s="154">
        <v>0.29166666666666669</v>
      </c>
      <c r="AI934" s="154">
        <v>0.29166666666666669</v>
      </c>
      <c r="AJ934" s="154">
        <v>0.29166666666666669</v>
      </c>
      <c r="AK934" s="154">
        <v>0.29166666666666669</v>
      </c>
      <c r="AL934" s="154">
        <v>0.29166666666666669</v>
      </c>
    </row>
    <row r="935" spans="1:41" hidden="1" x14ac:dyDescent="0.25">
      <c r="A935">
        <v>934</v>
      </c>
      <c r="B935">
        <v>2025</v>
      </c>
      <c r="C935">
        <v>8</v>
      </c>
      <c r="D935" t="s">
        <v>575</v>
      </c>
      <c r="E935">
        <v>51</v>
      </c>
      <c r="F935">
        <v>2</v>
      </c>
      <c r="G935" t="s">
        <v>535</v>
      </c>
      <c r="H935" s="154" t="s">
        <v>424</v>
      </c>
      <c r="I935" s="154" t="s">
        <v>424</v>
      </c>
      <c r="J935" s="154" t="s">
        <v>424</v>
      </c>
      <c r="K935" s="154" t="s">
        <v>424</v>
      </c>
      <c r="L935" s="154" t="s">
        <v>424</v>
      </c>
      <c r="M935" s="154" t="s">
        <v>424</v>
      </c>
      <c r="N935" s="154" t="s">
        <v>424</v>
      </c>
      <c r="O935" s="154" t="s">
        <v>424</v>
      </c>
      <c r="P935" s="154" t="s">
        <v>424</v>
      </c>
      <c r="Q935" s="154" t="s">
        <v>424</v>
      </c>
      <c r="R935" s="154" t="s">
        <v>424</v>
      </c>
      <c r="S935" s="154" t="s">
        <v>424</v>
      </c>
      <c r="T935" s="154" t="s">
        <v>424</v>
      </c>
      <c r="U935" s="154" t="s">
        <v>424</v>
      </c>
      <c r="V935" s="154" t="s">
        <v>424</v>
      </c>
      <c r="W935" s="154" t="s">
        <v>424</v>
      </c>
      <c r="X935" s="154" t="s">
        <v>424</v>
      </c>
      <c r="Y935" s="154" t="s">
        <v>424</v>
      </c>
      <c r="Z935" s="154">
        <v>0.79166666666666663</v>
      </c>
      <c r="AA935" s="154">
        <v>0.875</v>
      </c>
      <c r="AB935" s="154">
        <v>0.79166666666666663</v>
      </c>
      <c r="AC935" s="154">
        <v>0.95833333333333337</v>
      </c>
      <c r="AD935" s="154">
        <v>0.79166666666666663</v>
      </c>
      <c r="AE935" s="154">
        <v>0.91666666666666663</v>
      </c>
      <c r="AF935" s="154">
        <v>0.875</v>
      </c>
      <c r="AG935" s="154">
        <v>0.79166666666666663</v>
      </c>
      <c r="AH935" s="154">
        <v>0.875</v>
      </c>
      <c r="AI935" s="154">
        <v>0.75</v>
      </c>
      <c r="AJ935" s="154">
        <v>0.83333333333333337</v>
      </c>
      <c r="AK935" s="154">
        <v>0.91666666666666663</v>
      </c>
      <c r="AL935" s="154">
        <v>0.83333333333333337</v>
      </c>
      <c r="AM935" cm="1">
        <f t="array" ref="AM935">SUM(_xlfn.LET(_xlpm.r,((IFERROR(H935:AL935-H934:AL934,0))*24)/10,IF(_xlpm.r&gt;1,1,_xlpm.r)))</f>
        <v>13</v>
      </c>
      <c r="AO935" cm="1">
        <f t="array" ref="AO935">SUM(IFERROR(MOD((H935:AL935-H934:AL934)*24,11),""))</f>
        <v>29.999999999999993</v>
      </c>
    </row>
    <row r="936" spans="1:41" hidden="1" x14ac:dyDescent="0.25">
      <c r="A936">
        <v>935</v>
      </c>
      <c r="B936">
        <v>2025</v>
      </c>
      <c r="C936">
        <v>9</v>
      </c>
      <c r="D936" t="s">
        <v>575</v>
      </c>
      <c r="E936">
        <v>51</v>
      </c>
      <c r="F936">
        <v>2</v>
      </c>
      <c r="G936" t="s">
        <v>534</v>
      </c>
      <c r="H936" s="154">
        <v>0.29166666666666669</v>
      </c>
      <c r="I936" s="154">
        <v>0.29166666666666669</v>
      </c>
      <c r="J936" s="154">
        <v>0.29166666666666669</v>
      </c>
      <c r="K936" s="154">
        <v>0.29166666666666669</v>
      </c>
      <c r="L936" s="154">
        <v>0.29166666666666669</v>
      </c>
      <c r="M936" s="154">
        <v>0.29166666666666669</v>
      </c>
      <c r="N936" s="154">
        <v>0.29166666666666669</v>
      </c>
      <c r="O936" s="154">
        <v>0.29166666666666669</v>
      </c>
      <c r="P936" s="154">
        <v>0.29166666666666669</v>
      </c>
      <c r="Q936" s="154">
        <v>0.29166666666666669</v>
      </c>
      <c r="R936" s="154">
        <v>0.29166666666666669</v>
      </c>
      <c r="S936" s="154">
        <v>0.29166666666666669</v>
      </c>
      <c r="T936" s="154">
        <v>0.29166666666666669</v>
      </c>
      <c r="U936" s="154">
        <v>0.29166666666666669</v>
      </c>
      <c r="V936" s="154">
        <v>0.29166666666666669</v>
      </c>
      <c r="W936" s="154">
        <v>0.29166666666666669</v>
      </c>
      <c r="X936" s="154" t="s">
        <v>424</v>
      </c>
      <c r="Y936" s="154" t="s">
        <v>424</v>
      </c>
      <c r="Z936" s="154">
        <v>0.29166666666666669</v>
      </c>
      <c r="AA936" s="154">
        <v>0.29166666666666669</v>
      </c>
      <c r="AB936" s="154">
        <v>0.29166666666666669</v>
      </c>
      <c r="AC936" s="154">
        <v>0.29166666666666669</v>
      </c>
      <c r="AD936" s="154">
        <v>0.29166666666666669</v>
      </c>
      <c r="AE936" s="154">
        <v>0.29166666666666669</v>
      </c>
      <c r="AF936" s="154">
        <v>0.29166666666666669</v>
      </c>
      <c r="AG936" s="154" t="s">
        <v>424</v>
      </c>
      <c r="AH936" s="154" t="s">
        <v>424</v>
      </c>
      <c r="AI936" s="154">
        <v>0.29166666666666669</v>
      </c>
      <c r="AJ936" s="154">
        <v>0.29166666666666669</v>
      </c>
      <c r="AK936" s="154" t="s">
        <v>424</v>
      </c>
      <c r="AL936" s="154" t="s">
        <v>424</v>
      </c>
    </row>
    <row r="937" spans="1:41" hidden="1" x14ac:dyDescent="0.25">
      <c r="A937">
        <v>936</v>
      </c>
      <c r="B937">
        <v>2025</v>
      </c>
      <c r="C937">
        <v>9</v>
      </c>
      <c r="D937" t="s">
        <v>575</v>
      </c>
      <c r="E937">
        <v>51</v>
      </c>
      <c r="F937">
        <v>2</v>
      </c>
      <c r="G937" t="s">
        <v>535</v>
      </c>
      <c r="H937" s="154">
        <v>0.75</v>
      </c>
      <c r="I937" s="154">
        <v>0.75</v>
      </c>
      <c r="J937" s="154">
        <v>0.75</v>
      </c>
      <c r="K937" s="154">
        <v>0.75</v>
      </c>
      <c r="L937" s="154">
        <v>0.75</v>
      </c>
      <c r="M937" s="154">
        <v>0.75</v>
      </c>
      <c r="N937" s="154">
        <v>0.75</v>
      </c>
      <c r="O937" s="154">
        <v>0.75</v>
      </c>
      <c r="P937" s="154">
        <v>0.75</v>
      </c>
      <c r="Q937" s="154">
        <v>0.75</v>
      </c>
      <c r="R937" s="154">
        <v>0.75</v>
      </c>
      <c r="S937" s="154">
        <v>0.75</v>
      </c>
      <c r="T937" s="154">
        <v>0.75</v>
      </c>
      <c r="U937" s="154">
        <v>0.75</v>
      </c>
      <c r="V937" s="154">
        <v>0.75</v>
      </c>
      <c r="W937" s="154">
        <v>0.75</v>
      </c>
      <c r="X937" s="154" t="s">
        <v>424</v>
      </c>
      <c r="Y937" s="154" t="s">
        <v>424</v>
      </c>
      <c r="Z937" s="154">
        <v>0.75</v>
      </c>
      <c r="AA937" s="154">
        <v>0.75</v>
      </c>
      <c r="AB937" s="154">
        <v>0.75</v>
      </c>
      <c r="AC937" s="154">
        <v>0.75</v>
      </c>
      <c r="AD937" s="154">
        <v>0.83333333333333337</v>
      </c>
      <c r="AE937" s="154">
        <v>0.75</v>
      </c>
      <c r="AF937" s="154">
        <v>0.95833333333333337</v>
      </c>
      <c r="AG937" s="154" t="s">
        <v>424</v>
      </c>
      <c r="AH937" s="154" t="s">
        <v>424</v>
      </c>
      <c r="AI937" s="154">
        <v>0.875</v>
      </c>
      <c r="AJ937" s="154">
        <v>0.75</v>
      </c>
      <c r="AK937" s="154" t="s">
        <v>424</v>
      </c>
      <c r="AL937" s="154" t="s">
        <v>424</v>
      </c>
      <c r="AM937" cm="1">
        <f t="array" ref="AM937">SUM(_xlfn.LET(_xlpm.r,((IFERROR(H937:AL937-H936:AL936,0))*24)/10,IF(_xlpm.r&gt;1,1,_xlpm.r)))</f>
        <v>25</v>
      </c>
      <c r="AO937" cm="1">
        <f t="array" ref="AO937">SUM(IFERROR(MOD((H937:AL937-H936:AL936)*24,11),""))</f>
        <v>10</v>
      </c>
    </row>
    <row r="938" spans="1:41" hidden="1" x14ac:dyDescent="0.25">
      <c r="A938">
        <v>937</v>
      </c>
      <c r="B938">
        <v>2025</v>
      </c>
      <c r="C938">
        <v>10</v>
      </c>
      <c r="D938" t="s">
        <v>575</v>
      </c>
      <c r="E938">
        <v>51</v>
      </c>
      <c r="F938">
        <v>3</v>
      </c>
      <c r="G938" t="s">
        <v>534</v>
      </c>
      <c r="H938" s="154">
        <v>0.29166666666666669</v>
      </c>
      <c r="I938" s="154">
        <v>0.29166666666666669</v>
      </c>
      <c r="J938" s="154">
        <v>0.29166666666666669</v>
      </c>
      <c r="K938" s="154">
        <v>0.29166666666666669</v>
      </c>
      <c r="L938" s="154">
        <v>0.29166666666666669</v>
      </c>
      <c r="M938" s="154">
        <v>0.29166666666666669</v>
      </c>
      <c r="N938" s="154">
        <v>0.29166666666666669</v>
      </c>
      <c r="O938" s="154">
        <v>0.29166666666666669</v>
      </c>
      <c r="P938" s="154">
        <v>0.29166666666666669</v>
      </c>
      <c r="Q938" s="154">
        <v>0.29166666666666669</v>
      </c>
      <c r="R938" s="154">
        <v>0.29166666666666669</v>
      </c>
      <c r="S938" s="154">
        <v>0.29166666666666669</v>
      </c>
      <c r="T938" s="154">
        <v>0.29166666666666669</v>
      </c>
      <c r="U938" s="154">
        <v>0.29166666666666669</v>
      </c>
      <c r="V938" s="154">
        <v>0.29166666666666669</v>
      </c>
      <c r="W938" s="154">
        <v>0.29166666666666669</v>
      </c>
      <c r="X938" s="154">
        <v>0.29166666666666669</v>
      </c>
      <c r="Y938" s="154">
        <v>0.29166666666666669</v>
      </c>
      <c r="Z938" s="154">
        <v>0.29166666666666669</v>
      </c>
      <c r="AA938" s="154">
        <v>0.29166666666666669</v>
      </c>
      <c r="AB938" s="154">
        <v>0.29166666666666669</v>
      </c>
      <c r="AC938" s="154">
        <v>0.29166666666666669</v>
      </c>
      <c r="AD938" s="154">
        <v>0.29166666666666669</v>
      </c>
      <c r="AE938" s="154">
        <v>0.29166666666666669</v>
      </c>
      <c r="AF938" s="154">
        <v>0.29166666666666669</v>
      </c>
      <c r="AG938" s="154">
        <v>0.29166666666666669</v>
      </c>
      <c r="AH938" s="154">
        <v>0.29166666666666669</v>
      </c>
      <c r="AI938" s="154">
        <v>0.29166666666666669</v>
      </c>
      <c r="AJ938" s="154">
        <v>0.29166666666666669</v>
      </c>
      <c r="AK938" s="154">
        <v>0.29166666666666669</v>
      </c>
      <c r="AL938" s="154">
        <v>0.29166666666666669</v>
      </c>
    </row>
    <row r="939" spans="1:41" hidden="1" x14ac:dyDescent="0.25">
      <c r="A939">
        <v>938</v>
      </c>
      <c r="B939">
        <v>2025</v>
      </c>
      <c r="C939">
        <v>10</v>
      </c>
      <c r="D939" t="s">
        <v>575</v>
      </c>
      <c r="E939">
        <v>51</v>
      </c>
      <c r="F939">
        <v>3</v>
      </c>
      <c r="G939" t="s">
        <v>535</v>
      </c>
      <c r="H939" s="154">
        <v>0.75</v>
      </c>
      <c r="I939" s="154">
        <v>0.75</v>
      </c>
      <c r="J939" s="154">
        <v>0.75</v>
      </c>
      <c r="K939" s="154">
        <v>0.95833333333333326</v>
      </c>
      <c r="L939" s="154">
        <v>0.75</v>
      </c>
      <c r="M939" s="154">
        <v>0.83333333333333326</v>
      </c>
      <c r="N939" s="154">
        <v>0.95833333333333326</v>
      </c>
      <c r="O939" s="154">
        <v>0.75</v>
      </c>
      <c r="P939" s="154">
        <v>0.83333333333333326</v>
      </c>
      <c r="Q939" s="154">
        <v>0.75</v>
      </c>
      <c r="R939" s="154">
        <v>0.875</v>
      </c>
      <c r="S939" s="154">
        <v>0.83333333333333326</v>
      </c>
      <c r="T939" s="154">
        <v>0.75</v>
      </c>
      <c r="U939" s="154">
        <v>0.75</v>
      </c>
      <c r="V939" s="154">
        <v>0.75</v>
      </c>
      <c r="W939" s="154">
        <v>0.91666666666666674</v>
      </c>
      <c r="X939" s="154">
        <v>0.75</v>
      </c>
      <c r="Y939" s="154">
        <v>0.83333333333333326</v>
      </c>
      <c r="Z939" s="154">
        <v>0.75</v>
      </c>
      <c r="AA939" s="154">
        <v>0.91666666666666674</v>
      </c>
      <c r="AB939" s="154">
        <v>0.75</v>
      </c>
      <c r="AC939" s="154">
        <v>0.875</v>
      </c>
      <c r="AD939" s="154">
        <v>0.75</v>
      </c>
      <c r="AE939" s="154">
        <v>0.95833333333333326</v>
      </c>
      <c r="AF939" s="154">
        <v>0.75</v>
      </c>
      <c r="AG939" s="154">
        <v>0.75</v>
      </c>
      <c r="AH939" s="154">
        <v>0.75</v>
      </c>
      <c r="AI939" s="154">
        <v>0.75</v>
      </c>
      <c r="AJ939" s="154">
        <v>0.95833333333333326</v>
      </c>
      <c r="AK939" s="154">
        <v>0.83333333333333326</v>
      </c>
      <c r="AL939" s="154">
        <v>0.83333333333333326</v>
      </c>
      <c r="AM939" cm="1">
        <f t="array" ref="AM939">SUM(_xlfn.LET(_xlpm.r,((IFERROR(H939:AL939-H938:AL938,0))*24)/10,IF(_xlpm.r&gt;1,1,_xlpm.r)))</f>
        <v>31</v>
      </c>
      <c r="AO939" cm="1">
        <f t="array" ref="AO939">SUM(IFERROR(MOD((H939:AL939-H938:AL938)*24,11),""))</f>
        <v>45.999999999999972</v>
      </c>
    </row>
    <row r="940" spans="1:41" hidden="1" x14ac:dyDescent="0.25">
      <c r="A940">
        <v>939</v>
      </c>
      <c r="B940">
        <v>2025</v>
      </c>
      <c r="C940">
        <v>11</v>
      </c>
      <c r="D940" t="s">
        <v>575</v>
      </c>
      <c r="E940">
        <v>51</v>
      </c>
      <c r="F940">
        <v>4</v>
      </c>
      <c r="G940" t="s">
        <v>534</v>
      </c>
      <c r="H940" s="154">
        <v>0.29166666666666669</v>
      </c>
      <c r="I940" s="154">
        <v>0.29166666666666669</v>
      </c>
      <c r="J940" s="154">
        <v>0.29166666666666669</v>
      </c>
      <c r="K940" s="154">
        <v>0.29166666666666669</v>
      </c>
      <c r="L940" s="154">
        <v>0.29166666666666669</v>
      </c>
      <c r="M940" s="154">
        <v>0.29166666666666669</v>
      </c>
      <c r="N940" s="154">
        <v>0.29166666666666669</v>
      </c>
      <c r="O940" s="154">
        <v>0.29166666666666669</v>
      </c>
      <c r="P940" s="154" t="s">
        <v>424</v>
      </c>
      <c r="Q940" s="154">
        <v>0.29166666666666669</v>
      </c>
      <c r="R940" s="154">
        <v>0.29166666666666669</v>
      </c>
      <c r="S940" s="154">
        <v>0.29166666666666669</v>
      </c>
      <c r="T940" s="154">
        <v>0.29166666666666669</v>
      </c>
      <c r="U940" s="154">
        <v>0.29166666666666669</v>
      </c>
      <c r="V940" s="154">
        <v>0.29166666666666669</v>
      </c>
      <c r="W940" s="154">
        <v>0.29166666666666669</v>
      </c>
      <c r="X940" s="154">
        <v>0.29166666666666669</v>
      </c>
      <c r="Y940" s="154">
        <v>0.29166666666666669</v>
      </c>
      <c r="Z940" s="154">
        <v>0.29166666666666669</v>
      </c>
      <c r="AA940" s="154">
        <v>0.29166666666666669</v>
      </c>
      <c r="AB940" s="154">
        <v>0.29166666666666669</v>
      </c>
      <c r="AC940" s="154">
        <v>0.29166666666666669</v>
      </c>
      <c r="AD940" s="154">
        <v>0.29166666666666669</v>
      </c>
      <c r="AE940" s="154">
        <v>0.29166666666666669</v>
      </c>
      <c r="AF940" s="154">
        <v>0.29166666666666669</v>
      </c>
      <c r="AG940" s="154">
        <v>0.29166666666666669</v>
      </c>
      <c r="AH940" s="154">
        <v>0.29166666666666669</v>
      </c>
      <c r="AI940" s="154">
        <v>0.29166666666666669</v>
      </c>
      <c r="AJ940" s="154">
        <v>0.29166666666666669</v>
      </c>
      <c r="AK940" s="154">
        <v>0.29166666666666669</v>
      </c>
      <c r="AL940" s="154" t="s">
        <v>424</v>
      </c>
    </row>
    <row r="941" spans="1:41" hidden="1" x14ac:dyDescent="0.25">
      <c r="A941">
        <v>940</v>
      </c>
      <c r="B941">
        <v>2025</v>
      </c>
      <c r="C941">
        <v>11</v>
      </c>
      <c r="D941" t="s">
        <v>575</v>
      </c>
      <c r="E941">
        <v>51</v>
      </c>
      <c r="F941">
        <v>4</v>
      </c>
      <c r="G941" t="s">
        <v>535</v>
      </c>
      <c r="H941" s="154">
        <v>0.83333333333333326</v>
      </c>
      <c r="I941" s="154">
        <v>0.75</v>
      </c>
      <c r="J941" s="154">
        <v>0.875</v>
      </c>
      <c r="K941" s="154">
        <v>0.83333333333333326</v>
      </c>
      <c r="L941" s="154">
        <v>0.875</v>
      </c>
      <c r="M941" s="154">
        <v>0.83333333333333326</v>
      </c>
      <c r="N941" s="154">
        <v>0.83333333333333326</v>
      </c>
      <c r="O941" s="154">
        <v>0.79166666666666674</v>
      </c>
      <c r="P941" s="154" t="s">
        <v>424</v>
      </c>
      <c r="Q941" s="154">
        <v>0.83333333333333326</v>
      </c>
      <c r="R941" s="154">
        <v>0.91666666666666674</v>
      </c>
      <c r="S941" s="154">
        <v>0.83333333333333326</v>
      </c>
      <c r="T941" s="154">
        <v>0.75</v>
      </c>
      <c r="U941" s="154">
        <v>0.79166666666666674</v>
      </c>
      <c r="V941" s="154">
        <v>0.83333333333333326</v>
      </c>
      <c r="W941" s="154">
        <v>0.75</v>
      </c>
      <c r="X941" s="154">
        <v>0.79166666666666674</v>
      </c>
      <c r="Y941" s="154">
        <v>0.875</v>
      </c>
      <c r="Z941" s="154">
        <v>0.875</v>
      </c>
      <c r="AA941" s="154">
        <v>0.75</v>
      </c>
      <c r="AB941" s="154">
        <v>0.79166666666666674</v>
      </c>
      <c r="AC941" s="154">
        <v>0.75</v>
      </c>
      <c r="AD941" s="154">
        <v>0.75</v>
      </c>
      <c r="AE941" s="154">
        <v>0.83333333333333326</v>
      </c>
      <c r="AF941" s="154">
        <v>0.75</v>
      </c>
      <c r="AG941" s="154">
        <v>0.875</v>
      </c>
      <c r="AH941" s="154">
        <v>0.83333333333333326</v>
      </c>
      <c r="AI941" s="154">
        <v>0.875</v>
      </c>
      <c r="AJ941" s="154">
        <v>0.875</v>
      </c>
      <c r="AK941" s="154">
        <v>0.75</v>
      </c>
      <c r="AL941" s="154" t="s">
        <v>424</v>
      </c>
      <c r="AM941" cm="1">
        <f t="array" ref="AM941">SUM(_xlfn.LET(_xlpm.r,((IFERROR(H941:AL941-H940:AL940,0))*24)/10,IF(_xlpm.r&gt;1,1,_xlpm.r)))</f>
        <v>29</v>
      </c>
      <c r="AO941" cm="1">
        <f t="array" ref="AO941">SUM(IFERROR(MOD((H941:AL941-H940:AL940)*24,11),""))</f>
        <v>46.999999999999972</v>
      </c>
    </row>
    <row r="942" spans="1:41" hidden="1" x14ac:dyDescent="0.25">
      <c r="A942">
        <v>941</v>
      </c>
      <c r="B942">
        <v>2025</v>
      </c>
      <c r="C942">
        <v>4</v>
      </c>
      <c r="D942" t="s">
        <v>578</v>
      </c>
      <c r="E942">
        <v>52</v>
      </c>
      <c r="F942">
        <v>1</v>
      </c>
      <c r="G942" t="s">
        <v>534</v>
      </c>
      <c r="H942" s="154" t="s">
        <v>424</v>
      </c>
      <c r="I942" s="154" t="s">
        <v>424</v>
      </c>
      <c r="J942" s="154" t="s">
        <v>424</v>
      </c>
      <c r="K942" s="154" t="s">
        <v>424</v>
      </c>
      <c r="L942" s="154" t="s">
        <v>424</v>
      </c>
      <c r="M942" s="154" t="s">
        <v>424</v>
      </c>
      <c r="N942" s="154" t="s">
        <v>424</v>
      </c>
      <c r="O942" s="154" t="s">
        <v>424</v>
      </c>
      <c r="P942" s="154" t="s">
        <v>424</v>
      </c>
      <c r="Q942" s="154" t="s">
        <v>424</v>
      </c>
      <c r="R942" s="154" t="s">
        <v>424</v>
      </c>
      <c r="S942" s="154" t="s">
        <v>424</v>
      </c>
      <c r="T942" s="154" t="s">
        <v>424</v>
      </c>
      <c r="U942" s="154" t="s">
        <v>424</v>
      </c>
      <c r="V942" s="154">
        <v>0.29166666666666669</v>
      </c>
      <c r="W942" s="154">
        <v>0.29166666666666669</v>
      </c>
      <c r="X942" s="154">
        <v>0.29166666666666669</v>
      </c>
      <c r="Y942" s="154">
        <v>0.29166666666666669</v>
      </c>
      <c r="Z942" s="154">
        <v>0.29166666666666669</v>
      </c>
      <c r="AA942" s="154">
        <v>0.29166666666666669</v>
      </c>
      <c r="AB942" s="154">
        <v>0.29166666666666669</v>
      </c>
      <c r="AC942" s="154">
        <v>0.29166666666666669</v>
      </c>
      <c r="AD942" s="154">
        <v>0.29166666666666669</v>
      </c>
      <c r="AE942" s="154">
        <v>0.29166666666666669</v>
      </c>
      <c r="AF942" s="154">
        <v>0.29166666666666669</v>
      </c>
      <c r="AG942" s="154">
        <v>0.29166666666666669</v>
      </c>
      <c r="AH942" s="154">
        <v>0.29166666666666669</v>
      </c>
      <c r="AI942" s="154">
        <v>0.29166666666666669</v>
      </c>
      <c r="AJ942" s="154">
        <v>0.29166666666666669</v>
      </c>
      <c r="AK942" s="154">
        <v>0.29166666666666669</v>
      </c>
      <c r="AL942" s="154" t="s">
        <v>424</v>
      </c>
    </row>
    <row r="943" spans="1:41" hidden="1" x14ac:dyDescent="0.25">
      <c r="A943">
        <v>942</v>
      </c>
      <c r="B943">
        <v>2025</v>
      </c>
      <c r="C943">
        <v>4</v>
      </c>
      <c r="D943" t="s">
        <v>578</v>
      </c>
      <c r="E943">
        <v>52</v>
      </c>
      <c r="F943">
        <v>1</v>
      </c>
      <c r="G943" t="s">
        <v>535</v>
      </c>
      <c r="H943" s="154" t="s">
        <v>424</v>
      </c>
      <c r="I943" s="154" t="s">
        <v>424</v>
      </c>
      <c r="J943" s="154" t="s">
        <v>424</v>
      </c>
      <c r="K943" s="154" t="s">
        <v>424</v>
      </c>
      <c r="L943" s="154" t="s">
        <v>424</v>
      </c>
      <c r="M943" s="154" t="s">
        <v>424</v>
      </c>
      <c r="N943" s="154" t="s">
        <v>424</v>
      </c>
      <c r="O943" s="154" t="s">
        <v>424</v>
      </c>
      <c r="P943" s="154" t="s">
        <v>424</v>
      </c>
      <c r="Q943" s="154" t="s">
        <v>424</v>
      </c>
      <c r="R943" s="154" t="s">
        <v>424</v>
      </c>
      <c r="S943" s="154" t="s">
        <v>424</v>
      </c>
      <c r="T943" s="154" t="s">
        <v>424</v>
      </c>
      <c r="U943" s="154" t="s">
        <v>424</v>
      </c>
      <c r="V943" s="154">
        <v>0.75</v>
      </c>
      <c r="W943" s="154">
        <v>0.75</v>
      </c>
      <c r="X943" s="154">
        <v>0.91666666666666674</v>
      </c>
      <c r="Y943" s="154">
        <v>0.75</v>
      </c>
      <c r="Z943" s="154">
        <v>0.75</v>
      </c>
      <c r="AA943" s="154">
        <v>0.75</v>
      </c>
      <c r="AB943" s="154">
        <v>0.75</v>
      </c>
      <c r="AC943" s="154">
        <v>0.75</v>
      </c>
      <c r="AD943" s="154">
        <v>0.875</v>
      </c>
      <c r="AE943" s="154">
        <v>0.75</v>
      </c>
      <c r="AF943" s="154">
        <v>0.75</v>
      </c>
      <c r="AG943" s="154">
        <v>0.75</v>
      </c>
      <c r="AH943" s="154">
        <v>0.75</v>
      </c>
      <c r="AI943" s="154">
        <v>0.75</v>
      </c>
      <c r="AJ943" s="154">
        <v>0.75</v>
      </c>
      <c r="AK943" s="154">
        <v>0.75</v>
      </c>
      <c r="AL943" s="154" t="s">
        <v>424</v>
      </c>
      <c r="AM943" cm="1">
        <f t="array" ref="AM943">SUM(_xlfn.LET(_xlpm.r,((IFERROR(H943:AL943-H942:AL942,0))*24)/10,IF(_xlpm.r&gt;1,1,_xlpm.r)))</f>
        <v>16</v>
      </c>
      <c r="AO943" cm="1">
        <f t="array" ref="AO943">SUM(IFERROR(MOD((H943:AL943-H942:AL942)*24,11),""))</f>
        <v>6.9999999999999982</v>
      </c>
    </row>
    <row r="944" spans="1:41" hidden="1" x14ac:dyDescent="0.25">
      <c r="A944">
        <v>943</v>
      </c>
      <c r="B944">
        <v>2025</v>
      </c>
      <c r="C944">
        <v>5</v>
      </c>
      <c r="D944" t="s">
        <v>578</v>
      </c>
      <c r="E944">
        <v>52</v>
      </c>
      <c r="F944">
        <v>2</v>
      </c>
      <c r="G944" t="s">
        <v>534</v>
      </c>
      <c r="H944" s="154">
        <v>0.29166666666666669</v>
      </c>
      <c r="I944" s="154">
        <v>0.29166666666666669</v>
      </c>
      <c r="J944" s="154">
        <v>0.29166666666666669</v>
      </c>
      <c r="K944" s="154">
        <v>0.29166666666666669</v>
      </c>
      <c r="L944" s="154">
        <v>0.29166666666666669</v>
      </c>
      <c r="M944" s="154">
        <v>0.29166666666666669</v>
      </c>
      <c r="N944" s="154">
        <v>0.29166666666666669</v>
      </c>
      <c r="O944" s="154">
        <v>0.29166666666666669</v>
      </c>
      <c r="P944" s="154">
        <v>0.29166666666666669</v>
      </c>
      <c r="Q944" s="154">
        <v>0.29166666666666669</v>
      </c>
      <c r="R944" s="154">
        <v>0.29166666666666669</v>
      </c>
      <c r="S944" s="154">
        <v>0.29166666666666669</v>
      </c>
      <c r="T944" s="154">
        <v>0.29166666666666669</v>
      </c>
      <c r="U944" s="154">
        <v>0.29166666666666669</v>
      </c>
      <c r="V944" s="154">
        <v>0.29166666666666669</v>
      </c>
      <c r="W944" s="154">
        <v>0.29166666666666669</v>
      </c>
      <c r="X944" s="154">
        <v>0.29166666666666669</v>
      </c>
      <c r="Y944" s="154" t="s">
        <v>424</v>
      </c>
      <c r="Z944" s="154">
        <v>0.29166666666666669</v>
      </c>
      <c r="AA944" s="154">
        <v>0.29166666666666669</v>
      </c>
      <c r="AB944" s="154">
        <v>0.29166666666666669</v>
      </c>
      <c r="AC944" s="154">
        <v>0.29166666666666669</v>
      </c>
      <c r="AD944" s="154">
        <v>0.29166666666666669</v>
      </c>
      <c r="AE944" s="154">
        <v>0.29166666666666669</v>
      </c>
      <c r="AF944" s="154">
        <v>0.29166666666666669</v>
      </c>
      <c r="AG944" s="154">
        <v>0.29166666666666669</v>
      </c>
      <c r="AH944" s="154">
        <v>0.29166666666666669</v>
      </c>
      <c r="AI944" s="154">
        <v>0.29166666666666669</v>
      </c>
      <c r="AJ944" s="154">
        <v>0.29166666666666669</v>
      </c>
      <c r="AK944" s="154">
        <v>0.29166666666666669</v>
      </c>
      <c r="AL944" s="154">
        <v>0.29166666666666669</v>
      </c>
    </row>
    <row r="945" spans="1:41" hidden="1" x14ac:dyDescent="0.25">
      <c r="A945">
        <v>944</v>
      </c>
      <c r="B945">
        <v>2025</v>
      </c>
      <c r="C945">
        <v>5</v>
      </c>
      <c r="D945" t="s">
        <v>578</v>
      </c>
      <c r="E945">
        <v>52</v>
      </c>
      <c r="F945">
        <v>2</v>
      </c>
      <c r="G945" t="s">
        <v>535</v>
      </c>
      <c r="H945" s="154">
        <v>0.75</v>
      </c>
      <c r="I945" s="154">
        <v>0.75</v>
      </c>
      <c r="J945" s="154">
        <v>0.75</v>
      </c>
      <c r="K945" s="154">
        <v>0.75</v>
      </c>
      <c r="L945" s="154">
        <v>0.75</v>
      </c>
      <c r="M945" s="154">
        <v>0.75</v>
      </c>
      <c r="N945" s="154">
        <v>0.75</v>
      </c>
      <c r="O945" s="154">
        <v>0.75</v>
      </c>
      <c r="P945" s="154">
        <v>0.75</v>
      </c>
      <c r="Q945" s="154">
        <v>0.75</v>
      </c>
      <c r="R945" s="154">
        <v>0.75</v>
      </c>
      <c r="S945" s="154">
        <v>0.75</v>
      </c>
      <c r="T945" s="154">
        <v>0.75</v>
      </c>
      <c r="U945" s="154">
        <v>0.75</v>
      </c>
      <c r="V945" s="154">
        <v>0.75</v>
      </c>
      <c r="W945" s="154">
        <v>0.75</v>
      </c>
      <c r="X945" s="154">
        <v>0.75</v>
      </c>
      <c r="Y945" s="154" t="s">
        <v>424</v>
      </c>
      <c r="Z945" s="154">
        <v>0.75</v>
      </c>
      <c r="AA945" s="154">
        <v>0.75</v>
      </c>
      <c r="AB945" s="154">
        <v>0.75</v>
      </c>
      <c r="AC945" s="154">
        <v>0.75</v>
      </c>
      <c r="AD945" s="154">
        <v>0.75</v>
      </c>
      <c r="AE945" s="154">
        <v>0.75</v>
      </c>
      <c r="AF945" s="154">
        <v>0.75</v>
      </c>
      <c r="AG945" s="154">
        <v>0.75</v>
      </c>
      <c r="AH945" s="154">
        <v>0.75</v>
      </c>
      <c r="AI945" s="154">
        <v>0.75</v>
      </c>
      <c r="AJ945" s="154">
        <v>0.75</v>
      </c>
      <c r="AK945" s="154">
        <v>0.75</v>
      </c>
      <c r="AL945" s="154">
        <v>0.75</v>
      </c>
      <c r="AM945" cm="1">
        <f t="array" ref="AM945">SUM(_xlfn.LET(_xlpm.r,((IFERROR(H945:AL945-H944:AL944,0))*24)/10,IF(_xlpm.r&gt;1,1,_xlpm.r)))</f>
        <v>30</v>
      </c>
    </row>
    <row r="946" spans="1:41" hidden="1" x14ac:dyDescent="0.25">
      <c r="A946">
        <v>945</v>
      </c>
      <c r="B946">
        <v>2025</v>
      </c>
      <c r="C946">
        <v>5</v>
      </c>
      <c r="D946" t="s">
        <v>581</v>
      </c>
      <c r="E946">
        <v>52</v>
      </c>
      <c r="F946">
        <v>2</v>
      </c>
      <c r="G946" t="s">
        <v>534</v>
      </c>
      <c r="H946" s="154" t="s">
        <v>424</v>
      </c>
      <c r="I946" s="154" t="s">
        <v>424</v>
      </c>
      <c r="J946" s="154" t="s">
        <v>424</v>
      </c>
      <c r="K946" s="154" t="s">
        <v>424</v>
      </c>
      <c r="L946" s="154" t="s">
        <v>424</v>
      </c>
      <c r="M946" s="154" t="s">
        <v>424</v>
      </c>
      <c r="N946" s="154" t="s">
        <v>424</v>
      </c>
      <c r="O946" s="154" t="s">
        <v>424</v>
      </c>
      <c r="P946" s="154" t="s">
        <v>424</v>
      </c>
      <c r="Q946" s="154" t="s">
        <v>424</v>
      </c>
      <c r="R946" s="154" t="s">
        <v>424</v>
      </c>
      <c r="S946" s="154" t="s">
        <v>424</v>
      </c>
      <c r="T946" s="154" t="s">
        <v>424</v>
      </c>
      <c r="U946" s="154" t="s">
        <v>424</v>
      </c>
      <c r="V946" s="154" t="s">
        <v>424</v>
      </c>
      <c r="W946" s="154" t="s">
        <v>424</v>
      </c>
      <c r="X946" s="154" t="s">
        <v>424</v>
      </c>
      <c r="Y946" s="154" t="s">
        <v>424</v>
      </c>
      <c r="Z946" s="154" t="s">
        <v>424</v>
      </c>
      <c r="AA946" s="154" t="s">
        <v>424</v>
      </c>
      <c r="AB946" s="154">
        <v>0.29166666666666669</v>
      </c>
      <c r="AC946" s="154">
        <v>0.29166666666666669</v>
      </c>
      <c r="AD946" s="154">
        <v>0.29166666666666669</v>
      </c>
      <c r="AE946" s="154">
        <v>0.29166666666666669</v>
      </c>
      <c r="AF946" s="154">
        <v>0.29166666666666669</v>
      </c>
      <c r="AG946" s="154">
        <v>0.29166666666666669</v>
      </c>
      <c r="AH946" s="154">
        <v>0.29166666666666669</v>
      </c>
      <c r="AI946" s="154">
        <v>0.29166666666666669</v>
      </c>
      <c r="AJ946" s="154">
        <v>0.29166666666666669</v>
      </c>
      <c r="AK946" s="154">
        <v>0.29166666666666669</v>
      </c>
      <c r="AL946" s="154">
        <v>0.29166666666666669</v>
      </c>
    </row>
    <row r="947" spans="1:41" hidden="1" x14ac:dyDescent="0.25">
      <c r="A947">
        <v>946</v>
      </c>
      <c r="B947">
        <v>2025</v>
      </c>
      <c r="C947">
        <v>5</v>
      </c>
      <c r="D947" t="s">
        <v>581</v>
      </c>
      <c r="E947">
        <v>52</v>
      </c>
      <c r="F947">
        <v>2</v>
      </c>
      <c r="G947" t="s">
        <v>535</v>
      </c>
      <c r="H947" s="154" t="s">
        <v>424</v>
      </c>
      <c r="I947" s="154" t="s">
        <v>424</v>
      </c>
      <c r="J947" s="154" t="s">
        <v>424</v>
      </c>
      <c r="K947" s="154" t="s">
        <v>424</v>
      </c>
      <c r="L947" s="154" t="s">
        <v>424</v>
      </c>
      <c r="M947" s="154" t="s">
        <v>424</v>
      </c>
      <c r="N947" s="154" t="s">
        <v>424</v>
      </c>
      <c r="O947" s="154" t="s">
        <v>424</v>
      </c>
      <c r="P947" s="154" t="s">
        <v>424</v>
      </c>
      <c r="Q947" s="154" t="s">
        <v>424</v>
      </c>
      <c r="R947" s="154" t="s">
        <v>424</v>
      </c>
      <c r="S947" s="154" t="s">
        <v>424</v>
      </c>
      <c r="T947" s="154" t="s">
        <v>424</v>
      </c>
      <c r="U947" s="154" t="s">
        <v>424</v>
      </c>
      <c r="V947" s="154" t="s">
        <v>424</v>
      </c>
      <c r="W947" s="154" t="s">
        <v>424</v>
      </c>
      <c r="X947" s="154" t="s">
        <v>424</v>
      </c>
      <c r="Y947" s="154" t="s">
        <v>424</v>
      </c>
      <c r="Z947" s="154" t="s">
        <v>424</v>
      </c>
      <c r="AA947" s="154" t="s">
        <v>424</v>
      </c>
      <c r="AB947" s="154">
        <v>0.75</v>
      </c>
      <c r="AC947" s="154">
        <v>0.75</v>
      </c>
      <c r="AD947" s="154">
        <v>0.75</v>
      </c>
      <c r="AE947" s="154">
        <v>0.75</v>
      </c>
      <c r="AF947" s="154">
        <v>0.75</v>
      </c>
      <c r="AG947" s="154">
        <v>0.75</v>
      </c>
      <c r="AH947" s="154">
        <v>0.75</v>
      </c>
      <c r="AI947" s="154">
        <v>0.75</v>
      </c>
      <c r="AJ947" s="154">
        <v>0.75</v>
      </c>
      <c r="AK947" s="154">
        <v>0.75</v>
      </c>
      <c r="AL947" s="154">
        <v>0.75</v>
      </c>
      <c r="AM947" cm="1">
        <f t="array" ref="AM947">SUM(_xlfn.LET(_xlpm.r,((IFERROR(H947:AL947-H946:AL946,0))*24)/10,IF(_xlpm.r&gt;1,1,_xlpm.r)))</f>
        <v>11</v>
      </c>
      <c r="AO947" cm="1">
        <f t="array" ref="AO947">SUM(IFERROR(MOD((H947:AL947-H946:AL946)*24,11),""))</f>
        <v>0</v>
      </c>
    </row>
    <row r="948" spans="1:41" hidden="1" x14ac:dyDescent="0.25">
      <c r="A948">
        <v>947</v>
      </c>
      <c r="B948">
        <v>2025</v>
      </c>
      <c r="C948">
        <v>6</v>
      </c>
      <c r="D948" t="s">
        <v>578</v>
      </c>
      <c r="E948">
        <v>52</v>
      </c>
      <c r="F948">
        <v>3</v>
      </c>
      <c r="G948" t="s">
        <v>534</v>
      </c>
      <c r="H948" s="154">
        <v>0.29166666666666669</v>
      </c>
      <c r="I948" s="154">
        <v>0.29166666666666669</v>
      </c>
      <c r="J948" s="154">
        <v>0.29166666666666669</v>
      </c>
      <c r="K948" s="154">
        <v>0.29166666666666669</v>
      </c>
      <c r="L948" s="154">
        <v>0.29166666666666669</v>
      </c>
      <c r="M948" s="154" t="s">
        <v>424</v>
      </c>
      <c r="N948" s="154" t="s">
        <v>424</v>
      </c>
      <c r="O948" s="154">
        <v>0.29166666666666669</v>
      </c>
      <c r="P948" s="154">
        <v>0.29166666666666669</v>
      </c>
      <c r="Q948" s="154">
        <v>0.29166666666666669</v>
      </c>
      <c r="R948" s="154">
        <v>0.29166666666666669</v>
      </c>
      <c r="S948" s="154">
        <v>0.29166666666666669</v>
      </c>
      <c r="T948" s="154">
        <v>0.29166666666666669</v>
      </c>
      <c r="U948" s="154">
        <v>0.29166666666666669</v>
      </c>
      <c r="V948" s="154">
        <v>0.29166666666666669</v>
      </c>
      <c r="W948" s="154" t="s">
        <v>424</v>
      </c>
      <c r="X948" s="154">
        <v>0.29166666666666669</v>
      </c>
      <c r="Y948" s="154">
        <v>0.29166666666666669</v>
      </c>
      <c r="Z948" s="154">
        <v>0.29166666666666669</v>
      </c>
      <c r="AA948" s="154">
        <v>0.29166666666666669</v>
      </c>
      <c r="AB948" s="154" t="s">
        <v>424</v>
      </c>
      <c r="AC948" s="154" t="s">
        <v>424</v>
      </c>
      <c r="AD948" s="154" t="s">
        <v>424</v>
      </c>
      <c r="AE948" s="154" t="s">
        <v>424</v>
      </c>
      <c r="AF948" s="154">
        <v>0.29166666666666669</v>
      </c>
      <c r="AG948" s="154">
        <v>0.29166666666666669</v>
      </c>
      <c r="AH948" s="154" t="s">
        <v>424</v>
      </c>
      <c r="AI948" s="154" t="s">
        <v>424</v>
      </c>
      <c r="AJ948" s="154" t="s">
        <v>424</v>
      </c>
      <c r="AK948" s="154">
        <v>0.29166666666666669</v>
      </c>
      <c r="AL948" s="154" t="s">
        <v>424</v>
      </c>
    </row>
    <row r="949" spans="1:41" hidden="1" x14ac:dyDescent="0.25">
      <c r="A949">
        <v>948</v>
      </c>
      <c r="B949">
        <v>2025</v>
      </c>
      <c r="C949">
        <v>6</v>
      </c>
      <c r="D949" t="s">
        <v>578</v>
      </c>
      <c r="E949">
        <v>52</v>
      </c>
      <c r="F949">
        <v>3</v>
      </c>
      <c r="G949" t="s">
        <v>535</v>
      </c>
      <c r="H949" s="154">
        <v>0.75</v>
      </c>
      <c r="I949" s="154">
        <v>0.75</v>
      </c>
      <c r="J949" s="154">
        <v>0.75</v>
      </c>
      <c r="K949" s="154">
        <v>0.75</v>
      </c>
      <c r="L949" s="154">
        <v>0.75</v>
      </c>
      <c r="M949" s="154" t="s">
        <v>424</v>
      </c>
      <c r="N949" s="154" t="s">
        <v>424</v>
      </c>
      <c r="O949" s="154">
        <v>0.75</v>
      </c>
      <c r="P949" s="154">
        <v>0.75</v>
      </c>
      <c r="Q949" s="154">
        <v>0.75</v>
      </c>
      <c r="R949" s="154">
        <v>0.75</v>
      </c>
      <c r="S949" s="154">
        <v>0.75</v>
      </c>
      <c r="T949" s="154">
        <v>0.75</v>
      </c>
      <c r="U949" s="154">
        <v>0.75</v>
      </c>
      <c r="V949" s="154">
        <v>0.75</v>
      </c>
      <c r="W949" s="154" t="s">
        <v>424</v>
      </c>
      <c r="X949" s="154">
        <v>0.75</v>
      </c>
      <c r="Y949" s="154">
        <v>0.75</v>
      </c>
      <c r="Z949" s="154">
        <v>0.75</v>
      </c>
      <c r="AA949" s="154">
        <v>0.5</v>
      </c>
      <c r="AB949" s="154" t="s">
        <v>424</v>
      </c>
      <c r="AC949" s="154" t="s">
        <v>424</v>
      </c>
      <c r="AD949" s="154" t="s">
        <v>424</v>
      </c>
      <c r="AE949" s="154" t="s">
        <v>424</v>
      </c>
      <c r="AF949" s="154">
        <v>0.5</v>
      </c>
      <c r="AG949" s="154">
        <v>0.5</v>
      </c>
      <c r="AH949" s="154" t="s">
        <v>424</v>
      </c>
      <c r="AI949" s="154" t="s">
        <v>424</v>
      </c>
      <c r="AJ949" s="154" t="s">
        <v>424</v>
      </c>
      <c r="AK949" s="154">
        <v>0.75</v>
      </c>
      <c r="AL949" s="154" t="s">
        <v>424</v>
      </c>
      <c r="AM949" cm="1">
        <f t="array" ref="AM949">SUM(_xlfn.LET(_xlpm.r,((IFERROR(H949:AL949-H948:AL948,0))*24)/10,IF(_xlpm.r&gt;1,1,_xlpm.r)))</f>
        <v>18.5</v>
      </c>
    </row>
    <row r="950" spans="1:41" hidden="1" x14ac:dyDescent="0.25">
      <c r="A950">
        <v>949</v>
      </c>
      <c r="B950">
        <v>2025</v>
      </c>
      <c r="C950">
        <v>5</v>
      </c>
      <c r="D950" t="s">
        <v>581</v>
      </c>
      <c r="E950">
        <v>52</v>
      </c>
      <c r="F950">
        <v>3</v>
      </c>
      <c r="G950" t="s">
        <v>534</v>
      </c>
      <c r="H950" s="154">
        <v>0.29166666666666669</v>
      </c>
      <c r="I950" s="154">
        <v>0.29166666666666669</v>
      </c>
      <c r="J950" s="154">
        <v>0.29166666666666669</v>
      </c>
      <c r="K950" s="154">
        <v>0.29166666666666669</v>
      </c>
      <c r="L950" s="154">
        <v>0.29166666666666669</v>
      </c>
      <c r="M950" s="154" t="s">
        <v>424</v>
      </c>
      <c r="N950" s="154" t="s">
        <v>424</v>
      </c>
      <c r="O950" s="154">
        <v>0.29166666666666669</v>
      </c>
      <c r="P950" s="154">
        <v>0.29166666666666669</v>
      </c>
      <c r="Q950" s="154">
        <v>0.29166666666666669</v>
      </c>
      <c r="R950" s="154">
        <v>0.29166666666666669</v>
      </c>
      <c r="S950" s="154">
        <v>0.29166666666666669</v>
      </c>
      <c r="T950" s="154">
        <v>0.29166666666666669</v>
      </c>
      <c r="U950" s="154">
        <v>0.29166666666666669</v>
      </c>
      <c r="V950" s="154">
        <v>0.29166666666666669</v>
      </c>
      <c r="W950" s="154">
        <v>0.29166666666666669</v>
      </c>
      <c r="X950" s="154">
        <v>0.29166666666666669</v>
      </c>
      <c r="Y950" s="154">
        <v>0.29166666666666669</v>
      </c>
      <c r="Z950" s="154">
        <v>0.29166666666666669</v>
      </c>
      <c r="AA950" s="154">
        <v>0.29166666666666669</v>
      </c>
      <c r="AB950" s="154">
        <v>0.29166666666666669</v>
      </c>
      <c r="AC950" s="154" t="s">
        <v>424</v>
      </c>
      <c r="AD950" s="154">
        <v>0.29166666666666669</v>
      </c>
      <c r="AE950" s="154">
        <v>0.29166666666666669</v>
      </c>
      <c r="AF950" s="154">
        <v>0.29166666666666669</v>
      </c>
      <c r="AG950" s="154">
        <v>0.29166666666666669</v>
      </c>
      <c r="AH950" s="154">
        <v>0.29166666666666669</v>
      </c>
      <c r="AI950" s="154">
        <v>0.29166666666666669</v>
      </c>
      <c r="AJ950" s="154">
        <v>0.29166666666666669</v>
      </c>
      <c r="AK950" s="154">
        <v>0.29166666666666669</v>
      </c>
      <c r="AL950" s="154" t="s">
        <v>424</v>
      </c>
    </row>
    <row r="951" spans="1:41" hidden="1" x14ac:dyDescent="0.25">
      <c r="A951">
        <v>950</v>
      </c>
      <c r="B951">
        <v>2025</v>
      </c>
      <c r="C951">
        <v>5</v>
      </c>
      <c r="D951" t="s">
        <v>581</v>
      </c>
      <c r="E951">
        <v>52</v>
      </c>
      <c r="F951">
        <v>3</v>
      </c>
      <c r="G951" t="s">
        <v>535</v>
      </c>
      <c r="H951" s="154">
        <v>0.75</v>
      </c>
      <c r="I951" s="154">
        <v>0.75</v>
      </c>
      <c r="J951" s="154">
        <v>0.75</v>
      </c>
      <c r="K951" s="154">
        <v>0.75</v>
      </c>
      <c r="L951" s="154">
        <v>0.75</v>
      </c>
      <c r="M951" s="154" t="s">
        <v>424</v>
      </c>
      <c r="N951" s="154" t="s">
        <v>424</v>
      </c>
      <c r="O951" s="154">
        <v>0.75</v>
      </c>
      <c r="P951" s="154">
        <v>0.75</v>
      </c>
      <c r="Q951" s="154">
        <v>0.75</v>
      </c>
      <c r="R951" s="154">
        <v>0.75</v>
      </c>
      <c r="S951" s="154">
        <v>0.75</v>
      </c>
      <c r="T951" s="154">
        <v>0.75</v>
      </c>
      <c r="U951" s="154">
        <v>0.75</v>
      </c>
      <c r="V951" s="154">
        <v>0.75</v>
      </c>
      <c r="W951" s="154">
        <v>0.75</v>
      </c>
      <c r="X951" s="154">
        <v>0.75</v>
      </c>
      <c r="Y951" s="154">
        <v>0.75</v>
      </c>
      <c r="Z951" s="154">
        <v>0.75</v>
      </c>
      <c r="AA951" s="154">
        <v>0.75</v>
      </c>
      <c r="AB951" s="154">
        <v>0.75</v>
      </c>
      <c r="AC951" s="154" t="s">
        <v>424</v>
      </c>
      <c r="AD951" s="154">
        <v>0.75</v>
      </c>
      <c r="AE951" s="154">
        <v>0.75</v>
      </c>
      <c r="AF951" s="154">
        <v>0.75</v>
      </c>
      <c r="AG951" s="154">
        <v>0.75</v>
      </c>
      <c r="AH951" s="154">
        <v>0.75</v>
      </c>
      <c r="AI951" s="154">
        <v>0.75</v>
      </c>
      <c r="AJ951" s="154">
        <v>0.75</v>
      </c>
      <c r="AK951" s="154">
        <v>0.75</v>
      </c>
      <c r="AL951" s="154" t="s">
        <v>424</v>
      </c>
      <c r="AM951" cm="1">
        <f t="array" ref="AM951">SUM(_xlfn.LET(_xlpm.r,((IFERROR(H951:AL951-H950:AL950,0))*24)/10,IF(_xlpm.r&gt;1,1,_xlpm.r)))</f>
        <v>27</v>
      </c>
      <c r="AO951" cm="1">
        <f t="array" ref="AO951">SUM(IFERROR(MOD((H951:AL951-H950:AL950)*24,11),""))</f>
        <v>0</v>
      </c>
    </row>
    <row r="952" spans="1:41" hidden="1" x14ac:dyDescent="0.25">
      <c r="A952">
        <v>951</v>
      </c>
      <c r="B952">
        <v>2025</v>
      </c>
      <c r="C952">
        <v>7</v>
      </c>
      <c r="D952" t="s">
        <v>578</v>
      </c>
      <c r="E952">
        <v>52</v>
      </c>
      <c r="F952">
        <v>4</v>
      </c>
      <c r="G952" t="s">
        <v>534</v>
      </c>
      <c r="H952" s="154">
        <v>0.29166666666666669</v>
      </c>
      <c r="I952" s="154">
        <v>0.29166666666666669</v>
      </c>
      <c r="J952" s="154">
        <v>0.29166666666666669</v>
      </c>
      <c r="K952" s="154">
        <v>0.29166666666666669</v>
      </c>
      <c r="L952" s="154">
        <v>0.29166666666666669</v>
      </c>
      <c r="M952" s="154" t="s">
        <v>424</v>
      </c>
      <c r="N952" s="154">
        <v>0.29166666666666669</v>
      </c>
      <c r="O952" s="154">
        <v>0.29166666666666669</v>
      </c>
      <c r="P952" s="154">
        <v>0.29166666666666669</v>
      </c>
      <c r="Q952" s="154">
        <v>0.29166666666666669</v>
      </c>
      <c r="R952" s="154">
        <v>0.29166666666666669</v>
      </c>
      <c r="S952" s="154">
        <v>0.29166666666666669</v>
      </c>
      <c r="T952" s="154">
        <v>0.29166666666666669</v>
      </c>
      <c r="U952" s="154">
        <v>0.29166666666666669</v>
      </c>
      <c r="V952" s="154">
        <v>0.29166666666666669</v>
      </c>
      <c r="W952" s="154">
        <v>0.29166666666666669</v>
      </c>
      <c r="X952" s="154">
        <v>0.29166666666666669</v>
      </c>
      <c r="Y952" s="154">
        <v>0.29166666666666669</v>
      </c>
      <c r="Z952" s="154">
        <v>0.29166666666666669</v>
      </c>
      <c r="AA952" s="154">
        <v>0.29166666666666669</v>
      </c>
      <c r="AB952" s="154">
        <v>0.29166666666666669</v>
      </c>
      <c r="AC952" s="154">
        <v>0.29166666666666669</v>
      </c>
      <c r="AD952" s="154">
        <v>0.29166666666666669</v>
      </c>
      <c r="AE952" s="154">
        <v>0.29166666666666669</v>
      </c>
      <c r="AF952" s="154">
        <v>0.29166666666666669</v>
      </c>
      <c r="AG952" s="154">
        <v>0.29166666666666669</v>
      </c>
      <c r="AH952" s="154" t="s">
        <v>424</v>
      </c>
      <c r="AI952" s="154">
        <v>0.29166666666666669</v>
      </c>
      <c r="AJ952" s="154">
        <v>0.29166666666666669</v>
      </c>
      <c r="AK952" s="154">
        <v>0.29166666666666669</v>
      </c>
      <c r="AL952" s="154">
        <v>0.29166666666666669</v>
      </c>
    </row>
    <row r="953" spans="1:41" hidden="1" x14ac:dyDescent="0.25">
      <c r="A953">
        <v>952</v>
      </c>
      <c r="B953">
        <v>2025</v>
      </c>
      <c r="C953">
        <v>7</v>
      </c>
      <c r="D953" t="s">
        <v>578</v>
      </c>
      <c r="E953">
        <v>52</v>
      </c>
      <c r="F953">
        <v>4</v>
      </c>
      <c r="G953" t="s">
        <v>535</v>
      </c>
      <c r="H953" s="154">
        <v>0.75</v>
      </c>
      <c r="I953" s="154">
        <v>0.75</v>
      </c>
      <c r="J953" s="154">
        <v>0.75</v>
      </c>
      <c r="K953" s="154">
        <v>0.75</v>
      </c>
      <c r="L953" s="154">
        <v>0.75</v>
      </c>
      <c r="M953" s="154" t="s">
        <v>424</v>
      </c>
      <c r="N953" s="154">
        <v>0.75</v>
      </c>
      <c r="O953" s="154">
        <v>0.75</v>
      </c>
      <c r="P953" s="154">
        <v>0.75</v>
      </c>
      <c r="Q953" s="154">
        <v>0.75</v>
      </c>
      <c r="R953" s="154">
        <v>0.75</v>
      </c>
      <c r="S953" s="154">
        <v>0.75</v>
      </c>
      <c r="T953" s="154">
        <v>0.75</v>
      </c>
      <c r="U953" s="154">
        <v>0.75</v>
      </c>
      <c r="V953" s="154">
        <v>0.75</v>
      </c>
      <c r="W953" s="154">
        <v>0.75</v>
      </c>
      <c r="X953" s="154">
        <v>0.75</v>
      </c>
      <c r="Y953" s="154">
        <v>0.75</v>
      </c>
      <c r="Z953" s="154">
        <v>0.75</v>
      </c>
      <c r="AA953" s="154">
        <v>0.75</v>
      </c>
      <c r="AB953" s="154">
        <v>0.75</v>
      </c>
      <c r="AC953" s="154">
        <v>0.75</v>
      </c>
      <c r="AD953" s="154">
        <v>0.75</v>
      </c>
      <c r="AE953" s="154">
        <v>0.75</v>
      </c>
      <c r="AF953" s="154">
        <v>0.75</v>
      </c>
      <c r="AG953" s="154">
        <v>0.75</v>
      </c>
      <c r="AH953" s="154" t="s">
        <v>424</v>
      </c>
      <c r="AI953" s="154">
        <v>0.75</v>
      </c>
      <c r="AJ953" s="154">
        <v>0.75</v>
      </c>
      <c r="AK953" s="154">
        <v>0.75</v>
      </c>
      <c r="AL953" s="154">
        <v>0.75</v>
      </c>
      <c r="AM953" cm="1">
        <f t="array" ref="AM953">SUM(_xlfn.LET(_xlpm.r,((IFERROR(H953:AL953-H952:AL952,0))*24)/10,IF(_xlpm.r&gt;1,1,_xlpm.r)))</f>
        <v>29</v>
      </c>
    </row>
    <row r="954" spans="1:41" hidden="1" x14ac:dyDescent="0.25">
      <c r="A954">
        <v>953</v>
      </c>
      <c r="B954">
        <v>2025</v>
      </c>
      <c r="C954">
        <v>5</v>
      </c>
      <c r="D954" t="s">
        <v>584</v>
      </c>
      <c r="E954">
        <v>65</v>
      </c>
      <c r="F954">
        <v>1</v>
      </c>
      <c r="G954" t="s">
        <v>534</v>
      </c>
      <c r="H954" s="154" t="s">
        <v>424</v>
      </c>
      <c r="I954" s="154" t="s">
        <v>424</v>
      </c>
      <c r="J954" s="154" t="s">
        <v>424</v>
      </c>
      <c r="K954" s="154" t="s">
        <v>424</v>
      </c>
      <c r="L954" s="154" t="s">
        <v>424</v>
      </c>
      <c r="M954" s="154">
        <v>0.29166666666666669</v>
      </c>
      <c r="N954" s="154">
        <v>0.29166666666666669</v>
      </c>
      <c r="O954" s="154">
        <v>0.29166666666666669</v>
      </c>
      <c r="P954" s="154">
        <v>0.29166666666666669</v>
      </c>
      <c r="Q954" s="154">
        <v>0.29166666666666669</v>
      </c>
      <c r="R954" s="154">
        <v>0.29166666666666669</v>
      </c>
      <c r="S954" s="154">
        <v>0.29166666666666669</v>
      </c>
      <c r="T954" s="154">
        <v>0.29166666666666669</v>
      </c>
      <c r="U954" s="154">
        <v>0.29166666666666669</v>
      </c>
      <c r="V954" s="154">
        <v>0.29166666666666669</v>
      </c>
      <c r="W954" s="154">
        <v>0.29166666666666669</v>
      </c>
      <c r="X954" s="154">
        <v>0.29166666666666669</v>
      </c>
      <c r="Y954" s="154" t="s">
        <v>424</v>
      </c>
      <c r="Z954" s="154">
        <v>0.29166666666666669</v>
      </c>
      <c r="AA954" s="154">
        <v>0.29166666666666669</v>
      </c>
      <c r="AB954" s="154">
        <v>0.29166666666666669</v>
      </c>
      <c r="AC954" s="154">
        <v>0.29166666666666669</v>
      </c>
      <c r="AD954" s="154">
        <v>0.29166666666666669</v>
      </c>
      <c r="AE954" s="154">
        <v>0.29166666666666669</v>
      </c>
      <c r="AF954" s="154">
        <v>0.29166666666666669</v>
      </c>
      <c r="AG954" s="154">
        <v>0.29166666666666669</v>
      </c>
      <c r="AH954" s="154">
        <v>0.29166666666666669</v>
      </c>
      <c r="AI954" s="154">
        <v>0.29166666666666669</v>
      </c>
      <c r="AJ954" s="154">
        <v>0.29166666666666669</v>
      </c>
      <c r="AK954" s="154">
        <v>0.29166666666666669</v>
      </c>
      <c r="AL954" s="154">
        <v>0.29166666666666669</v>
      </c>
    </row>
    <row r="955" spans="1:41" hidden="1" x14ac:dyDescent="0.25">
      <c r="A955">
        <v>954</v>
      </c>
      <c r="B955">
        <v>2025</v>
      </c>
      <c r="C955">
        <v>5</v>
      </c>
      <c r="D955" t="s">
        <v>584</v>
      </c>
      <c r="E955">
        <v>65</v>
      </c>
      <c r="F955">
        <v>1</v>
      </c>
      <c r="G955" t="s">
        <v>535</v>
      </c>
      <c r="H955" s="154" t="s">
        <v>424</v>
      </c>
      <c r="I955" s="154" t="s">
        <v>424</v>
      </c>
      <c r="J955" s="154" t="s">
        <v>424</v>
      </c>
      <c r="K955" s="154" t="s">
        <v>424</v>
      </c>
      <c r="L955" s="154" t="s">
        <v>424</v>
      </c>
      <c r="M955" s="154">
        <v>0.75</v>
      </c>
      <c r="N955" s="154">
        <v>0.75</v>
      </c>
      <c r="O955" s="154">
        <v>0.75</v>
      </c>
      <c r="P955" s="154">
        <v>0.75</v>
      </c>
      <c r="Q955" s="154">
        <v>0.75</v>
      </c>
      <c r="R955" s="154">
        <v>0.75</v>
      </c>
      <c r="S955" s="154">
        <v>0.75</v>
      </c>
      <c r="T955" s="154">
        <v>0.75</v>
      </c>
      <c r="U955" s="154">
        <v>0.75</v>
      </c>
      <c r="V955" s="154">
        <v>0.75</v>
      </c>
      <c r="W955" s="154">
        <v>0.75</v>
      </c>
      <c r="X955" s="154">
        <v>0.75</v>
      </c>
      <c r="Y955" s="154" t="s">
        <v>424</v>
      </c>
      <c r="Z955" s="154">
        <v>0.75</v>
      </c>
      <c r="AA955" s="154">
        <v>0.75</v>
      </c>
      <c r="AB955" s="154">
        <v>0.75</v>
      </c>
      <c r="AC955" s="154">
        <v>0.75</v>
      </c>
      <c r="AD955" s="154">
        <v>0.75</v>
      </c>
      <c r="AE955" s="154">
        <v>0.75</v>
      </c>
      <c r="AF955" s="154">
        <v>0.75</v>
      </c>
      <c r="AG955" s="154">
        <v>0.75</v>
      </c>
      <c r="AH955" s="154">
        <v>0.75</v>
      </c>
      <c r="AI955" s="154">
        <v>0.75</v>
      </c>
      <c r="AJ955" s="154">
        <v>0.75</v>
      </c>
      <c r="AK955" s="154">
        <v>0.75</v>
      </c>
      <c r="AL955" s="154">
        <v>0.75</v>
      </c>
      <c r="AM955" cm="1">
        <f t="array" ref="AM955">SUM(_xlfn.LET(_xlpm.r,((IFERROR(H955:AL955-H954:AL954,0))*24)/10,IF(_xlpm.r&gt;1,1,_xlpm.r)))</f>
        <v>25</v>
      </c>
      <c r="AO955" cm="1">
        <f t="array" ref="AO955">SUM(IFERROR(MOD((H955:AL955-H954:AL954)*24,11),""))</f>
        <v>0</v>
      </c>
    </row>
    <row r="956" spans="1:41" hidden="1" x14ac:dyDescent="0.25">
      <c r="A956">
        <v>955</v>
      </c>
      <c r="B956">
        <v>2025</v>
      </c>
      <c r="C956">
        <v>5</v>
      </c>
      <c r="D956" t="s">
        <v>585</v>
      </c>
      <c r="E956">
        <v>65</v>
      </c>
      <c r="F956">
        <f>+F955</f>
        <v>1</v>
      </c>
      <c r="G956" t="s">
        <v>534</v>
      </c>
      <c r="H956" s="154" t="s">
        <v>424</v>
      </c>
      <c r="I956" s="154" t="s">
        <v>424</v>
      </c>
      <c r="J956" s="154" t="s">
        <v>424</v>
      </c>
      <c r="K956" s="154" t="s">
        <v>424</v>
      </c>
      <c r="L956" s="154" t="s">
        <v>424</v>
      </c>
      <c r="M956" s="154" t="s">
        <v>424</v>
      </c>
      <c r="N956" s="154" t="s">
        <v>424</v>
      </c>
      <c r="O956" s="154" t="s">
        <v>424</v>
      </c>
      <c r="P956" s="154">
        <v>0.29166666666666669</v>
      </c>
      <c r="Q956" s="154">
        <v>0.29166666666666669</v>
      </c>
      <c r="R956" s="154">
        <v>0.29166666666666669</v>
      </c>
      <c r="S956" s="154">
        <v>0.29166666666666669</v>
      </c>
      <c r="T956" s="154">
        <v>0.29166666666666669</v>
      </c>
      <c r="U956" s="154">
        <v>0.29166666666666669</v>
      </c>
      <c r="V956" s="154">
        <v>0.29166666666666669</v>
      </c>
      <c r="W956" s="154">
        <v>0.29166666666666669</v>
      </c>
      <c r="X956" s="154">
        <v>0.29166666666666669</v>
      </c>
      <c r="Y956" s="154" t="s">
        <v>424</v>
      </c>
      <c r="Z956" s="154">
        <v>0.29166666666666669</v>
      </c>
      <c r="AA956" s="154">
        <v>0.29166666666666669</v>
      </c>
      <c r="AB956" s="154">
        <v>0.29166666666666669</v>
      </c>
      <c r="AC956" s="154">
        <v>0.29166666666666669</v>
      </c>
      <c r="AD956" s="154">
        <v>0.29166666666666669</v>
      </c>
      <c r="AE956" s="154">
        <v>0.29166666666666669</v>
      </c>
      <c r="AF956" s="154">
        <v>0.29166666666666669</v>
      </c>
      <c r="AG956" s="154">
        <v>0.29166666666666669</v>
      </c>
      <c r="AH956" s="154">
        <v>0.29166666666666669</v>
      </c>
      <c r="AI956" s="154">
        <v>0.29166666666666669</v>
      </c>
      <c r="AJ956" s="154">
        <v>0.29166666666666669</v>
      </c>
      <c r="AK956" s="154">
        <v>0.29166666666666669</v>
      </c>
      <c r="AL956" s="154">
        <v>0.29166666666666669</v>
      </c>
    </row>
    <row r="957" spans="1:41" hidden="1" x14ac:dyDescent="0.25">
      <c r="A957">
        <v>956</v>
      </c>
      <c r="B957">
        <v>2025</v>
      </c>
      <c r="C957">
        <v>5</v>
      </c>
      <c r="D957" t="s">
        <v>585</v>
      </c>
      <c r="E957">
        <v>65</v>
      </c>
      <c r="F957">
        <f>+F956</f>
        <v>1</v>
      </c>
      <c r="G957" t="s">
        <v>535</v>
      </c>
      <c r="H957" s="154" t="s">
        <v>424</v>
      </c>
      <c r="I957" s="154" t="s">
        <v>424</v>
      </c>
      <c r="J957" s="154" t="s">
        <v>424</v>
      </c>
      <c r="K957" s="154" t="s">
        <v>424</v>
      </c>
      <c r="L957" s="154" t="s">
        <v>424</v>
      </c>
      <c r="M957" s="154" t="s">
        <v>424</v>
      </c>
      <c r="N957" s="154" t="s">
        <v>424</v>
      </c>
      <c r="O957" s="154" t="s">
        <v>424</v>
      </c>
      <c r="P957" s="154">
        <v>0.75</v>
      </c>
      <c r="Q957" s="154">
        <v>0.75</v>
      </c>
      <c r="R957" s="154">
        <v>0.75</v>
      </c>
      <c r="S957" s="154">
        <v>0.75</v>
      </c>
      <c r="T957" s="154">
        <v>0.75</v>
      </c>
      <c r="U957" s="154">
        <v>0.75</v>
      </c>
      <c r="V957" s="154">
        <v>0.75</v>
      </c>
      <c r="W957" s="154">
        <v>0.75</v>
      </c>
      <c r="X957" s="154">
        <v>0.75</v>
      </c>
      <c r="Y957" s="154" t="s">
        <v>424</v>
      </c>
      <c r="Z957" s="154">
        <v>0.75</v>
      </c>
      <c r="AA957" s="154">
        <v>0.75</v>
      </c>
      <c r="AB957" s="154">
        <v>0.75</v>
      </c>
      <c r="AC957" s="154">
        <v>0.75</v>
      </c>
      <c r="AD957" s="154">
        <v>0.75</v>
      </c>
      <c r="AE957" s="154">
        <v>0.75</v>
      </c>
      <c r="AF957" s="154">
        <v>0.75</v>
      </c>
      <c r="AG957" s="154">
        <v>0.75</v>
      </c>
      <c r="AH957" s="154">
        <v>0.75</v>
      </c>
      <c r="AI957" s="154">
        <v>0.75</v>
      </c>
      <c r="AJ957" s="154">
        <v>0.75</v>
      </c>
      <c r="AK957" s="154">
        <v>0.75</v>
      </c>
      <c r="AL957" s="154">
        <v>0.75</v>
      </c>
      <c r="AM957" cm="1">
        <f t="array" ref="AM957">SUM(_xlfn.LET(_xlpm.r,((IFERROR(H957:AL957-H956:AL956,0))*24)/10,IF(_xlpm.r&gt;1,1,_xlpm.r)))</f>
        <v>22</v>
      </c>
    </row>
    <row r="958" spans="1:41" hidden="1" x14ac:dyDescent="0.25">
      <c r="A958">
        <v>957</v>
      </c>
      <c r="B958">
        <v>2025</v>
      </c>
      <c r="C958">
        <v>6</v>
      </c>
      <c r="D958" t="s">
        <v>584</v>
      </c>
      <c r="E958">
        <v>65</v>
      </c>
      <c r="F958">
        <v>2</v>
      </c>
      <c r="G958" t="s">
        <v>534</v>
      </c>
      <c r="H958" s="154">
        <v>0.29166666666666669</v>
      </c>
      <c r="I958" s="154">
        <v>0.29166666666666669</v>
      </c>
      <c r="J958" s="154">
        <v>0.29166666666666669</v>
      </c>
      <c r="K958" s="154" t="s">
        <v>424</v>
      </c>
      <c r="L958" s="154">
        <v>0.29166666666666669</v>
      </c>
      <c r="M958" s="154" t="s">
        <v>424</v>
      </c>
      <c r="N958" s="154" t="s">
        <v>424</v>
      </c>
      <c r="O958" s="154">
        <v>0.29166666666666669</v>
      </c>
      <c r="P958" s="154">
        <v>0.29166666666666669</v>
      </c>
      <c r="Q958" s="154">
        <v>0.29166666666666669</v>
      </c>
      <c r="R958" s="154">
        <v>0.29166666666666669</v>
      </c>
      <c r="S958" s="154">
        <v>0.29166666666666669</v>
      </c>
      <c r="T958" s="154">
        <v>0.29166666666666669</v>
      </c>
      <c r="U958" s="154">
        <v>0.29166666666666669</v>
      </c>
      <c r="V958" s="154">
        <v>0.29166666666666669</v>
      </c>
      <c r="W958" s="154">
        <v>0.29166666666666669</v>
      </c>
      <c r="X958" s="154" t="s">
        <v>424</v>
      </c>
      <c r="Y958" s="154">
        <v>0.29166666666666669</v>
      </c>
      <c r="Z958" s="154">
        <v>0.29166666666666669</v>
      </c>
      <c r="AA958" s="154">
        <v>0.29166666666666669</v>
      </c>
      <c r="AB958" s="154">
        <v>0.29166666666666669</v>
      </c>
      <c r="AC958" s="154" t="s">
        <v>424</v>
      </c>
      <c r="AD958" s="154">
        <v>0.29166666666666669</v>
      </c>
      <c r="AE958" s="154">
        <v>0.29166666666666669</v>
      </c>
      <c r="AF958" s="154">
        <v>0.29166666666666669</v>
      </c>
      <c r="AG958" s="154">
        <v>0.29166666666666669</v>
      </c>
      <c r="AH958" s="154">
        <v>0.29166666666666669</v>
      </c>
      <c r="AI958" s="154" t="s">
        <v>424</v>
      </c>
      <c r="AJ958" s="154">
        <v>0.29166666666666669</v>
      </c>
      <c r="AK958" s="154">
        <v>0.29166666666666669</v>
      </c>
      <c r="AL958" s="154" t="s">
        <v>424</v>
      </c>
    </row>
    <row r="959" spans="1:41" hidden="1" x14ac:dyDescent="0.25">
      <c r="A959">
        <v>958</v>
      </c>
      <c r="B959">
        <v>2025</v>
      </c>
      <c r="C959">
        <v>6</v>
      </c>
      <c r="D959" t="s">
        <v>584</v>
      </c>
      <c r="E959">
        <v>65</v>
      </c>
      <c r="F959">
        <v>2</v>
      </c>
      <c r="G959" t="s">
        <v>535</v>
      </c>
      <c r="H959" s="154">
        <v>0.75</v>
      </c>
      <c r="I959" s="154">
        <v>0.75</v>
      </c>
      <c r="J959" s="154">
        <v>0.75</v>
      </c>
      <c r="K959" s="154" t="s">
        <v>424</v>
      </c>
      <c r="L959" s="154">
        <v>0.75</v>
      </c>
      <c r="M959" s="154" t="s">
        <v>424</v>
      </c>
      <c r="N959" s="154" t="s">
        <v>424</v>
      </c>
      <c r="O959" s="154">
        <v>0.75</v>
      </c>
      <c r="P959" s="154">
        <v>0.75</v>
      </c>
      <c r="Q959" s="154">
        <v>0.75</v>
      </c>
      <c r="R959" s="154">
        <v>0.75</v>
      </c>
      <c r="S959" s="154">
        <v>0.75</v>
      </c>
      <c r="T959" s="154">
        <v>0.75</v>
      </c>
      <c r="U959" s="154">
        <v>0.75</v>
      </c>
      <c r="V959" s="154">
        <v>0.75</v>
      </c>
      <c r="W959" s="154">
        <v>0.75</v>
      </c>
      <c r="X959" s="154" t="s">
        <v>424</v>
      </c>
      <c r="Y959" s="154">
        <v>0.75</v>
      </c>
      <c r="Z959" s="154">
        <v>0.75</v>
      </c>
      <c r="AA959" s="154">
        <v>0.75</v>
      </c>
      <c r="AB959" s="154">
        <v>0.75</v>
      </c>
      <c r="AC959" s="154" t="s">
        <v>424</v>
      </c>
      <c r="AD959" s="154">
        <v>0.75</v>
      </c>
      <c r="AE959" s="154">
        <v>0.75</v>
      </c>
      <c r="AF959" s="154">
        <v>0.75</v>
      </c>
      <c r="AG959" s="154">
        <v>0.75</v>
      </c>
      <c r="AH959" s="154">
        <v>0.75</v>
      </c>
      <c r="AI959" s="154" t="s">
        <v>424</v>
      </c>
      <c r="AJ959" s="154">
        <v>0.5</v>
      </c>
      <c r="AK959" s="154">
        <v>0.75</v>
      </c>
      <c r="AL959" s="154" t="s">
        <v>424</v>
      </c>
      <c r="AM959" cm="1">
        <f t="array" ref="AM959">SUM(_xlfn.LET(_xlpm.r,((IFERROR(H959:AL959-H958:AL958,0))*24)/10,IF(_xlpm.r&gt;1,1,_xlpm.r)))</f>
        <v>23.5</v>
      </c>
    </row>
    <row r="960" spans="1:41" hidden="1" x14ac:dyDescent="0.25">
      <c r="A960">
        <v>959</v>
      </c>
      <c r="B960">
        <v>2025</v>
      </c>
      <c r="C960">
        <v>6</v>
      </c>
      <c r="D960" t="s">
        <v>585</v>
      </c>
      <c r="E960">
        <v>65</v>
      </c>
      <c r="F960">
        <v>2</v>
      </c>
      <c r="G960" t="s">
        <v>534</v>
      </c>
      <c r="H960" s="154">
        <v>0.29166666666666669</v>
      </c>
      <c r="I960" s="154">
        <v>0.29166666666666669</v>
      </c>
      <c r="J960" s="154">
        <v>0.29166666666666669</v>
      </c>
      <c r="K960" s="154">
        <v>0.29166666666666669</v>
      </c>
      <c r="L960" s="154">
        <v>0.29166666666666669</v>
      </c>
      <c r="M960" s="154" t="s">
        <v>424</v>
      </c>
      <c r="N960" s="154" t="s">
        <v>424</v>
      </c>
      <c r="O960" s="154">
        <v>0.29166666666666669</v>
      </c>
      <c r="P960" s="154">
        <v>0.29166666666666669</v>
      </c>
      <c r="Q960" s="154">
        <v>0.29166666666666669</v>
      </c>
      <c r="R960" s="154">
        <v>0.29166666666666669</v>
      </c>
      <c r="S960" s="154">
        <v>0.29166666666666669</v>
      </c>
      <c r="T960" s="154">
        <v>0.29166666666666669</v>
      </c>
      <c r="U960" s="154">
        <v>0.29166666666666669</v>
      </c>
      <c r="V960" s="154">
        <v>0.29166666666666669</v>
      </c>
      <c r="W960" s="154">
        <v>0.29166666666666669</v>
      </c>
      <c r="X960" s="154">
        <v>0.29166666666666669</v>
      </c>
      <c r="Y960" s="154">
        <v>0.29166666666666669</v>
      </c>
      <c r="Z960" s="154">
        <v>0.29166666666666669</v>
      </c>
      <c r="AA960" s="154">
        <v>0.29166666666666669</v>
      </c>
      <c r="AB960" s="154">
        <v>0.29166666666666669</v>
      </c>
      <c r="AC960" s="154" t="s">
        <v>424</v>
      </c>
      <c r="AD960" s="154">
        <v>0.29166666666666669</v>
      </c>
      <c r="AE960" s="154">
        <v>0.29166666666666669</v>
      </c>
      <c r="AF960" s="154">
        <v>0.29166666666666669</v>
      </c>
      <c r="AG960" s="154">
        <v>0.29166666666666669</v>
      </c>
      <c r="AH960" s="154">
        <v>0.29166666666666669</v>
      </c>
      <c r="AI960" s="154">
        <v>0.29166666666666669</v>
      </c>
      <c r="AJ960" s="154">
        <v>0.29166666666666669</v>
      </c>
      <c r="AK960" s="154">
        <v>0.29166666666666669</v>
      </c>
      <c r="AL960" s="154" t="s">
        <v>424</v>
      </c>
    </row>
    <row r="961" spans="1:41" hidden="1" x14ac:dyDescent="0.25">
      <c r="A961">
        <v>960</v>
      </c>
      <c r="B961">
        <v>2025</v>
      </c>
      <c r="C961">
        <v>6</v>
      </c>
      <c r="D961" t="s">
        <v>585</v>
      </c>
      <c r="E961">
        <v>65</v>
      </c>
      <c r="F961">
        <v>2</v>
      </c>
      <c r="G961" t="s">
        <v>535</v>
      </c>
      <c r="H961" s="154">
        <v>0.75</v>
      </c>
      <c r="I961" s="154">
        <v>0.75</v>
      </c>
      <c r="J961" s="154">
        <v>0.75</v>
      </c>
      <c r="K961" s="154">
        <v>0.75</v>
      </c>
      <c r="L961" s="154">
        <v>0.75</v>
      </c>
      <c r="M961" s="154" t="s">
        <v>424</v>
      </c>
      <c r="N961" s="154" t="s">
        <v>424</v>
      </c>
      <c r="O961" s="154">
        <v>0.75</v>
      </c>
      <c r="P961" s="154">
        <v>0.75</v>
      </c>
      <c r="Q961" s="154">
        <v>0.75</v>
      </c>
      <c r="R961" s="154">
        <v>0.75</v>
      </c>
      <c r="S961" s="154">
        <v>0.75</v>
      </c>
      <c r="T961" s="154">
        <v>0.75</v>
      </c>
      <c r="U961" s="154">
        <v>0.75</v>
      </c>
      <c r="V961" s="154">
        <v>0.75</v>
      </c>
      <c r="W961" s="154">
        <v>0.75</v>
      </c>
      <c r="X961" s="154">
        <v>0.75</v>
      </c>
      <c r="Y961" s="154">
        <v>0.75</v>
      </c>
      <c r="Z961" s="154">
        <v>0.75</v>
      </c>
      <c r="AA961" s="154">
        <v>0.75</v>
      </c>
      <c r="AB961" s="154">
        <v>0.75</v>
      </c>
      <c r="AC961" s="154" t="s">
        <v>424</v>
      </c>
      <c r="AD961" s="154">
        <v>0.75</v>
      </c>
      <c r="AE961" s="154">
        <v>0.75</v>
      </c>
      <c r="AF961" s="154">
        <v>0.75</v>
      </c>
      <c r="AG961" s="154">
        <v>0.75</v>
      </c>
      <c r="AH961" s="154">
        <v>0.75</v>
      </c>
      <c r="AI961" s="154">
        <v>0.75</v>
      </c>
      <c r="AJ961" s="154">
        <v>0.75</v>
      </c>
      <c r="AK961" s="154">
        <v>0.75</v>
      </c>
      <c r="AL961" s="154" t="s">
        <v>424</v>
      </c>
      <c r="AM961" cm="1">
        <f t="array" ref="AM961">SUM(_xlfn.LET(_xlpm.r,((IFERROR(H961:AL961-H960:AL960,0))*24)/10,IF(_xlpm.r&gt;1,1,_xlpm.r)))</f>
        <v>27</v>
      </c>
    </row>
    <row r="962" spans="1:41" hidden="1" x14ac:dyDescent="0.25">
      <c r="A962">
        <v>961</v>
      </c>
      <c r="B962">
        <v>2025</v>
      </c>
      <c r="C962">
        <v>7</v>
      </c>
      <c r="D962" t="s">
        <v>584</v>
      </c>
      <c r="E962">
        <v>65</v>
      </c>
      <c r="F962">
        <v>3</v>
      </c>
      <c r="G962" t="s">
        <v>534</v>
      </c>
      <c r="H962" s="154">
        <v>0.29166666666666669</v>
      </c>
      <c r="I962" s="154">
        <v>0.29166666666666669</v>
      </c>
      <c r="J962" s="154">
        <v>0.29166666666666669</v>
      </c>
      <c r="K962" s="154">
        <v>0.29166666666666669</v>
      </c>
      <c r="L962" s="154">
        <v>0.29166666666666669</v>
      </c>
      <c r="M962" s="154" t="s">
        <v>424</v>
      </c>
      <c r="N962" s="154">
        <v>0.29166666666666669</v>
      </c>
      <c r="O962" s="154">
        <v>0.29166666666666669</v>
      </c>
      <c r="P962" s="154">
        <v>0.29166666666666669</v>
      </c>
      <c r="Q962" s="154">
        <v>0.29166666666666669</v>
      </c>
      <c r="R962" s="154">
        <v>0.29166666666666669</v>
      </c>
      <c r="S962" s="154">
        <v>0.29166666666666669</v>
      </c>
      <c r="T962" s="154">
        <v>0.29166666666666669</v>
      </c>
      <c r="U962" s="154">
        <v>0.29166666666666669</v>
      </c>
      <c r="V962" s="154">
        <v>0.29166666666666669</v>
      </c>
      <c r="W962" s="154">
        <v>0.29166666666666669</v>
      </c>
      <c r="X962" s="154">
        <v>0.29166666666666669</v>
      </c>
      <c r="Y962" s="154">
        <v>0.29166666666666669</v>
      </c>
      <c r="Z962" s="154">
        <v>0.29166666666666669</v>
      </c>
      <c r="AA962" s="154">
        <v>0.29166666666666669</v>
      </c>
      <c r="AB962" s="154">
        <v>0.29166666666666669</v>
      </c>
      <c r="AC962" s="154">
        <v>0.29166666666666669</v>
      </c>
      <c r="AD962" s="154">
        <v>0.29166666666666669</v>
      </c>
      <c r="AE962" s="154">
        <v>0.29166666666666669</v>
      </c>
      <c r="AF962" s="154">
        <v>0.29166666666666669</v>
      </c>
      <c r="AG962" s="154">
        <v>0.29166666666666669</v>
      </c>
      <c r="AH962" s="154" t="s">
        <v>424</v>
      </c>
      <c r="AI962" s="154">
        <v>0.29166666666666669</v>
      </c>
      <c r="AJ962" s="154">
        <v>0.29166666666666669</v>
      </c>
      <c r="AK962" s="154">
        <v>0.29166666666666669</v>
      </c>
      <c r="AL962" s="154">
        <v>0.29166666666666669</v>
      </c>
    </row>
    <row r="963" spans="1:41" hidden="1" x14ac:dyDescent="0.25">
      <c r="A963">
        <v>962</v>
      </c>
      <c r="B963">
        <v>2025</v>
      </c>
      <c r="C963">
        <v>7</v>
      </c>
      <c r="D963" t="s">
        <v>584</v>
      </c>
      <c r="E963">
        <v>65</v>
      </c>
      <c r="F963">
        <v>3</v>
      </c>
      <c r="G963" t="s">
        <v>535</v>
      </c>
      <c r="H963" s="154">
        <v>0.75</v>
      </c>
      <c r="I963" s="154">
        <v>0.75</v>
      </c>
      <c r="J963" s="154">
        <v>0.75</v>
      </c>
      <c r="K963" s="154">
        <v>0.75</v>
      </c>
      <c r="L963" s="154">
        <v>0.75</v>
      </c>
      <c r="M963" s="154" t="s">
        <v>424</v>
      </c>
      <c r="N963" s="154">
        <v>0.75</v>
      </c>
      <c r="O963" s="154">
        <v>0.75</v>
      </c>
      <c r="P963" s="154">
        <v>0.75</v>
      </c>
      <c r="Q963" s="154">
        <v>0.75</v>
      </c>
      <c r="R963" s="154">
        <v>0.75</v>
      </c>
      <c r="S963" s="154">
        <v>0.75</v>
      </c>
      <c r="T963" s="154">
        <v>0.75</v>
      </c>
      <c r="U963" s="154">
        <v>0.75</v>
      </c>
      <c r="V963" s="154">
        <v>0.75</v>
      </c>
      <c r="W963" s="154">
        <v>0.75</v>
      </c>
      <c r="X963" s="154">
        <v>0.75</v>
      </c>
      <c r="Y963" s="154">
        <v>0.75</v>
      </c>
      <c r="Z963" s="154">
        <v>0.75</v>
      </c>
      <c r="AA963" s="154">
        <v>0.75</v>
      </c>
      <c r="AB963" s="154">
        <v>0.75</v>
      </c>
      <c r="AC963" s="154">
        <v>0.75</v>
      </c>
      <c r="AD963" s="154">
        <v>0.75</v>
      </c>
      <c r="AE963" s="154">
        <v>0.75</v>
      </c>
      <c r="AF963" s="154">
        <v>0.75</v>
      </c>
      <c r="AG963" s="154">
        <v>0.75</v>
      </c>
      <c r="AH963" s="154" t="s">
        <v>424</v>
      </c>
      <c r="AI963" s="154">
        <v>0.75</v>
      </c>
      <c r="AJ963" s="154">
        <v>0.75</v>
      </c>
      <c r="AK963" s="154">
        <v>0.75</v>
      </c>
      <c r="AL963" s="154">
        <v>0.75</v>
      </c>
      <c r="AM963" cm="1">
        <f t="array" ref="AM963">SUM(_xlfn.LET(_xlpm.r,((IFERROR(H963:AL963-H962:AL962,0))*24)/10,IF(_xlpm.r&gt;1,1,_xlpm.r)))</f>
        <v>29</v>
      </c>
      <c r="AO963" cm="1">
        <f t="array" ref="AO963">SUM(IFERROR(MOD((H963:AL963-H962:AL962)*24,11),""))</f>
        <v>0</v>
      </c>
    </row>
    <row r="964" spans="1:41" hidden="1" x14ac:dyDescent="0.25">
      <c r="A964">
        <v>963</v>
      </c>
      <c r="B964">
        <v>2025</v>
      </c>
      <c r="C964">
        <v>7</v>
      </c>
      <c r="D964" t="s">
        <v>585</v>
      </c>
      <c r="E964">
        <v>65</v>
      </c>
      <c r="F964">
        <v>3</v>
      </c>
      <c r="G964" t="s">
        <v>534</v>
      </c>
      <c r="H964" s="154">
        <v>0.29166666666666669</v>
      </c>
      <c r="I964" s="154">
        <v>0.29166666666666669</v>
      </c>
      <c r="J964" s="154">
        <v>0.29166666666666669</v>
      </c>
      <c r="K964" s="154">
        <v>0.29166666666666669</v>
      </c>
      <c r="L964" s="154">
        <v>0.29166666666666669</v>
      </c>
      <c r="M964" s="154" t="s">
        <v>424</v>
      </c>
      <c r="N964" s="154">
        <v>0.29166666666666669</v>
      </c>
      <c r="O964" s="154">
        <v>0.29166666666666669</v>
      </c>
      <c r="P964" s="154">
        <v>0.29166666666666669</v>
      </c>
      <c r="Q964" s="154">
        <v>0.29166666666666669</v>
      </c>
      <c r="R964" s="154">
        <v>0.29166666666666669</v>
      </c>
      <c r="S964" s="154">
        <v>0.29166666666666669</v>
      </c>
      <c r="T964" s="154">
        <v>0.29166666666666669</v>
      </c>
      <c r="U964" s="154">
        <v>0.29166666666666669</v>
      </c>
      <c r="V964" s="154">
        <v>0.29166666666666669</v>
      </c>
      <c r="W964" s="154">
        <v>0.29166666666666669</v>
      </c>
      <c r="X964" s="154">
        <v>0.29166666666666669</v>
      </c>
      <c r="Y964" s="154">
        <v>0.29166666666666669</v>
      </c>
      <c r="Z964" s="154">
        <v>0.29166666666666669</v>
      </c>
      <c r="AA964" s="154" t="s">
        <v>424</v>
      </c>
      <c r="AB964" s="154" t="s">
        <v>424</v>
      </c>
      <c r="AC964" s="154" t="s">
        <v>424</v>
      </c>
      <c r="AD964" s="154" t="s">
        <v>424</v>
      </c>
      <c r="AE964" s="154" t="s">
        <v>424</v>
      </c>
      <c r="AF964" s="154" t="s">
        <v>424</v>
      </c>
      <c r="AG964" s="154" t="s">
        <v>424</v>
      </c>
      <c r="AH964" s="154" t="s">
        <v>424</v>
      </c>
      <c r="AI964" s="154" t="s">
        <v>424</v>
      </c>
      <c r="AJ964" s="154" t="s">
        <v>424</v>
      </c>
      <c r="AK964" s="154" t="s">
        <v>424</v>
      </c>
      <c r="AL964" s="154" t="s">
        <v>424</v>
      </c>
    </row>
    <row r="965" spans="1:41" hidden="1" x14ac:dyDescent="0.25">
      <c r="A965">
        <v>964</v>
      </c>
      <c r="B965">
        <v>2025</v>
      </c>
      <c r="C965">
        <v>7</v>
      </c>
      <c r="D965" t="s">
        <v>585</v>
      </c>
      <c r="E965">
        <v>65</v>
      </c>
      <c r="F965">
        <v>3</v>
      </c>
      <c r="G965" t="s">
        <v>535</v>
      </c>
      <c r="H965" s="154">
        <v>0.75</v>
      </c>
      <c r="I965" s="154">
        <v>0.75</v>
      </c>
      <c r="J965" s="154">
        <v>0.75</v>
      </c>
      <c r="K965" s="154">
        <v>0.75</v>
      </c>
      <c r="L965" s="154">
        <v>0.75</v>
      </c>
      <c r="M965" s="154" t="s">
        <v>424</v>
      </c>
      <c r="N965" s="154">
        <v>0.75</v>
      </c>
      <c r="O965" s="154">
        <v>0.75</v>
      </c>
      <c r="P965" s="154">
        <v>0.75</v>
      </c>
      <c r="Q965" s="154">
        <v>0.75</v>
      </c>
      <c r="R965" s="154">
        <v>0.75</v>
      </c>
      <c r="S965" s="154">
        <v>0.75</v>
      </c>
      <c r="T965" s="154">
        <v>0.75</v>
      </c>
      <c r="U965" s="154">
        <v>0.75</v>
      </c>
      <c r="V965" s="154">
        <v>0.75</v>
      </c>
      <c r="W965" s="154">
        <v>0.75</v>
      </c>
      <c r="X965" s="154">
        <v>0.75</v>
      </c>
      <c r="Y965" s="154">
        <v>0.75</v>
      </c>
      <c r="Z965" s="154">
        <v>0.75</v>
      </c>
      <c r="AA965" s="154" t="s">
        <v>424</v>
      </c>
      <c r="AB965" s="154" t="s">
        <v>424</v>
      </c>
      <c r="AC965" s="154" t="s">
        <v>424</v>
      </c>
      <c r="AD965" s="154" t="s">
        <v>424</v>
      </c>
      <c r="AE965" s="154" t="s">
        <v>424</v>
      </c>
      <c r="AF965" s="154" t="s">
        <v>424</v>
      </c>
      <c r="AG965" s="154" t="s">
        <v>424</v>
      </c>
      <c r="AH965" s="154" t="s">
        <v>424</v>
      </c>
      <c r="AI965" s="154" t="s">
        <v>424</v>
      </c>
      <c r="AJ965" s="154" t="s">
        <v>424</v>
      </c>
      <c r="AK965" s="154" t="s">
        <v>424</v>
      </c>
      <c r="AL965" s="154" t="s">
        <v>424</v>
      </c>
      <c r="AM965" cm="1">
        <f t="array" ref="AM965">SUM(_xlfn.LET(_xlpm.r,((IFERROR(H965:AL965-H964:AL964,0))*24)/10,IF(_xlpm.r&gt;1,1,_xlpm.r)))</f>
        <v>18</v>
      </c>
    </row>
    <row r="966" spans="1:41" hidden="1" x14ac:dyDescent="0.25">
      <c r="A966">
        <v>965</v>
      </c>
      <c r="B966">
        <v>2025</v>
      </c>
      <c r="C966">
        <v>8</v>
      </c>
      <c r="D966" t="s">
        <v>584</v>
      </c>
      <c r="E966">
        <v>65</v>
      </c>
      <c r="F966">
        <v>4</v>
      </c>
      <c r="G966" t="s">
        <v>534</v>
      </c>
      <c r="H966" s="154">
        <v>0.29166666666666669</v>
      </c>
      <c r="I966" s="154">
        <v>0.29166666666666669</v>
      </c>
      <c r="J966" s="154">
        <v>0.29166666666666669</v>
      </c>
      <c r="K966" s="154">
        <v>0.29166666666666669</v>
      </c>
      <c r="L966" s="154">
        <v>0.29166666666666669</v>
      </c>
      <c r="M966" s="154">
        <v>0.29166666666666669</v>
      </c>
      <c r="N966" s="154">
        <v>0.29166666666666669</v>
      </c>
      <c r="O966" s="154">
        <v>0.29166666666666669</v>
      </c>
      <c r="P966" s="154">
        <v>0.29166666666666669</v>
      </c>
      <c r="Q966" s="154" t="s">
        <v>424</v>
      </c>
      <c r="R966" s="154">
        <v>0.29166666666666669</v>
      </c>
      <c r="S966" s="154">
        <v>0.29166666666666669</v>
      </c>
      <c r="T966" s="154">
        <v>0.29166666666666669</v>
      </c>
      <c r="U966" s="154">
        <v>0.29166666666666669</v>
      </c>
      <c r="V966" s="154">
        <v>0.29166666666666669</v>
      </c>
      <c r="W966" s="154">
        <v>0.29166666666666669</v>
      </c>
      <c r="X966" s="154">
        <v>0.29166666666666669</v>
      </c>
      <c r="Y966" s="154">
        <v>0.29166666666666669</v>
      </c>
      <c r="Z966" s="154">
        <v>0.29166666666666669</v>
      </c>
      <c r="AA966" s="154">
        <v>0.29166666666666669</v>
      </c>
      <c r="AB966" s="154">
        <v>0.29166666666666669</v>
      </c>
      <c r="AC966" s="154">
        <v>0.29166666666666669</v>
      </c>
      <c r="AD966" s="154">
        <v>0.29166666666666669</v>
      </c>
      <c r="AE966" s="154" t="s">
        <v>424</v>
      </c>
      <c r="AF966" s="154" t="s">
        <v>424</v>
      </c>
      <c r="AG966" s="154" t="s">
        <v>424</v>
      </c>
      <c r="AH966" s="154">
        <v>0.29166666666666669</v>
      </c>
      <c r="AI966" s="154">
        <v>0.29166666666666669</v>
      </c>
      <c r="AJ966" s="154">
        <v>0.29166666666666669</v>
      </c>
      <c r="AK966" s="154">
        <v>0.29166666666666669</v>
      </c>
      <c r="AL966" s="154">
        <v>0.29166666666666669</v>
      </c>
    </row>
    <row r="967" spans="1:41" hidden="1" x14ac:dyDescent="0.25">
      <c r="A967">
        <v>966</v>
      </c>
      <c r="B967">
        <v>2025</v>
      </c>
      <c r="C967">
        <v>8</v>
      </c>
      <c r="D967" t="s">
        <v>584</v>
      </c>
      <c r="E967">
        <v>65</v>
      </c>
      <c r="F967">
        <v>4</v>
      </c>
      <c r="G967" t="s">
        <v>535</v>
      </c>
      <c r="H967" s="154">
        <v>0.75</v>
      </c>
      <c r="I967" s="154">
        <v>0.75</v>
      </c>
      <c r="J967" s="154">
        <v>0.75</v>
      </c>
      <c r="K967" s="154">
        <v>0.75</v>
      </c>
      <c r="L967" s="154">
        <v>0.75</v>
      </c>
      <c r="M967" s="154">
        <v>0.75</v>
      </c>
      <c r="N967" s="154">
        <v>0.75</v>
      </c>
      <c r="O967" s="154">
        <v>0.75</v>
      </c>
      <c r="P967" s="154">
        <v>0.75</v>
      </c>
      <c r="Q967" s="154" t="s">
        <v>424</v>
      </c>
      <c r="R967" s="154">
        <v>0.75</v>
      </c>
      <c r="S967" s="154">
        <v>0.75</v>
      </c>
      <c r="T967" s="154">
        <v>0.75</v>
      </c>
      <c r="U967" s="154">
        <v>0.75</v>
      </c>
      <c r="V967" s="154">
        <v>0.75</v>
      </c>
      <c r="W967" s="154">
        <v>0.75</v>
      </c>
      <c r="X967" s="154">
        <v>0.75</v>
      </c>
      <c r="Y967" s="154">
        <v>0.75</v>
      </c>
      <c r="Z967" s="154">
        <v>0.75</v>
      </c>
      <c r="AA967" s="154">
        <v>0.75</v>
      </c>
      <c r="AB967" s="154">
        <v>0.75</v>
      </c>
      <c r="AC967" s="154">
        <v>0.75</v>
      </c>
      <c r="AD967" s="154">
        <v>0.75</v>
      </c>
      <c r="AE967" s="154" t="s">
        <v>424</v>
      </c>
      <c r="AF967" s="154" t="s">
        <v>424</v>
      </c>
      <c r="AG967" s="154" t="s">
        <v>424</v>
      </c>
      <c r="AH967" s="154">
        <v>0.75</v>
      </c>
      <c r="AI967" s="154">
        <v>0.75</v>
      </c>
      <c r="AJ967" s="154">
        <v>0.75</v>
      </c>
      <c r="AK967" s="154">
        <v>0.75</v>
      </c>
      <c r="AL967" s="154">
        <v>0.75</v>
      </c>
      <c r="AM967" cm="1">
        <f t="array" ref="AM967">SUM(_xlfn.LET(_xlpm.r,((IFERROR(H967:AL967-H966:AL966,0))*24)/10,IF(_xlpm.r&gt;1,1,_xlpm.r)))</f>
        <v>27</v>
      </c>
      <c r="AO967" cm="1">
        <f t="array" ref="AO967">SUM(IFERROR(MOD((H967:AL967-H966:AL966)*24,11),""))</f>
        <v>0</v>
      </c>
    </row>
    <row r="968" spans="1:41" hidden="1" x14ac:dyDescent="0.25">
      <c r="A968">
        <v>967</v>
      </c>
      <c r="B968">
        <v>2025</v>
      </c>
      <c r="C968">
        <v>8</v>
      </c>
      <c r="D968" t="s">
        <v>585</v>
      </c>
      <c r="E968">
        <v>65</v>
      </c>
      <c r="F968">
        <v>4</v>
      </c>
      <c r="G968" t="s">
        <v>534</v>
      </c>
      <c r="H968" s="154" t="s">
        <v>424</v>
      </c>
      <c r="I968" s="154" t="s">
        <v>424</v>
      </c>
      <c r="J968" s="154" t="s">
        <v>424</v>
      </c>
      <c r="K968" s="154">
        <v>0.29166666666666669</v>
      </c>
      <c r="L968" s="154">
        <v>0.29166666666666669</v>
      </c>
      <c r="M968" s="154">
        <v>0.29166666666666669</v>
      </c>
      <c r="N968" s="154">
        <v>0.29166666666666669</v>
      </c>
      <c r="O968" s="154">
        <v>0.29166666666666669</v>
      </c>
      <c r="P968" s="154">
        <v>0.29166666666666669</v>
      </c>
      <c r="Q968" s="154" t="s">
        <v>424</v>
      </c>
      <c r="R968" s="154">
        <v>0.29166666666666669</v>
      </c>
      <c r="S968" s="154">
        <v>0.29166666666666669</v>
      </c>
      <c r="T968" s="154">
        <v>0.29166666666666669</v>
      </c>
      <c r="U968" s="154">
        <v>0.29166666666666669</v>
      </c>
      <c r="V968" s="154" t="s">
        <v>424</v>
      </c>
      <c r="W968" s="154">
        <v>0.29166666666666669</v>
      </c>
      <c r="X968" s="154">
        <v>0.29166666666666669</v>
      </c>
      <c r="Y968" s="154">
        <v>0.29166666666666669</v>
      </c>
      <c r="Z968" s="154">
        <v>0.29166666666666669</v>
      </c>
      <c r="AA968" s="154">
        <v>0.29166666666666669</v>
      </c>
      <c r="AB968" s="154">
        <v>0.29166666666666669</v>
      </c>
      <c r="AC968" s="154">
        <v>0.29166666666666669</v>
      </c>
      <c r="AD968" s="154">
        <v>0.29166666666666669</v>
      </c>
      <c r="AE968" s="154" t="s">
        <v>424</v>
      </c>
      <c r="AF968" s="154">
        <v>0.29166666666666669</v>
      </c>
      <c r="AG968" s="154">
        <v>0.29166666666666669</v>
      </c>
      <c r="AH968" s="154">
        <v>0.29166666666666669</v>
      </c>
      <c r="AI968" s="154">
        <v>0.29166666666666669</v>
      </c>
      <c r="AJ968" s="154">
        <v>0.29166666666666669</v>
      </c>
      <c r="AK968" s="154">
        <v>0.29166666666666669</v>
      </c>
      <c r="AL968" s="154">
        <v>0.29166666666666669</v>
      </c>
    </row>
    <row r="969" spans="1:41" hidden="1" x14ac:dyDescent="0.25">
      <c r="A969">
        <v>968</v>
      </c>
      <c r="B969">
        <v>2025</v>
      </c>
      <c r="C969">
        <v>8</v>
      </c>
      <c r="D969" t="s">
        <v>585</v>
      </c>
      <c r="E969">
        <v>65</v>
      </c>
      <c r="F969">
        <v>4</v>
      </c>
      <c r="G969" t="s">
        <v>535</v>
      </c>
      <c r="H969" s="154" t="s">
        <v>424</v>
      </c>
      <c r="I969" s="154" t="s">
        <v>424</v>
      </c>
      <c r="J969" s="154" t="s">
        <v>424</v>
      </c>
      <c r="K969" s="154">
        <v>0.75</v>
      </c>
      <c r="L969" s="154">
        <v>0.75</v>
      </c>
      <c r="M969" s="154">
        <v>0.75</v>
      </c>
      <c r="N969" s="154">
        <v>0.75</v>
      </c>
      <c r="O969" s="154">
        <v>0.75</v>
      </c>
      <c r="P969" s="154">
        <v>0.75</v>
      </c>
      <c r="Q969" s="154" t="s">
        <v>424</v>
      </c>
      <c r="R969" s="154">
        <v>0.75</v>
      </c>
      <c r="S969" s="154">
        <v>0.75</v>
      </c>
      <c r="T969" s="154">
        <v>0.75</v>
      </c>
      <c r="U969" s="154">
        <v>0.75</v>
      </c>
      <c r="V969" s="154" t="s">
        <v>424</v>
      </c>
      <c r="W969" s="154">
        <v>0.75</v>
      </c>
      <c r="X969" s="154">
        <v>0.5</v>
      </c>
      <c r="Y969" s="154">
        <v>0.75</v>
      </c>
      <c r="Z969" s="154">
        <v>0.75</v>
      </c>
      <c r="AA969" s="154">
        <v>0.75</v>
      </c>
      <c r="AB969" s="154">
        <v>0.75</v>
      </c>
      <c r="AC969" s="154">
        <v>0.75</v>
      </c>
      <c r="AD969" s="154">
        <v>0.75</v>
      </c>
      <c r="AE969" s="154" t="s">
        <v>424</v>
      </c>
      <c r="AF969" s="154">
        <v>0.75</v>
      </c>
      <c r="AG969" s="154">
        <v>0.75</v>
      </c>
      <c r="AH969" s="154">
        <v>0.75</v>
      </c>
      <c r="AI969" s="154">
        <v>0.75</v>
      </c>
      <c r="AJ969" s="154">
        <v>0.75</v>
      </c>
      <c r="AK969" s="154">
        <v>0.75</v>
      </c>
      <c r="AL969" s="154">
        <v>0.75</v>
      </c>
      <c r="AM969" cm="1">
        <f t="array" ref="AM969">SUM(_xlfn.LET(_xlpm.r,((IFERROR(H969:AL969-H968:AL968,0))*24)/10,IF(_xlpm.r&gt;1,1,_xlpm.r)))</f>
        <v>24.5</v>
      </c>
    </row>
    <row r="970" spans="1:41" hidden="1" x14ac:dyDescent="0.25">
      <c r="A970">
        <v>969</v>
      </c>
      <c r="B970">
        <v>2025</v>
      </c>
      <c r="C970">
        <v>9</v>
      </c>
      <c r="D970" t="s">
        <v>584</v>
      </c>
      <c r="E970">
        <v>65</v>
      </c>
      <c r="F970">
        <v>5</v>
      </c>
      <c r="G970" t="s">
        <v>534</v>
      </c>
      <c r="H970" s="154">
        <v>0.29166666666666669</v>
      </c>
      <c r="I970" s="154">
        <v>0.29166666666666669</v>
      </c>
      <c r="J970" s="154">
        <v>0.29166666666666669</v>
      </c>
      <c r="K970" s="154">
        <v>0.29166666666666669</v>
      </c>
      <c r="L970" s="154">
        <v>0.29166666666666669</v>
      </c>
      <c r="M970" s="154">
        <v>0.29166666666666669</v>
      </c>
      <c r="N970" s="154" t="s">
        <v>424</v>
      </c>
      <c r="O970" s="154">
        <v>0.29166666666666669</v>
      </c>
      <c r="P970" s="154">
        <v>0.29166666666666669</v>
      </c>
      <c r="Q970" s="154">
        <v>0.29166666666666669</v>
      </c>
      <c r="R970" s="154">
        <v>0.29166666666666669</v>
      </c>
      <c r="S970" s="154">
        <v>0.29166666666666669</v>
      </c>
      <c r="T970" s="154">
        <v>0.29166666666666669</v>
      </c>
      <c r="U970" s="154" t="s">
        <v>424</v>
      </c>
      <c r="V970" s="154">
        <v>0.29166666666666669</v>
      </c>
      <c r="W970" s="154">
        <v>0.29166666666666669</v>
      </c>
      <c r="X970" s="154">
        <v>0.29166666666666669</v>
      </c>
      <c r="Y970" s="154">
        <v>0.29166666666666669</v>
      </c>
      <c r="Z970" s="154">
        <v>0.29166666666666669</v>
      </c>
      <c r="AA970" s="154">
        <v>0.29166666666666669</v>
      </c>
      <c r="AB970" s="154">
        <v>0.29166666666666669</v>
      </c>
      <c r="AC970" s="154">
        <v>0.29166666666666669</v>
      </c>
      <c r="AD970" s="154">
        <v>0.29166666666666669</v>
      </c>
      <c r="AE970" s="154">
        <v>0.29166666666666669</v>
      </c>
      <c r="AF970" s="154">
        <v>0.29166666666666669</v>
      </c>
      <c r="AG970" s="154">
        <v>0.29166666666666669</v>
      </c>
      <c r="AH970" s="154">
        <v>0.29166666666666669</v>
      </c>
      <c r="AI970" s="154" t="s">
        <v>424</v>
      </c>
      <c r="AJ970" s="154">
        <v>0.29166666666666669</v>
      </c>
      <c r="AK970" s="154">
        <v>0.29166666666666669</v>
      </c>
      <c r="AL970" s="154" t="s">
        <v>424</v>
      </c>
    </row>
    <row r="971" spans="1:41" hidden="1" x14ac:dyDescent="0.25">
      <c r="A971">
        <v>970</v>
      </c>
      <c r="B971">
        <v>2025</v>
      </c>
      <c r="C971">
        <v>9</v>
      </c>
      <c r="D971" t="s">
        <v>584</v>
      </c>
      <c r="E971">
        <v>65</v>
      </c>
      <c r="F971">
        <v>5</v>
      </c>
      <c r="G971" t="s">
        <v>535</v>
      </c>
      <c r="H971" s="154">
        <v>0.75</v>
      </c>
      <c r="I971" s="154">
        <v>0.75</v>
      </c>
      <c r="J971" s="154">
        <v>0.75</v>
      </c>
      <c r="K971" s="154">
        <v>0.75</v>
      </c>
      <c r="L971" s="154">
        <v>0.75</v>
      </c>
      <c r="M971" s="154">
        <v>0.75</v>
      </c>
      <c r="N971" s="154" t="s">
        <v>424</v>
      </c>
      <c r="O971" s="154">
        <v>0.75</v>
      </c>
      <c r="P971" s="154">
        <v>0.75</v>
      </c>
      <c r="Q971" s="154">
        <v>0.75</v>
      </c>
      <c r="R971" s="154">
        <v>0.75</v>
      </c>
      <c r="S971" s="154">
        <v>0.75</v>
      </c>
      <c r="T971" s="154">
        <v>0.75</v>
      </c>
      <c r="U971" s="154" t="s">
        <v>424</v>
      </c>
      <c r="V971" s="154">
        <v>0.75</v>
      </c>
      <c r="W971" s="154">
        <v>0.75</v>
      </c>
      <c r="X971" s="154">
        <v>0.75</v>
      </c>
      <c r="Y971" s="154">
        <v>0.75</v>
      </c>
      <c r="Z971" s="154">
        <v>0.75</v>
      </c>
      <c r="AA971" s="154">
        <v>0.75</v>
      </c>
      <c r="AB971" s="154">
        <v>0.75</v>
      </c>
      <c r="AC971" s="154">
        <v>0.75</v>
      </c>
      <c r="AD971" s="154">
        <v>0.75</v>
      </c>
      <c r="AE971" s="154">
        <v>0.75</v>
      </c>
      <c r="AF971" s="154">
        <v>0.75</v>
      </c>
      <c r="AG971" s="154">
        <v>0.75</v>
      </c>
      <c r="AH971" s="154">
        <v>0.75</v>
      </c>
      <c r="AI971" s="154" t="s">
        <v>424</v>
      </c>
      <c r="AJ971" s="154">
        <v>0.75</v>
      </c>
      <c r="AK971" s="154">
        <v>0.75</v>
      </c>
      <c r="AL971" s="154" t="s">
        <v>424</v>
      </c>
      <c r="AM971" cm="1">
        <f t="array" ref="AM971">SUM(_xlfn.LET(_xlpm.r,((IFERROR(H971:AL971-H970:AL970,0))*24)/10,IF(_xlpm.r&gt;1,1,_xlpm.r)))</f>
        <v>27</v>
      </c>
      <c r="AO971" cm="1">
        <f t="array" ref="AO971">SUM(IFERROR(MOD((H971:AL971-H970:AL970)*24,11),""))</f>
        <v>0</v>
      </c>
    </row>
    <row r="972" spans="1:41" hidden="1" x14ac:dyDescent="0.25">
      <c r="A972">
        <v>971</v>
      </c>
      <c r="B972">
        <v>2025</v>
      </c>
      <c r="C972">
        <v>9</v>
      </c>
      <c r="D972" t="s">
        <v>585</v>
      </c>
      <c r="E972">
        <v>65</v>
      </c>
      <c r="F972">
        <v>5</v>
      </c>
      <c r="G972" t="s">
        <v>534</v>
      </c>
      <c r="H972" s="154">
        <v>0.29166666666666669</v>
      </c>
      <c r="I972" s="154">
        <v>0.29166666666666669</v>
      </c>
      <c r="J972" s="154">
        <v>0.29166666666666669</v>
      </c>
      <c r="K972" s="154">
        <v>0.29166666666666669</v>
      </c>
      <c r="L972" s="154">
        <v>0.29166666666666669</v>
      </c>
      <c r="M972" s="154">
        <v>0.29166666666666669</v>
      </c>
      <c r="N972" s="154" t="s">
        <v>424</v>
      </c>
      <c r="O972" s="154">
        <v>0.29166666666666669</v>
      </c>
      <c r="P972" s="154">
        <v>0.29166666666666669</v>
      </c>
      <c r="Q972" s="154">
        <v>0.29166666666666669</v>
      </c>
      <c r="R972" s="154">
        <v>0.29166666666666669</v>
      </c>
      <c r="S972" s="154">
        <v>0.29166666666666669</v>
      </c>
      <c r="T972" s="154">
        <v>0.29166666666666669</v>
      </c>
      <c r="U972" s="154" t="s">
        <v>424</v>
      </c>
      <c r="V972" s="154">
        <v>0.29166666666666669</v>
      </c>
      <c r="W972" s="154">
        <v>0.29166666666666669</v>
      </c>
      <c r="X972" s="154">
        <v>0.29166666666666669</v>
      </c>
      <c r="Y972" s="154">
        <v>0.29166666666666669</v>
      </c>
      <c r="Z972" s="154">
        <v>0.29166666666666669</v>
      </c>
      <c r="AA972" s="154">
        <v>0.29166666666666669</v>
      </c>
      <c r="AB972" s="154">
        <v>0.29166666666666669</v>
      </c>
      <c r="AC972" s="154">
        <v>0.29166666666666669</v>
      </c>
      <c r="AD972" s="154">
        <v>0.29166666666666669</v>
      </c>
      <c r="AE972" s="154">
        <v>0.29166666666666669</v>
      </c>
      <c r="AF972" s="154">
        <v>0.29166666666666669</v>
      </c>
      <c r="AG972" s="154">
        <v>0.29166666666666669</v>
      </c>
      <c r="AH972" s="154">
        <v>0.29166666666666669</v>
      </c>
      <c r="AI972" s="154">
        <v>0.29166666666666669</v>
      </c>
      <c r="AJ972" s="154">
        <v>0.29166666666666669</v>
      </c>
      <c r="AK972" s="154">
        <v>0.29166666666666669</v>
      </c>
      <c r="AL972" s="154" t="s">
        <v>424</v>
      </c>
    </row>
    <row r="973" spans="1:41" hidden="1" x14ac:dyDescent="0.25">
      <c r="A973">
        <v>972</v>
      </c>
      <c r="B973">
        <v>2025</v>
      </c>
      <c r="C973">
        <v>9</v>
      </c>
      <c r="D973" t="s">
        <v>585</v>
      </c>
      <c r="E973">
        <v>65</v>
      </c>
      <c r="F973">
        <v>5</v>
      </c>
      <c r="G973" t="s">
        <v>535</v>
      </c>
      <c r="H973" s="154">
        <v>0.75</v>
      </c>
      <c r="I973" s="154">
        <v>0.75</v>
      </c>
      <c r="J973" s="154">
        <v>0.75</v>
      </c>
      <c r="K973" s="154">
        <v>0.75</v>
      </c>
      <c r="L973" s="154">
        <v>0.75</v>
      </c>
      <c r="M973" s="154">
        <v>0.75</v>
      </c>
      <c r="N973" s="154" t="s">
        <v>424</v>
      </c>
      <c r="O973" s="154">
        <v>0.75</v>
      </c>
      <c r="P973" s="154">
        <v>0.75</v>
      </c>
      <c r="Q973" s="154">
        <v>0.75</v>
      </c>
      <c r="R973" s="154">
        <v>0.75</v>
      </c>
      <c r="S973" s="154">
        <v>0.75</v>
      </c>
      <c r="T973" s="154">
        <v>0.75</v>
      </c>
      <c r="U973" s="154" t="s">
        <v>424</v>
      </c>
      <c r="V973" s="154">
        <v>0.75</v>
      </c>
      <c r="W973" s="154">
        <v>0.75</v>
      </c>
      <c r="X973" s="154">
        <v>0.75</v>
      </c>
      <c r="Y973" s="154">
        <v>0.75</v>
      </c>
      <c r="Z973" s="154">
        <v>0.75</v>
      </c>
      <c r="AA973" s="154">
        <v>0.75</v>
      </c>
      <c r="AB973" s="154">
        <v>0.75</v>
      </c>
      <c r="AC973" s="154">
        <v>0.75</v>
      </c>
      <c r="AD973" s="154">
        <v>0.75</v>
      </c>
      <c r="AE973" s="154">
        <v>0.75</v>
      </c>
      <c r="AF973" s="154">
        <v>0.75</v>
      </c>
      <c r="AG973" s="154">
        <v>0.75</v>
      </c>
      <c r="AH973" s="154">
        <v>0.75</v>
      </c>
      <c r="AI973" s="154">
        <v>0.75</v>
      </c>
      <c r="AJ973" s="154">
        <v>0.75</v>
      </c>
      <c r="AK973" s="154">
        <v>0.75</v>
      </c>
      <c r="AL973" s="154" t="s">
        <v>424</v>
      </c>
      <c r="AM973" cm="1">
        <f t="array" ref="AM973">SUM(_xlfn.LET(_xlpm.r,((IFERROR(H973:AL973-H972:AL972,0))*24)/10,IF(_xlpm.r&gt;1,1,_xlpm.r)))</f>
        <v>28</v>
      </c>
    </row>
    <row r="974" spans="1:41" hidden="1" x14ac:dyDescent="0.25">
      <c r="A974">
        <v>973</v>
      </c>
      <c r="B974">
        <v>2025</v>
      </c>
      <c r="C974">
        <v>10</v>
      </c>
      <c r="D974" t="s">
        <v>584</v>
      </c>
      <c r="E974">
        <v>65</v>
      </c>
      <c r="F974">
        <v>6</v>
      </c>
      <c r="G974" t="s">
        <v>534</v>
      </c>
      <c r="H974" s="154">
        <v>0.29166666666666669</v>
      </c>
      <c r="I974" s="154">
        <v>0.29166666666666669</v>
      </c>
      <c r="J974" s="154">
        <v>0.29166666666666669</v>
      </c>
      <c r="K974" s="154">
        <v>0.29166666666666669</v>
      </c>
      <c r="L974" s="154">
        <v>0.29166666666666669</v>
      </c>
      <c r="M974" s="154">
        <v>0.29166666666666669</v>
      </c>
      <c r="N974" s="154">
        <v>0.29166666666666669</v>
      </c>
      <c r="O974" s="154">
        <v>0.29166666666666669</v>
      </c>
      <c r="P974" s="154">
        <v>0.29166666666666669</v>
      </c>
      <c r="Q974" s="154" t="s">
        <v>424</v>
      </c>
      <c r="R974" s="154" t="s">
        <v>424</v>
      </c>
      <c r="S974" s="154" t="s">
        <v>424</v>
      </c>
      <c r="T974" s="154" t="s">
        <v>424</v>
      </c>
      <c r="U974" s="154" t="s">
        <v>424</v>
      </c>
      <c r="V974" s="154" t="s">
        <v>424</v>
      </c>
      <c r="W974" s="154" t="s">
        <v>424</v>
      </c>
      <c r="X974" s="154" t="s">
        <v>424</v>
      </c>
      <c r="Y974" s="154" t="s">
        <v>424</v>
      </c>
      <c r="Z974" s="154" t="s">
        <v>424</v>
      </c>
      <c r="AA974" s="154" t="s">
        <v>424</v>
      </c>
      <c r="AB974" s="154" t="s">
        <v>424</v>
      </c>
      <c r="AC974" s="154" t="s">
        <v>424</v>
      </c>
      <c r="AD974" s="154" t="s">
        <v>424</v>
      </c>
      <c r="AE974" s="154" t="s">
        <v>424</v>
      </c>
      <c r="AF974" s="154" t="s">
        <v>424</v>
      </c>
      <c r="AG974" s="154" t="s">
        <v>424</v>
      </c>
      <c r="AH974" s="154">
        <v>0.29166666666666669</v>
      </c>
      <c r="AI974" s="154">
        <v>0.29166666666666669</v>
      </c>
      <c r="AJ974" s="154">
        <v>0.29166666666666669</v>
      </c>
      <c r="AK974" s="154">
        <v>0.29166666666666669</v>
      </c>
      <c r="AL974" s="154">
        <v>0.29166666666666669</v>
      </c>
    </row>
    <row r="975" spans="1:41" hidden="1" x14ac:dyDescent="0.25">
      <c r="A975">
        <v>974</v>
      </c>
      <c r="B975">
        <v>2025</v>
      </c>
      <c r="C975">
        <v>10</v>
      </c>
      <c r="D975" t="s">
        <v>584</v>
      </c>
      <c r="E975">
        <v>65</v>
      </c>
      <c r="F975">
        <v>6</v>
      </c>
      <c r="G975" t="s">
        <v>535</v>
      </c>
      <c r="H975" s="154">
        <v>0.75</v>
      </c>
      <c r="I975" s="154">
        <v>0.75</v>
      </c>
      <c r="J975" s="154">
        <v>0.75</v>
      </c>
      <c r="K975" s="154">
        <v>0.75</v>
      </c>
      <c r="L975" s="154">
        <v>0.75</v>
      </c>
      <c r="M975" s="154">
        <v>0.75</v>
      </c>
      <c r="N975" s="154">
        <v>0.75</v>
      </c>
      <c r="O975" s="154">
        <v>0.75</v>
      </c>
      <c r="P975" s="154">
        <v>0.75</v>
      </c>
      <c r="Q975" s="154" t="s">
        <v>424</v>
      </c>
      <c r="R975" s="154" t="s">
        <v>424</v>
      </c>
      <c r="S975" s="154" t="s">
        <v>424</v>
      </c>
      <c r="T975" s="154" t="s">
        <v>424</v>
      </c>
      <c r="U975" s="154" t="s">
        <v>424</v>
      </c>
      <c r="V975" s="154" t="s">
        <v>424</v>
      </c>
      <c r="W975" s="154" t="s">
        <v>424</v>
      </c>
      <c r="X975" s="154" t="s">
        <v>424</v>
      </c>
      <c r="Y975" s="154" t="s">
        <v>424</v>
      </c>
      <c r="Z975" s="154" t="s">
        <v>424</v>
      </c>
      <c r="AA975" s="154" t="s">
        <v>424</v>
      </c>
      <c r="AB975" s="154" t="s">
        <v>424</v>
      </c>
      <c r="AC975" s="154" t="s">
        <v>424</v>
      </c>
      <c r="AD975" s="154" t="s">
        <v>424</v>
      </c>
      <c r="AE975" s="154" t="s">
        <v>424</v>
      </c>
      <c r="AF975" s="154" t="s">
        <v>424</v>
      </c>
      <c r="AG975" s="154" t="s">
        <v>424</v>
      </c>
      <c r="AH975" s="154">
        <v>0.75</v>
      </c>
      <c r="AI975" s="154">
        <v>0.75</v>
      </c>
      <c r="AJ975" s="154">
        <v>0.75</v>
      </c>
      <c r="AK975" s="154">
        <v>0.75</v>
      </c>
      <c r="AL975" s="154">
        <v>0.75</v>
      </c>
      <c r="AM975" cm="1">
        <f t="array" ref="AM975">SUM(_xlfn.LET(_xlpm.r,((IFERROR(H975:AL975-H974:AL974,0))*24)/10,IF(_xlpm.r&gt;1,1,_xlpm.r)))</f>
        <v>14</v>
      </c>
      <c r="AO975" cm="1">
        <f t="array" ref="AO975">SUM(IFERROR(MOD((H975:AL975-H974:AL974)*24,11),""))</f>
        <v>0</v>
      </c>
    </row>
    <row r="976" spans="1:41" hidden="1" x14ac:dyDescent="0.25">
      <c r="A976">
        <v>975</v>
      </c>
      <c r="B976">
        <v>2025</v>
      </c>
      <c r="C976">
        <v>10</v>
      </c>
      <c r="D976" t="s">
        <v>585</v>
      </c>
      <c r="E976">
        <v>65</v>
      </c>
      <c r="F976">
        <v>6</v>
      </c>
      <c r="G976" t="s">
        <v>534</v>
      </c>
      <c r="H976" s="154">
        <v>0.29166666666666669</v>
      </c>
      <c r="I976" s="154">
        <v>0.29166666666666669</v>
      </c>
      <c r="J976" s="154">
        <v>0.29166666666666669</v>
      </c>
      <c r="K976" s="154">
        <v>0.29166666666666669</v>
      </c>
      <c r="L976" s="154">
        <v>0.29166666666666669</v>
      </c>
      <c r="M976" s="154">
        <v>0.29166666666666669</v>
      </c>
      <c r="N976" s="154">
        <v>0.29166666666666669</v>
      </c>
      <c r="O976" s="154">
        <v>0.29166666666666669</v>
      </c>
      <c r="P976" s="154">
        <v>0.29166666666666669</v>
      </c>
      <c r="Q976" s="154">
        <v>0.29166666666666669</v>
      </c>
      <c r="R976" s="154">
        <v>0.29166666666666669</v>
      </c>
      <c r="S976" s="154" t="s">
        <v>424</v>
      </c>
      <c r="T976" s="154">
        <v>0.29166666666666669</v>
      </c>
      <c r="U976" s="154">
        <v>0.29166666666666669</v>
      </c>
      <c r="V976" s="154">
        <v>0.29166666666666669</v>
      </c>
      <c r="W976" s="154">
        <v>0.29166666666666669</v>
      </c>
      <c r="X976" s="154">
        <v>0.29166666666666669</v>
      </c>
      <c r="Y976" s="154">
        <v>0.29166666666666669</v>
      </c>
      <c r="Z976" s="154">
        <v>0.29166666666666669</v>
      </c>
      <c r="AA976" s="154">
        <v>0.29166666666666669</v>
      </c>
      <c r="AB976" s="154">
        <v>0.29166666666666669</v>
      </c>
      <c r="AC976" s="154">
        <v>0.29166666666666669</v>
      </c>
      <c r="AD976" s="154">
        <v>0.29166666666666669</v>
      </c>
      <c r="AE976" s="154">
        <v>0.29166666666666669</v>
      </c>
      <c r="AF976" s="154">
        <v>0.29166666666666669</v>
      </c>
      <c r="AG976" s="154" t="s">
        <v>424</v>
      </c>
      <c r="AH976" s="154">
        <v>0.29166666666666669</v>
      </c>
      <c r="AI976" s="154">
        <v>0.29166666666666669</v>
      </c>
      <c r="AJ976" s="154">
        <v>0.29166666666666669</v>
      </c>
      <c r="AK976" s="154">
        <v>0.29166666666666669</v>
      </c>
      <c r="AL976" s="154">
        <v>0.29166666666666669</v>
      </c>
    </row>
    <row r="977" spans="1:41" hidden="1" x14ac:dyDescent="0.25">
      <c r="A977">
        <v>976</v>
      </c>
      <c r="B977">
        <v>2025</v>
      </c>
      <c r="C977">
        <v>10</v>
      </c>
      <c r="D977" t="s">
        <v>585</v>
      </c>
      <c r="E977">
        <v>65</v>
      </c>
      <c r="F977">
        <v>6</v>
      </c>
      <c r="G977" t="s">
        <v>535</v>
      </c>
      <c r="H977" s="154">
        <v>0.75</v>
      </c>
      <c r="I977" s="154">
        <v>0.75</v>
      </c>
      <c r="J977" s="154">
        <v>0.75</v>
      </c>
      <c r="K977" s="154">
        <v>0.75</v>
      </c>
      <c r="L977" s="154">
        <v>0.75</v>
      </c>
      <c r="M977" s="154">
        <v>0.75</v>
      </c>
      <c r="N977" s="154">
        <v>0.75</v>
      </c>
      <c r="O977" s="154">
        <v>0.75</v>
      </c>
      <c r="P977" s="154">
        <v>0.75</v>
      </c>
      <c r="Q977" s="154">
        <v>0.75</v>
      </c>
      <c r="R977" s="154">
        <v>0.75</v>
      </c>
      <c r="S977" s="154" t="s">
        <v>424</v>
      </c>
      <c r="T977" s="154">
        <v>0.75</v>
      </c>
      <c r="U977" s="154">
        <v>0.75</v>
      </c>
      <c r="V977" s="154">
        <v>0.75</v>
      </c>
      <c r="W977" s="154">
        <v>0.75</v>
      </c>
      <c r="X977" s="154">
        <v>0.75</v>
      </c>
      <c r="Y977" s="154">
        <v>0.75</v>
      </c>
      <c r="Z977" s="154">
        <v>0.75</v>
      </c>
      <c r="AA977" s="154">
        <v>0.75</v>
      </c>
      <c r="AB977" s="154">
        <v>0.75</v>
      </c>
      <c r="AC977" s="154">
        <v>0.75</v>
      </c>
      <c r="AD977" s="154">
        <v>0.75</v>
      </c>
      <c r="AE977" s="154">
        <v>0.75</v>
      </c>
      <c r="AF977" s="154">
        <v>0.75</v>
      </c>
      <c r="AG977" s="154" t="s">
        <v>424</v>
      </c>
      <c r="AH977" s="154">
        <v>0.75</v>
      </c>
      <c r="AI977" s="154">
        <v>0.75</v>
      </c>
      <c r="AJ977" s="154">
        <v>0.75</v>
      </c>
      <c r="AK977" s="154">
        <v>0.75</v>
      </c>
      <c r="AL977" s="154">
        <v>0.75</v>
      </c>
      <c r="AM977" cm="1">
        <f t="array" ref="AM977">SUM(_xlfn.LET(_xlpm.r,((IFERROR(H977:AL977-H976:AL976,0))*24)/10,IF(_xlpm.r&gt;1,1,_xlpm.r)))</f>
        <v>29</v>
      </c>
    </row>
    <row r="978" spans="1:41" hidden="1" x14ac:dyDescent="0.25">
      <c r="A978">
        <v>977</v>
      </c>
      <c r="B978">
        <v>2025</v>
      </c>
      <c r="C978">
        <v>11</v>
      </c>
      <c r="D978" t="s">
        <v>584</v>
      </c>
      <c r="E978">
        <v>65</v>
      </c>
      <c r="F978">
        <v>7</v>
      </c>
      <c r="G978" t="s">
        <v>534</v>
      </c>
      <c r="H978" s="154">
        <v>0.29166666666666669</v>
      </c>
      <c r="I978" s="154">
        <v>0.29166666666666669</v>
      </c>
      <c r="J978" s="154">
        <v>0.29166666666666669</v>
      </c>
      <c r="K978" s="154">
        <v>0.29166666666666669</v>
      </c>
      <c r="L978" s="154">
        <v>0.29166666666666669</v>
      </c>
      <c r="M978" s="154">
        <v>0.29166666666666669</v>
      </c>
      <c r="N978" s="154">
        <v>0.29166666666666669</v>
      </c>
      <c r="O978" s="154">
        <v>0.29166666666666669</v>
      </c>
      <c r="P978" s="154" t="s">
        <v>424</v>
      </c>
      <c r="Q978" s="154">
        <v>0.29166666666666669</v>
      </c>
      <c r="R978" s="154">
        <v>0.29166666666666669</v>
      </c>
      <c r="S978" s="154">
        <v>0.29166666666666669</v>
      </c>
      <c r="T978" s="154">
        <v>0.29166666666666669</v>
      </c>
      <c r="U978" s="154">
        <v>0.29166666666666669</v>
      </c>
      <c r="V978" s="154">
        <v>0.29166666666666669</v>
      </c>
      <c r="W978" s="154">
        <v>0.29166666666666669</v>
      </c>
      <c r="X978" s="154">
        <v>0.29166666666666669</v>
      </c>
      <c r="Y978" s="154">
        <v>0.29166666666666669</v>
      </c>
      <c r="Z978" s="154">
        <v>0.29166666666666669</v>
      </c>
      <c r="AA978" s="154" t="s">
        <v>424</v>
      </c>
      <c r="AB978" s="154">
        <v>0.29166666666666669</v>
      </c>
      <c r="AC978" s="154">
        <v>0.29166666666666669</v>
      </c>
      <c r="AD978" s="154" t="s">
        <v>424</v>
      </c>
      <c r="AE978" s="154">
        <v>0.29166666666666669</v>
      </c>
      <c r="AF978" s="154">
        <v>0.29166666666666669</v>
      </c>
      <c r="AG978" s="154">
        <v>0.29166666666666669</v>
      </c>
      <c r="AH978" s="154">
        <v>0.29166666666666669</v>
      </c>
      <c r="AI978" s="154">
        <v>0.29166666666666669</v>
      </c>
      <c r="AJ978" s="154">
        <v>0.29166666666666669</v>
      </c>
      <c r="AK978" s="154">
        <v>0.29166666666666669</v>
      </c>
      <c r="AL978" s="154" t="s">
        <v>424</v>
      </c>
    </row>
    <row r="979" spans="1:41" hidden="1" x14ac:dyDescent="0.25">
      <c r="A979">
        <v>978</v>
      </c>
      <c r="B979">
        <v>2025</v>
      </c>
      <c r="C979">
        <v>11</v>
      </c>
      <c r="D979" t="s">
        <v>584</v>
      </c>
      <c r="E979">
        <v>65</v>
      </c>
      <c r="F979">
        <v>7</v>
      </c>
      <c r="G979" t="s">
        <v>535</v>
      </c>
      <c r="H979" s="154">
        <v>0.75</v>
      </c>
      <c r="I979" s="154">
        <v>0.75</v>
      </c>
      <c r="J979" s="154">
        <v>0.75</v>
      </c>
      <c r="K979" s="154">
        <v>0.75</v>
      </c>
      <c r="L979" s="154">
        <v>0.75</v>
      </c>
      <c r="M979" s="154">
        <v>0.75</v>
      </c>
      <c r="N979" s="154">
        <v>0.75</v>
      </c>
      <c r="O979" s="154">
        <v>0.75</v>
      </c>
      <c r="P979" s="154" t="s">
        <v>424</v>
      </c>
      <c r="Q979" s="154">
        <v>0.75</v>
      </c>
      <c r="R979" s="154">
        <v>0.75</v>
      </c>
      <c r="S979" s="154">
        <v>0.75</v>
      </c>
      <c r="T979" s="154">
        <v>0.75</v>
      </c>
      <c r="U979" s="154">
        <v>0.75</v>
      </c>
      <c r="V979" s="154">
        <v>0.75</v>
      </c>
      <c r="W979" s="154">
        <v>0.75</v>
      </c>
      <c r="X979" s="154">
        <v>0.75</v>
      </c>
      <c r="Y979" s="154">
        <v>0.75</v>
      </c>
      <c r="Z979" s="154">
        <v>0.75</v>
      </c>
      <c r="AA979" s="154" t="s">
        <v>424</v>
      </c>
      <c r="AB979" s="154">
        <v>0.75</v>
      </c>
      <c r="AC979" s="154">
        <v>0.75</v>
      </c>
      <c r="AD979" s="154" t="s">
        <v>424</v>
      </c>
      <c r="AE979" s="154">
        <v>0.75</v>
      </c>
      <c r="AF979" s="154">
        <v>0.75</v>
      </c>
      <c r="AG979" s="154">
        <v>0.75</v>
      </c>
      <c r="AH979" s="154">
        <v>0.75</v>
      </c>
      <c r="AI979" s="154">
        <v>0.75</v>
      </c>
      <c r="AJ979" s="154">
        <v>0.75</v>
      </c>
      <c r="AK979" s="154">
        <v>0.75</v>
      </c>
      <c r="AL979" s="154" t="s">
        <v>424</v>
      </c>
      <c r="AM979" cm="1">
        <f t="array" ref="AM979">SUM(_xlfn.LET(_xlpm.r,((IFERROR(H979:AL979-H978:AL978,0))*24)/10,IF(_xlpm.r&gt;1,1,_xlpm.r)))</f>
        <v>27</v>
      </c>
      <c r="AO979" cm="1">
        <f t="array" ref="AO979">SUM(IFERROR(MOD((H979:AL979-H978:AL978)*24,11),""))</f>
        <v>0</v>
      </c>
    </row>
    <row r="980" spans="1:41" hidden="1" x14ac:dyDescent="0.25">
      <c r="A980">
        <v>979</v>
      </c>
      <c r="B980">
        <v>2025</v>
      </c>
      <c r="C980">
        <v>11</v>
      </c>
      <c r="D980" t="s">
        <v>585</v>
      </c>
      <c r="E980">
        <v>65</v>
      </c>
      <c r="F980">
        <v>7</v>
      </c>
      <c r="G980" t="s">
        <v>534</v>
      </c>
      <c r="H980" s="154">
        <v>0.29166666666666669</v>
      </c>
      <c r="I980" s="154">
        <v>0.29166666666666669</v>
      </c>
      <c r="J980" s="154">
        <v>0.29166666666666669</v>
      </c>
      <c r="K980" s="154">
        <v>0.29166666666666669</v>
      </c>
      <c r="L980" s="154">
        <v>0.29166666666666669</v>
      </c>
      <c r="M980" s="154">
        <v>0.29166666666666669</v>
      </c>
      <c r="N980" s="154">
        <v>0.29166666666666669</v>
      </c>
      <c r="O980" s="154">
        <v>0.29166666666666669</v>
      </c>
      <c r="P980" s="154" t="s">
        <v>424</v>
      </c>
      <c r="Q980" s="154">
        <v>0.29166666666666669</v>
      </c>
      <c r="R980" s="154">
        <v>0.29166666666666669</v>
      </c>
      <c r="S980" s="154">
        <v>0.29166666666666669</v>
      </c>
      <c r="T980" s="154">
        <v>0.29166666666666669</v>
      </c>
      <c r="U980" s="154">
        <v>0.29166666666666669</v>
      </c>
      <c r="V980" s="154">
        <v>0.29166666666666669</v>
      </c>
      <c r="W980" s="154">
        <v>0.29166666666666669</v>
      </c>
      <c r="X980" s="154">
        <v>0.29166666666666669</v>
      </c>
      <c r="Y980" s="154">
        <v>0.29166666666666669</v>
      </c>
      <c r="Z980" s="154">
        <v>0.29166666666666669</v>
      </c>
      <c r="AA980" s="154">
        <v>0.29166666666666669</v>
      </c>
      <c r="AB980" s="154">
        <v>0.29166666666666669</v>
      </c>
      <c r="AC980" s="154">
        <v>0.29166666666666669</v>
      </c>
      <c r="AD980" s="154" t="s">
        <v>424</v>
      </c>
      <c r="AE980" s="154">
        <v>0.29166666666666669</v>
      </c>
      <c r="AF980" s="154">
        <v>0.29166666666666669</v>
      </c>
      <c r="AG980" s="154">
        <v>0.29166666666666669</v>
      </c>
      <c r="AH980" s="154">
        <v>0.29166666666666669</v>
      </c>
      <c r="AI980" s="154">
        <v>0.29166666666666669</v>
      </c>
      <c r="AJ980" s="154">
        <v>0.29166666666666669</v>
      </c>
      <c r="AK980" s="154">
        <v>0.29166666666666669</v>
      </c>
      <c r="AL980" s="154" t="s">
        <v>424</v>
      </c>
    </row>
    <row r="981" spans="1:41" hidden="1" x14ac:dyDescent="0.25">
      <c r="A981">
        <v>980</v>
      </c>
      <c r="B981">
        <v>2025</v>
      </c>
      <c r="C981">
        <v>11</v>
      </c>
      <c r="D981" t="s">
        <v>585</v>
      </c>
      <c r="E981">
        <v>65</v>
      </c>
      <c r="F981">
        <v>7</v>
      </c>
      <c r="G981" t="s">
        <v>535</v>
      </c>
      <c r="H981" s="154">
        <v>0.75</v>
      </c>
      <c r="I981" s="154">
        <v>0.75</v>
      </c>
      <c r="J981" s="154">
        <v>0.75</v>
      </c>
      <c r="K981" s="154">
        <v>0.75</v>
      </c>
      <c r="L981" s="154">
        <v>0.75</v>
      </c>
      <c r="M981" s="154">
        <v>0.75</v>
      </c>
      <c r="N981" s="154">
        <v>0.75</v>
      </c>
      <c r="O981" s="154">
        <v>0.75</v>
      </c>
      <c r="P981" s="154" t="s">
        <v>424</v>
      </c>
      <c r="Q981" s="154">
        <v>0.75</v>
      </c>
      <c r="R981" s="154">
        <v>0.75</v>
      </c>
      <c r="S981" s="154">
        <v>0.75</v>
      </c>
      <c r="T981" s="154">
        <v>0.75</v>
      </c>
      <c r="U981" s="154">
        <v>0.75</v>
      </c>
      <c r="V981" s="154">
        <v>0.75</v>
      </c>
      <c r="W981" s="154">
        <v>0.75</v>
      </c>
      <c r="X981" s="154">
        <v>0.75</v>
      </c>
      <c r="Y981" s="154">
        <v>0.75</v>
      </c>
      <c r="Z981" s="154">
        <v>0.75</v>
      </c>
      <c r="AA981" s="154">
        <v>0.75</v>
      </c>
      <c r="AB981" s="154">
        <v>0.75</v>
      </c>
      <c r="AC981" s="154">
        <v>0.75</v>
      </c>
      <c r="AD981" s="154" t="s">
        <v>424</v>
      </c>
      <c r="AE981" s="154">
        <v>0.75</v>
      </c>
      <c r="AF981" s="154">
        <v>0.75</v>
      </c>
      <c r="AG981" s="154">
        <v>0.75</v>
      </c>
      <c r="AH981" s="154">
        <v>0.75</v>
      </c>
      <c r="AI981" s="154">
        <v>0.75</v>
      </c>
      <c r="AJ981" s="154">
        <v>0.75</v>
      </c>
      <c r="AK981" s="154">
        <v>0.75</v>
      </c>
      <c r="AL981" s="154" t="s">
        <v>424</v>
      </c>
      <c r="AM981" cm="1">
        <f t="array" ref="AM981">SUM(_xlfn.LET(_xlpm.r,((IFERROR(H981:AL981-H980:AL980,0))*24)/10,IF(_xlpm.r&gt;1,1,_xlpm.r)))</f>
        <v>28</v>
      </c>
    </row>
    <row r="982" spans="1:41" hidden="1" x14ac:dyDescent="0.25">
      <c r="A982">
        <v>981</v>
      </c>
      <c r="B982">
        <v>2025</v>
      </c>
      <c r="C982">
        <v>6</v>
      </c>
      <c r="D982" t="s">
        <v>588</v>
      </c>
      <c r="E982">
        <v>85</v>
      </c>
      <c r="F982">
        <v>1</v>
      </c>
      <c r="G982" t="s">
        <v>534</v>
      </c>
      <c r="H982" s="154" t="s">
        <v>424</v>
      </c>
      <c r="I982" s="154" t="s">
        <v>424</v>
      </c>
      <c r="J982" s="154" t="s">
        <v>424</v>
      </c>
      <c r="K982" s="154" t="s">
        <v>424</v>
      </c>
      <c r="L982" s="154" t="s">
        <v>424</v>
      </c>
      <c r="M982" s="154" t="s">
        <v>424</v>
      </c>
      <c r="N982" s="154" t="s">
        <v>424</v>
      </c>
      <c r="O982" s="154" t="s">
        <v>424</v>
      </c>
      <c r="P982" s="154" t="s">
        <v>424</v>
      </c>
      <c r="Q982" s="154" t="s">
        <v>424</v>
      </c>
      <c r="R982" s="154" t="s">
        <v>424</v>
      </c>
      <c r="S982" s="154" t="s">
        <v>424</v>
      </c>
      <c r="T982" s="154" t="s">
        <v>424</v>
      </c>
      <c r="U982" s="154" t="s">
        <v>424</v>
      </c>
      <c r="V982" s="154" t="s">
        <v>424</v>
      </c>
      <c r="W982" s="154">
        <v>0.29166666666666669</v>
      </c>
      <c r="X982" s="154">
        <v>0.29166666666666669</v>
      </c>
      <c r="Y982" s="154">
        <v>0.29166666666666669</v>
      </c>
      <c r="Z982" s="154">
        <v>0.29166666666666669</v>
      </c>
      <c r="AA982" s="154">
        <v>0.29166666666666669</v>
      </c>
      <c r="AB982" s="154">
        <v>0.29166666666666669</v>
      </c>
      <c r="AC982" s="154">
        <v>0.29166666666666669</v>
      </c>
      <c r="AD982" s="154">
        <v>0.29166666666666669</v>
      </c>
      <c r="AE982" s="154">
        <v>0.29166666666666669</v>
      </c>
      <c r="AF982" s="154">
        <v>0.29166666666666669</v>
      </c>
      <c r="AG982" s="154">
        <v>0.29166666666666669</v>
      </c>
      <c r="AH982" s="154">
        <v>0.29166666666666669</v>
      </c>
      <c r="AI982" s="154">
        <v>0.29166666666666669</v>
      </c>
      <c r="AJ982" s="154">
        <v>0.29166666666666669</v>
      </c>
      <c r="AK982" s="154">
        <v>0.29166666666666669</v>
      </c>
      <c r="AL982" s="154" t="s">
        <v>424</v>
      </c>
    </row>
    <row r="983" spans="1:41" hidden="1" x14ac:dyDescent="0.25">
      <c r="A983">
        <v>982</v>
      </c>
      <c r="B983">
        <v>2025</v>
      </c>
      <c r="C983">
        <v>6</v>
      </c>
      <c r="D983" t="s">
        <v>588</v>
      </c>
      <c r="E983">
        <v>85</v>
      </c>
      <c r="F983">
        <v>1</v>
      </c>
      <c r="G983" t="s">
        <v>535</v>
      </c>
      <c r="H983" s="154" t="s">
        <v>424</v>
      </c>
      <c r="I983" s="154" t="s">
        <v>424</v>
      </c>
      <c r="J983" s="154" t="s">
        <v>424</v>
      </c>
      <c r="K983" s="154" t="s">
        <v>424</v>
      </c>
      <c r="L983" s="154" t="s">
        <v>424</v>
      </c>
      <c r="M983" s="154" t="s">
        <v>424</v>
      </c>
      <c r="N983" s="154" t="s">
        <v>424</v>
      </c>
      <c r="O983" s="154" t="s">
        <v>424</v>
      </c>
      <c r="P983" s="154" t="s">
        <v>424</v>
      </c>
      <c r="Q983" s="154" t="s">
        <v>424</v>
      </c>
      <c r="R983" s="154" t="s">
        <v>424</v>
      </c>
      <c r="S983" s="154" t="s">
        <v>424</v>
      </c>
      <c r="T983" s="154" t="s">
        <v>424</v>
      </c>
      <c r="U983" s="154" t="s">
        <v>424</v>
      </c>
      <c r="V983" s="154" t="s">
        <v>424</v>
      </c>
      <c r="W983" s="154">
        <v>0.79166666666666674</v>
      </c>
      <c r="X983" s="154">
        <v>0.75</v>
      </c>
      <c r="Y983" s="154">
        <v>0.91666666666666674</v>
      </c>
      <c r="Z983" s="154">
        <v>0.83333333333333326</v>
      </c>
      <c r="AA983" s="154">
        <v>0.75</v>
      </c>
      <c r="AB983" s="154">
        <v>0.91666666666666674</v>
      </c>
      <c r="AC983" s="154">
        <v>0.75</v>
      </c>
      <c r="AD983" s="154">
        <v>0.875</v>
      </c>
      <c r="AE983" s="154">
        <v>0.75</v>
      </c>
      <c r="AF983" s="154">
        <v>0.75</v>
      </c>
      <c r="AG983" s="154">
        <v>1</v>
      </c>
      <c r="AH983" s="154">
        <v>0.75</v>
      </c>
      <c r="AI983" s="154">
        <v>0.75</v>
      </c>
      <c r="AJ983" s="154">
        <v>1</v>
      </c>
      <c r="AK983" s="154">
        <v>0.75</v>
      </c>
      <c r="AL983" s="154" t="s">
        <v>424</v>
      </c>
      <c r="AM983" cm="1">
        <f t="array" ref="AM983">SUM(_xlfn.LET(_xlpm.r,((IFERROR(H983:AL983-H982:AL982,0))*24)/10,IF(_xlpm.r&gt;1,1,_xlpm.r)))</f>
        <v>15</v>
      </c>
      <c r="AO983" cm="1">
        <f t="array" ref="AO983">SUM(IFERROR(MOD((H983:AL983-H982:AL982)*24,11),""))</f>
        <v>25.999999999999993</v>
      </c>
    </row>
    <row r="984" spans="1:41" hidden="1" x14ac:dyDescent="0.25">
      <c r="A984">
        <v>983</v>
      </c>
      <c r="B984">
        <v>2025</v>
      </c>
      <c r="C984">
        <v>7</v>
      </c>
      <c r="D984" t="s">
        <v>588</v>
      </c>
      <c r="E984">
        <v>85</v>
      </c>
      <c r="F984">
        <v>2</v>
      </c>
      <c r="G984" t="s">
        <v>534</v>
      </c>
      <c r="H984" s="154">
        <v>0.29166666666666669</v>
      </c>
      <c r="I984" s="154">
        <v>0.29166666666666669</v>
      </c>
      <c r="J984" s="154">
        <v>0.29166666666666669</v>
      </c>
      <c r="K984" s="154">
        <v>0.29166666666666669</v>
      </c>
      <c r="L984" s="154">
        <v>0.29166666666666669</v>
      </c>
      <c r="M984" s="154" t="s">
        <v>424</v>
      </c>
      <c r="N984" s="154">
        <v>0.29166666666666669</v>
      </c>
      <c r="O984" s="154">
        <v>0.29166666666666669</v>
      </c>
      <c r="P984" s="154">
        <v>0.29166666666666669</v>
      </c>
      <c r="Q984" s="154">
        <v>0.29166666666666669</v>
      </c>
      <c r="R984" s="154">
        <v>0.29166666666666669</v>
      </c>
      <c r="S984" s="154">
        <v>0.29166666666666669</v>
      </c>
      <c r="T984" s="154">
        <v>0.29166666666666669</v>
      </c>
      <c r="U984" s="154">
        <v>0.29166666666666669</v>
      </c>
      <c r="V984" s="154">
        <v>0.29166666666666669</v>
      </c>
      <c r="W984" s="154">
        <v>0.29166666666666669</v>
      </c>
      <c r="X984" s="154">
        <v>0.29166666666666669</v>
      </c>
      <c r="Y984" s="154">
        <v>0.29166666666666669</v>
      </c>
      <c r="Z984" s="154">
        <v>0.29166666666666669</v>
      </c>
      <c r="AA984" s="154" t="s">
        <v>424</v>
      </c>
      <c r="AB984" s="154">
        <v>0.29166666666666669</v>
      </c>
      <c r="AC984" s="154">
        <v>0.29166666666666669</v>
      </c>
      <c r="AD984" s="154">
        <v>0.29166666666666669</v>
      </c>
      <c r="AE984" s="154">
        <v>0.29166666666666669</v>
      </c>
      <c r="AF984" s="154">
        <v>0.29166666666666669</v>
      </c>
      <c r="AG984" s="154">
        <v>0.29166666666666669</v>
      </c>
      <c r="AH984" s="154">
        <v>0.29166666666666669</v>
      </c>
      <c r="AI984" s="154">
        <v>0.29166666666666669</v>
      </c>
      <c r="AJ984" s="154">
        <v>0.29166666666666669</v>
      </c>
      <c r="AK984" s="154">
        <v>0.29166666666666669</v>
      </c>
      <c r="AL984" s="154">
        <v>0.29166666666666669</v>
      </c>
    </row>
    <row r="985" spans="1:41" hidden="1" x14ac:dyDescent="0.25">
      <c r="A985">
        <v>984</v>
      </c>
      <c r="B985">
        <v>2025</v>
      </c>
      <c r="C985">
        <v>7</v>
      </c>
      <c r="D985" t="s">
        <v>588</v>
      </c>
      <c r="E985">
        <v>85</v>
      </c>
      <c r="F985">
        <v>2</v>
      </c>
      <c r="G985" t="s">
        <v>535</v>
      </c>
      <c r="H985" s="154">
        <v>0.75</v>
      </c>
      <c r="I985" s="154">
        <v>0.79166666666666674</v>
      </c>
      <c r="J985" s="154">
        <v>0.83333333333333326</v>
      </c>
      <c r="K985" s="154">
        <v>0.875</v>
      </c>
      <c r="L985" s="154">
        <v>0.875</v>
      </c>
      <c r="M985" s="154" t="s">
        <v>424</v>
      </c>
      <c r="N985" s="154">
        <v>0.83333333333333326</v>
      </c>
      <c r="O985" s="154">
        <v>0.83333333333333326</v>
      </c>
      <c r="P985" s="154">
        <v>0.79166666666666674</v>
      </c>
      <c r="Q985" s="154">
        <v>0.83333333333333326</v>
      </c>
      <c r="R985" s="154">
        <v>0.83333333333333326</v>
      </c>
      <c r="S985" s="154">
        <v>0.91666666666666674</v>
      </c>
      <c r="T985" s="154">
        <v>0.83333333333333326</v>
      </c>
      <c r="U985" s="154">
        <v>0.79166666666666674</v>
      </c>
      <c r="V985" s="154">
        <v>0.83333333333333326</v>
      </c>
      <c r="W985" s="154">
        <v>0.91666666666666674</v>
      </c>
      <c r="X985" s="154">
        <v>0.75</v>
      </c>
      <c r="Y985" s="154">
        <v>0.79166666666666674</v>
      </c>
      <c r="Z985" s="154">
        <v>0.75</v>
      </c>
      <c r="AA985" s="154" t="s">
        <v>424</v>
      </c>
      <c r="AB985" s="154">
        <v>0.75</v>
      </c>
      <c r="AC985" s="154">
        <v>0.91666666666666674</v>
      </c>
      <c r="AD985" s="154">
        <v>0.875</v>
      </c>
      <c r="AE985" s="154">
        <v>0.79166666666666674</v>
      </c>
      <c r="AF985" s="154">
        <v>0.75</v>
      </c>
      <c r="AG985" s="154">
        <v>0.75</v>
      </c>
      <c r="AH985" s="154">
        <v>0.75</v>
      </c>
      <c r="AI985" s="154">
        <v>0.75</v>
      </c>
      <c r="AJ985" s="154">
        <v>0.75</v>
      </c>
      <c r="AK985" s="154">
        <v>0.75</v>
      </c>
      <c r="AL985" s="154">
        <v>0.75</v>
      </c>
      <c r="AM985" cm="1">
        <f t="array" ref="AM985">SUM(_xlfn.LET(_xlpm.r,((IFERROR(H985:AL985-H984:AL984,0))*24)/10,IF(_xlpm.r&gt;1,1,_xlpm.r)))</f>
        <v>29</v>
      </c>
      <c r="AO985" cm="1">
        <f t="array" ref="AO985">SUM(IFERROR(MOD((H985:AL985-H984:AL984)*24,11),""))</f>
        <v>39.999999999999972</v>
      </c>
    </row>
    <row r="986" spans="1:41" hidden="1" x14ac:dyDescent="0.25">
      <c r="A986">
        <v>985</v>
      </c>
      <c r="B986">
        <v>2025</v>
      </c>
      <c r="C986">
        <v>8</v>
      </c>
      <c r="D986" t="s">
        <v>588</v>
      </c>
      <c r="E986">
        <v>85</v>
      </c>
      <c r="F986">
        <v>3</v>
      </c>
      <c r="G986" t="s">
        <v>534</v>
      </c>
      <c r="H986" s="154">
        <v>0.29166666666666669</v>
      </c>
      <c r="I986" s="154">
        <v>0.29166666666666669</v>
      </c>
      <c r="J986" s="154">
        <v>0.29166666666666669</v>
      </c>
      <c r="K986" s="154">
        <v>0.29166666666666669</v>
      </c>
      <c r="L986" s="154">
        <v>0.29166666666666669</v>
      </c>
      <c r="M986" s="154">
        <v>0.29166666666666669</v>
      </c>
      <c r="N986" s="154">
        <v>0.29166666666666669</v>
      </c>
      <c r="O986" s="154">
        <v>0.29166666666666669</v>
      </c>
      <c r="P986" s="154">
        <v>0.29166666666666669</v>
      </c>
      <c r="Q986" s="154" t="s">
        <v>424</v>
      </c>
      <c r="R986" s="154">
        <v>0.29166666666666669</v>
      </c>
      <c r="S986" s="154">
        <v>0.29166666666666669</v>
      </c>
      <c r="T986" s="154">
        <v>0.29166666666666669</v>
      </c>
      <c r="U986" s="154">
        <v>0.29166666666666669</v>
      </c>
      <c r="V986" s="154">
        <v>0.29166666666666669</v>
      </c>
      <c r="W986" s="154">
        <v>0.29166666666666669</v>
      </c>
      <c r="X986" s="154" t="s">
        <v>424</v>
      </c>
      <c r="Y986" s="154">
        <v>0.29166666666666669</v>
      </c>
      <c r="Z986" s="154">
        <v>0.29166666666666669</v>
      </c>
      <c r="AA986" s="154">
        <v>0.29166666666666669</v>
      </c>
      <c r="AB986" s="154">
        <v>0.29166666666666669</v>
      </c>
      <c r="AC986" s="154">
        <v>0.29166666666666669</v>
      </c>
      <c r="AD986" s="154">
        <v>0.29166666666666669</v>
      </c>
      <c r="AE986" s="154">
        <v>0.29166666666666669</v>
      </c>
      <c r="AF986" s="154">
        <v>0.29166666666666669</v>
      </c>
      <c r="AG986" s="154">
        <v>0.29166666666666669</v>
      </c>
      <c r="AH986" s="154">
        <v>0.29166666666666669</v>
      </c>
      <c r="AI986" s="154">
        <v>0.29166666666666669</v>
      </c>
      <c r="AJ986" s="154">
        <v>0.29166666666666669</v>
      </c>
      <c r="AK986" s="154">
        <v>0.29166666666666669</v>
      </c>
      <c r="AL986" s="154">
        <v>0.29166666666666669</v>
      </c>
    </row>
    <row r="987" spans="1:41" hidden="1" x14ac:dyDescent="0.25">
      <c r="A987">
        <v>986</v>
      </c>
      <c r="B987">
        <v>2025</v>
      </c>
      <c r="C987">
        <v>8</v>
      </c>
      <c r="D987" t="s">
        <v>588</v>
      </c>
      <c r="E987">
        <v>85</v>
      </c>
      <c r="F987">
        <v>3</v>
      </c>
      <c r="G987" t="s">
        <v>535</v>
      </c>
      <c r="H987" s="154">
        <v>0.75</v>
      </c>
      <c r="I987" s="154">
        <v>1</v>
      </c>
      <c r="J987" s="154">
        <v>0.75</v>
      </c>
      <c r="K987" s="154">
        <v>0.79166666666666674</v>
      </c>
      <c r="L987" s="154">
        <v>0.83333333333333326</v>
      </c>
      <c r="M987" s="154">
        <v>0.75</v>
      </c>
      <c r="N987" s="154">
        <v>1</v>
      </c>
      <c r="O987" s="154">
        <v>0.75</v>
      </c>
      <c r="P987" s="154">
        <v>0.79166666666666674</v>
      </c>
      <c r="Q987" s="154" t="s">
        <v>424</v>
      </c>
      <c r="R987" s="154">
        <v>0.79166666666666674</v>
      </c>
      <c r="S987" s="154">
        <v>0.75</v>
      </c>
      <c r="T987" s="154">
        <v>0.79166666666666674</v>
      </c>
      <c r="U987" s="154">
        <v>0.75</v>
      </c>
      <c r="V987" s="154">
        <v>0.875</v>
      </c>
      <c r="W987" s="154">
        <v>0.79166666666666674</v>
      </c>
      <c r="X987" s="154" t="s">
        <v>424</v>
      </c>
      <c r="Y987" s="154">
        <v>0.79166666666666674</v>
      </c>
      <c r="Z987" s="154">
        <v>0.83333333333333326</v>
      </c>
      <c r="AA987" s="154">
        <v>0.75</v>
      </c>
      <c r="AB987" s="154">
        <v>0.79166666666666674</v>
      </c>
      <c r="AC987" s="154">
        <v>0.83333333333333326</v>
      </c>
      <c r="AD987" s="154">
        <v>0.79166666666666674</v>
      </c>
      <c r="AE987" s="154">
        <v>0.75</v>
      </c>
      <c r="AF987" s="154">
        <v>0.83333333333333326</v>
      </c>
      <c r="AG987" s="154">
        <v>0.75</v>
      </c>
      <c r="AH987" s="154">
        <v>0.79166666666666674</v>
      </c>
      <c r="AI987" s="154">
        <v>0.75</v>
      </c>
      <c r="AJ987" s="154">
        <v>0.95833333333333326</v>
      </c>
      <c r="AK987" s="154">
        <v>0.75</v>
      </c>
      <c r="AL987" s="154">
        <v>0.75</v>
      </c>
      <c r="AM987" cm="1">
        <f t="array" ref="AM987">SUM(_xlfn.LET(_xlpm.r,((IFERROR(H987:AL987-H986:AL986,0))*24)/10,IF(_xlpm.r&gt;1,1,_xlpm.r)))</f>
        <v>29</v>
      </c>
      <c r="AO987" cm="1">
        <f t="array" ref="AO987">SUM(IFERROR(MOD((H987:AL987-H986:AL986)*24,11),""))</f>
        <v>36.999999999999979</v>
      </c>
    </row>
    <row r="988" spans="1:41" hidden="1" x14ac:dyDescent="0.25">
      <c r="A988">
        <v>987</v>
      </c>
      <c r="B988">
        <v>2025</v>
      </c>
      <c r="C988">
        <v>9</v>
      </c>
      <c r="D988" t="s">
        <v>588</v>
      </c>
      <c r="E988">
        <v>85</v>
      </c>
      <c r="F988">
        <v>4</v>
      </c>
      <c r="G988" t="s">
        <v>534</v>
      </c>
      <c r="H988" s="154">
        <v>0.29166666666666669</v>
      </c>
      <c r="I988" s="154">
        <v>0.29166666666666669</v>
      </c>
      <c r="J988" s="154">
        <v>0.29166666666666669</v>
      </c>
      <c r="K988" s="154">
        <v>0.29166666666666669</v>
      </c>
      <c r="L988" s="154">
        <v>0.29166666666666669</v>
      </c>
      <c r="M988" s="154">
        <v>0.29166666666666669</v>
      </c>
      <c r="N988" s="154">
        <v>0.29166666666666669</v>
      </c>
      <c r="O988" s="154">
        <v>0.29166666666666669</v>
      </c>
      <c r="P988" s="154">
        <v>0.29166666666666669</v>
      </c>
      <c r="Q988" s="154">
        <v>0.29166666666666669</v>
      </c>
      <c r="R988" s="154">
        <v>0.29166666666666669</v>
      </c>
      <c r="S988" s="154">
        <v>0.29166666666666669</v>
      </c>
      <c r="T988" s="154">
        <v>0.29166666666666669</v>
      </c>
      <c r="U988" s="154" t="s">
        <v>424</v>
      </c>
      <c r="V988" s="154">
        <v>0.29166666666666669</v>
      </c>
      <c r="W988" s="154">
        <v>0.29166666666666669</v>
      </c>
      <c r="X988" s="154">
        <v>0.29166666666666669</v>
      </c>
      <c r="Y988" s="154">
        <v>0.29166666666666669</v>
      </c>
      <c r="Z988" s="154">
        <v>0.29166666666666669</v>
      </c>
      <c r="AA988" s="154">
        <v>0.29166666666666669</v>
      </c>
      <c r="AB988" s="154">
        <v>0.29166666666666669</v>
      </c>
      <c r="AC988" s="154">
        <v>0.29166666666666669</v>
      </c>
      <c r="AD988" s="154">
        <v>0.29166666666666669</v>
      </c>
      <c r="AE988" s="154">
        <v>0.29166666666666669</v>
      </c>
      <c r="AF988" s="154">
        <v>0.29166666666666669</v>
      </c>
      <c r="AG988" s="154">
        <v>0.29166666666666669</v>
      </c>
      <c r="AH988" s="154">
        <v>0.29166666666666669</v>
      </c>
      <c r="AI988" s="154" t="s">
        <v>424</v>
      </c>
      <c r="AJ988" s="154">
        <v>0.29166666666666669</v>
      </c>
      <c r="AK988" s="154">
        <v>0.29166666666666669</v>
      </c>
      <c r="AL988" s="154" t="s">
        <v>424</v>
      </c>
    </row>
    <row r="989" spans="1:41" hidden="1" x14ac:dyDescent="0.25">
      <c r="A989">
        <v>988</v>
      </c>
      <c r="B989">
        <v>2025</v>
      </c>
      <c r="C989">
        <v>9</v>
      </c>
      <c r="D989" t="s">
        <v>588</v>
      </c>
      <c r="E989">
        <v>85</v>
      </c>
      <c r="F989">
        <v>4</v>
      </c>
      <c r="G989" t="s">
        <v>535</v>
      </c>
      <c r="H989" s="154">
        <v>0.79166666666666674</v>
      </c>
      <c r="I989" s="154">
        <v>0.79166666666666674</v>
      </c>
      <c r="J989" s="154">
        <v>0.83333333333333326</v>
      </c>
      <c r="K989" s="154">
        <v>0.79166666666666674</v>
      </c>
      <c r="L989" s="154">
        <v>0.83333333333333326</v>
      </c>
      <c r="M989" s="154">
        <v>0.79166666666666674</v>
      </c>
      <c r="N989" s="154">
        <v>0.75</v>
      </c>
      <c r="O989" s="154">
        <v>0.83333333333333326</v>
      </c>
      <c r="P989" s="154">
        <v>0.79166666666666674</v>
      </c>
      <c r="Q989" s="154">
        <v>0.75</v>
      </c>
      <c r="R989" s="154">
        <v>0.79166666666666674</v>
      </c>
      <c r="S989" s="154">
        <v>0.875</v>
      </c>
      <c r="T989" s="154">
        <v>0.75</v>
      </c>
      <c r="U989" s="154" t="s">
        <v>424</v>
      </c>
      <c r="V989" s="154">
        <v>0.75</v>
      </c>
      <c r="W989" s="154">
        <v>0.91666666666666674</v>
      </c>
      <c r="X989" s="154">
        <v>0.75</v>
      </c>
      <c r="Y989" s="154">
        <v>0.79166666666666674</v>
      </c>
      <c r="Z989" s="154">
        <v>0.83333333333333326</v>
      </c>
      <c r="AA989" s="154">
        <v>0.75</v>
      </c>
      <c r="AB989" s="154">
        <v>0.79166666666666674</v>
      </c>
      <c r="AC989" s="154">
        <v>0.83333333333333326</v>
      </c>
      <c r="AD989" s="154">
        <v>0.79166666666666674</v>
      </c>
      <c r="AE989" s="154">
        <v>0.75</v>
      </c>
      <c r="AF989" s="154">
        <v>0.91666666666666674</v>
      </c>
      <c r="AG989" s="154">
        <v>0.75</v>
      </c>
      <c r="AH989" s="154">
        <v>0.79166666666666674</v>
      </c>
      <c r="AI989" s="154" t="s">
        <v>424</v>
      </c>
      <c r="AJ989" s="154">
        <v>0.75</v>
      </c>
      <c r="AK989" s="154">
        <v>0.75</v>
      </c>
      <c r="AL989" s="154" t="s">
        <v>424</v>
      </c>
      <c r="AM989" cm="1">
        <f t="array" ref="AM989">SUM(_xlfn.LET(_xlpm.r,((IFERROR(H989:AL989-H988:AL988,0))*24)/10,IF(_xlpm.r&gt;1,1,_xlpm.r)))</f>
        <v>28</v>
      </c>
      <c r="AO989" cm="1">
        <f t="array" ref="AO989">SUM(IFERROR(MOD((H989:AL989-H988:AL988)*24,11),""))</f>
        <v>30.999999999999979</v>
      </c>
    </row>
    <row r="990" spans="1:41" hidden="1" x14ac:dyDescent="0.25">
      <c r="A990">
        <v>989</v>
      </c>
      <c r="B990">
        <v>2025</v>
      </c>
      <c r="C990">
        <v>10</v>
      </c>
      <c r="D990" t="s">
        <v>588</v>
      </c>
      <c r="E990">
        <v>85</v>
      </c>
      <c r="F990">
        <v>5</v>
      </c>
      <c r="G990" t="s">
        <v>534</v>
      </c>
      <c r="H990" s="154">
        <v>0.29166666666666669</v>
      </c>
      <c r="I990" s="154">
        <v>0.29166666666666669</v>
      </c>
      <c r="J990" s="154">
        <v>0.29166666666666669</v>
      </c>
      <c r="K990" s="154">
        <v>0.29166666666666669</v>
      </c>
      <c r="L990" s="154">
        <v>0.29166666666666669</v>
      </c>
      <c r="M990" s="154">
        <v>0.29166666666666669</v>
      </c>
      <c r="N990" s="154">
        <v>0.29166666666666669</v>
      </c>
      <c r="O990" s="154">
        <v>0.29166666666666669</v>
      </c>
      <c r="P990" s="154">
        <v>0.29166666666666669</v>
      </c>
      <c r="Q990" s="154">
        <v>0.29166666666666669</v>
      </c>
      <c r="R990" s="154">
        <v>0.29166666666666669</v>
      </c>
      <c r="S990" s="154">
        <v>0.29166666666666669</v>
      </c>
      <c r="T990" s="154">
        <v>0.29166666666666669</v>
      </c>
      <c r="U990" s="154">
        <v>0.29166666666666669</v>
      </c>
      <c r="V990" s="154">
        <v>0.29166666666666669</v>
      </c>
      <c r="W990" s="154">
        <v>0.29166666666666669</v>
      </c>
      <c r="X990" s="154">
        <v>0.29166666666666669</v>
      </c>
      <c r="Y990" s="154">
        <v>0.29166666666666669</v>
      </c>
      <c r="Z990" s="154">
        <v>0.29166666666666669</v>
      </c>
      <c r="AA990" s="154" t="s">
        <v>424</v>
      </c>
      <c r="AB990" s="154" t="s">
        <v>424</v>
      </c>
      <c r="AC990" s="154">
        <v>0.29166666666666669</v>
      </c>
      <c r="AD990" s="154">
        <v>0.29166666666666669</v>
      </c>
      <c r="AE990" s="154">
        <v>0.29166666666666669</v>
      </c>
      <c r="AF990" s="154">
        <v>0.29166666666666669</v>
      </c>
      <c r="AG990" s="154">
        <v>0.29166666666666669</v>
      </c>
      <c r="AH990" s="154">
        <v>0.29166666666666669</v>
      </c>
      <c r="AI990" s="154">
        <v>0.29166666666666669</v>
      </c>
      <c r="AJ990" s="154">
        <v>0.29166666666666669</v>
      </c>
      <c r="AK990" s="154">
        <v>0.29166666666666669</v>
      </c>
      <c r="AL990" s="154">
        <v>0.29166666666666669</v>
      </c>
    </row>
    <row r="991" spans="1:41" hidden="1" x14ac:dyDescent="0.25">
      <c r="A991">
        <v>990</v>
      </c>
      <c r="B991">
        <v>2025</v>
      </c>
      <c r="C991">
        <v>10</v>
      </c>
      <c r="D991" t="s">
        <v>588</v>
      </c>
      <c r="E991">
        <v>85</v>
      </c>
      <c r="F991">
        <v>5</v>
      </c>
      <c r="G991" t="s">
        <v>535</v>
      </c>
      <c r="H991" s="154">
        <v>0.79166666666666674</v>
      </c>
      <c r="I991" s="154">
        <v>0.75</v>
      </c>
      <c r="J991" s="154">
        <v>0.91666666666666674</v>
      </c>
      <c r="K991" s="154">
        <v>0.75</v>
      </c>
      <c r="L991" s="154">
        <v>0.75</v>
      </c>
      <c r="M991" s="154">
        <v>0.75</v>
      </c>
      <c r="N991" s="154">
        <v>0.75</v>
      </c>
      <c r="O991" s="154">
        <v>0.79166666666666674</v>
      </c>
      <c r="P991" s="154">
        <v>0.75</v>
      </c>
      <c r="Q991" s="154">
        <v>0.75</v>
      </c>
      <c r="R991" s="154">
        <v>0.75</v>
      </c>
      <c r="S991" s="154">
        <v>0.75</v>
      </c>
      <c r="T991" s="154">
        <v>0.75</v>
      </c>
      <c r="U991" s="154">
        <v>0.75</v>
      </c>
      <c r="V991" s="154">
        <v>0.75</v>
      </c>
      <c r="W991" s="154">
        <v>0.75</v>
      </c>
      <c r="X991" s="154">
        <v>0.75</v>
      </c>
      <c r="Y991" s="154">
        <v>0.75</v>
      </c>
      <c r="Z991" s="154">
        <v>0.75</v>
      </c>
      <c r="AA991" s="154" t="s">
        <v>424</v>
      </c>
      <c r="AB991" s="154" t="s">
        <v>424</v>
      </c>
      <c r="AC991" s="154">
        <v>0.75</v>
      </c>
      <c r="AD991" s="154">
        <v>0.75</v>
      </c>
      <c r="AE991" s="154">
        <v>0.75</v>
      </c>
      <c r="AF991" s="154">
        <v>0.75</v>
      </c>
      <c r="AG991" s="154">
        <v>0.75</v>
      </c>
      <c r="AH991" s="154">
        <v>0.75</v>
      </c>
      <c r="AI991" s="154">
        <v>0.75</v>
      </c>
      <c r="AJ991" s="154">
        <v>0.75</v>
      </c>
      <c r="AK991" s="154">
        <v>0.75</v>
      </c>
      <c r="AL991" s="154">
        <v>0.75</v>
      </c>
      <c r="AM991" cm="1">
        <f t="array" ref="AM991">SUM(_xlfn.LET(_xlpm.r,((IFERROR(H991:AL991-H990:AL990,0))*24)/10,IF(_xlpm.r&gt;1,1,_xlpm.r)))</f>
        <v>29</v>
      </c>
      <c r="AO991" cm="1">
        <f t="array" ref="AO991">SUM(IFERROR(MOD((H991:AL991-H990:AL990)*24,11),""))</f>
        <v>6</v>
      </c>
    </row>
    <row r="992" spans="1:41" hidden="1" x14ac:dyDescent="0.25">
      <c r="A992">
        <v>991</v>
      </c>
      <c r="B992">
        <v>2025</v>
      </c>
      <c r="C992">
        <v>11</v>
      </c>
      <c r="D992" t="s">
        <v>588</v>
      </c>
      <c r="E992">
        <v>85</v>
      </c>
      <c r="F992">
        <f>+F990+1</f>
        <v>6</v>
      </c>
      <c r="G992" t="s">
        <v>534</v>
      </c>
      <c r="H992" s="154" cm="1">
        <f t="array" ref="H992:AL993">_xlfn.LET(_xlpm.r,TRANSPOSE('[2]77SN951'!$E$10:$F$40),IF(_xlpm.r=0,"",_xlpm.r))</f>
        <v>0.29166666666666669</v>
      </c>
      <c r="I992" s="154">
        <v>0.29166666666666669</v>
      </c>
      <c r="J992" s="154">
        <v>0.29166666666666669</v>
      </c>
      <c r="K992" s="154">
        <v>0.29166666666666669</v>
      </c>
      <c r="L992" s="154">
        <v>0.29166666666666669</v>
      </c>
      <c r="M992" s="154">
        <v>0.29166666666666669</v>
      </c>
      <c r="N992" s="154">
        <v>0.29166666666666669</v>
      </c>
      <c r="O992" s="154">
        <v>0.29166666666666669</v>
      </c>
      <c r="P992" s="154" t="str">
        <v/>
      </c>
      <c r="Q992" s="154">
        <v>0.29166666666666669</v>
      </c>
      <c r="R992" s="154">
        <v>0.29166666666666669</v>
      </c>
      <c r="S992" s="154">
        <v>0.29166666666666669</v>
      </c>
      <c r="T992" s="154">
        <v>0.29166666666666669</v>
      </c>
      <c r="U992" s="154">
        <v>0.29166666666666669</v>
      </c>
      <c r="V992" s="154">
        <v>0.29166666666666669</v>
      </c>
      <c r="W992" s="154">
        <v>0.29166666666666669</v>
      </c>
      <c r="X992" s="154">
        <v>0.29166666666666669</v>
      </c>
      <c r="Y992" s="154">
        <v>0.29166666666666669</v>
      </c>
      <c r="Z992" s="154">
        <v>0.29166666666666669</v>
      </c>
      <c r="AA992" s="154">
        <v>0.29166666666666669</v>
      </c>
      <c r="AB992" s="154">
        <v>0.29166666666666669</v>
      </c>
      <c r="AC992" s="154">
        <v>0.29166666666666669</v>
      </c>
      <c r="AD992" s="154">
        <v>0.29166666666666669</v>
      </c>
      <c r="AE992" s="154">
        <v>0.29166666666666669</v>
      </c>
      <c r="AF992" s="154">
        <v>0.29166666666666669</v>
      </c>
      <c r="AG992" s="154">
        <v>0.29166666666666669</v>
      </c>
      <c r="AH992" s="154">
        <v>0.29166666666666669</v>
      </c>
      <c r="AI992" s="154">
        <v>0.29166666666666669</v>
      </c>
      <c r="AJ992" s="154">
        <v>0.29166666666666669</v>
      </c>
      <c r="AK992" s="154">
        <v>0.29166666666666669</v>
      </c>
      <c r="AL992" s="154" t="str">
        <v/>
      </c>
    </row>
    <row r="993" spans="1:41" hidden="1" x14ac:dyDescent="0.25">
      <c r="A993">
        <v>992</v>
      </c>
      <c r="B993">
        <v>2025</v>
      </c>
      <c r="C993">
        <f>+C992</f>
        <v>11</v>
      </c>
      <c r="D993" t="s">
        <v>588</v>
      </c>
      <c r="E993">
        <v>85</v>
      </c>
      <c r="F993">
        <f>+F992</f>
        <v>6</v>
      </c>
      <c r="G993" t="s">
        <v>535</v>
      </c>
      <c r="H993" s="154">
        <v>0.75</v>
      </c>
      <c r="I993" s="154">
        <v>0.875</v>
      </c>
      <c r="J993" s="154">
        <v>0.79166666666666674</v>
      </c>
      <c r="K993" s="154">
        <v>0.83333333333333326</v>
      </c>
      <c r="L993" s="154">
        <v>0.79166666666666674</v>
      </c>
      <c r="M993" s="154">
        <v>0.79166666666666674</v>
      </c>
      <c r="N993" s="154">
        <v>0.875</v>
      </c>
      <c r="O993" s="154">
        <v>0.83333333333333326</v>
      </c>
      <c r="P993" s="154" t="str">
        <v/>
      </c>
      <c r="Q993" s="154">
        <v>0.79166666666666674</v>
      </c>
      <c r="R993" s="154">
        <v>0.75</v>
      </c>
      <c r="S993" s="154">
        <v>0.875</v>
      </c>
      <c r="T993" s="154">
        <v>0.875</v>
      </c>
      <c r="U993" s="154">
        <v>0.95833333333333326</v>
      </c>
      <c r="V993" s="154">
        <v>0.83333333333333326</v>
      </c>
      <c r="W993" s="154">
        <v>0.79166666666666674</v>
      </c>
      <c r="X993" s="154">
        <v>0.83333333333333326</v>
      </c>
      <c r="Y993" s="154">
        <v>0.91666666666666674</v>
      </c>
      <c r="Z993" s="154">
        <v>0.79166666666666674</v>
      </c>
      <c r="AA993" s="154">
        <v>0.75</v>
      </c>
      <c r="AB993" s="154">
        <v>0.83333333333333326</v>
      </c>
      <c r="AC993" s="154">
        <v>0.79166666666666674</v>
      </c>
      <c r="AD993" s="154">
        <v>0.875</v>
      </c>
      <c r="AE993" s="154">
        <v>0.83333333333333326</v>
      </c>
      <c r="AF993" s="154">
        <v>0.79166666666666674</v>
      </c>
      <c r="AG993" s="154">
        <v>0.83333333333333326</v>
      </c>
      <c r="AH993" s="154">
        <v>0.83333333333333326</v>
      </c>
      <c r="AI993" s="154">
        <v>0.75</v>
      </c>
      <c r="AJ993" s="154">
        <v>0.91666666666666674</v>
      </c>
      <c r="AK993" s="154">
        <v>0.75</v>
      </c>
      <c r="AL993" s="154" t="str">
        <v/>
      </c>
      <c r="AM993" cm="1">
        <f t="array" ref="AM993">SUM(_xlfn.LET(_xlpm.r,((IFERROR(H993:AL993-H992:AL992,0))*24)/10,IF(_xlpm.r&gt;1,1,_xlpm.r)))</f>
        <v>29</v>
      </c>
      <c r="AO993" cm="1">
        <f t="array" ref="AO993">SUM(IFERROR(MOD((H993:AL993-H992:AL992)*24,11),""))</f>
        <v>51.999999999999972</v>
      </c>
    </row>
    <row r="994" spans="1:41" hidden="1" x14ac:dyDescent="0.25">
      <c r="A994">
        <v>993</v>
      </c>
      <c r="B994">
        <v>2025</v>
      </c>
      <c r="C994">
        <v>6</v>
      </c>
      <c r="D994" t="s">
        <v>598</v>
      </c>
      <c r="E994">
        <v>94</v>
      </c>
      <c r="F994">
        <v>1</v>
      </c>
      <c r="G994" t="s">
        <v>534</v>
      </c>
      <c r="H994" s="154" t="str" cm="1">
        <f t="array" ref="H994:AL995">_xlfn.LET(_xlpm.r,TRANSPOSE('[3]54 BM 823'!$E$10:$F$40),IF(_xlpm.r=0,"",_xlpm.r))</f>
        <v/>
      </c>
      <c r="I994" s="154" t="str">
        <v/>
      </c>
      <c r="J994" s="154">
        <v>0.29166666666666669</v>
      </c>
      <c r="K994" s="154">
        <v>0.29166666666666669</v>
      </c>
      <c r="L994" s="154">
        <v>0.29166666666666669</v>
      </c>
      <c r="M994" s="154">
        <v>0.29166666666666669</v>
      </c>
      <c r="N994" s="154">
        <v>0.29166666666666669</v>
      </c>
      <c r="O994" s="154">
        <v>0.29166666666666669</v>
      </c>
      <c r="P994" s="154">
        <v>0.29166666666666669</v>
      </c>
      <c r="Q994" s="154">
        <v>0.29166666666666669</v>
      </c>
      <c r="R994" s="154">
        <v>0.29166666666666669</v>
      </c>
      <c r="S994" s="154">
        <v>0.29166666666666669</v>
      </c>
      <c r="T994" s="154">
        <v>0.29166666666666669</v>
      </c>
      <c r="U994" s="154">
        <v>0.29166666666666669</v>
      </c>
      <c r="V994" s="154">
        <v>0.29166666666666669</v>
      </c>
      <c r="W994" s="154">
        <v>0.29166666666666669</v>
      </c>
      <c r="X994" s="154">
        <v>0.29166666666666669</v>
      </c>
      <c r="Y994" s="154">
        <v>0.29166666666666669</v>
      </c>
      <c r="Z994" s="154">
        <v>0.29166666666666669</v>
      </c>
      <c r="AA994" s="154">
        <v>0.29166666666666669</v>
      </c>
      <c r="AB994" s="154">
        <v>0.29166666666666669</v>
      </c>
      <c r="AC994" s="154">
        <v>0.29166666666666669</v>
      </c>
      <c r="AD994" s="154">
        <v>0.29166666666666669</v>
      </c>
      <c r="AE994" s="154">
        <v>0.29166666666666669</v>
      </c>
      <c r="AF994" s="154">
        <v>0.29166666666666669</v>
      </c>
      <c r="AG994" s="154">
        <v>0.29166666666666669</v>
      </c>
      <c r="AH994" s="154">
        <v>0.29166666666666669</v>
      </c>
      <c r="AI994" s="154">
        <v>0.29166666666666669</v>
      </c>
      <c r="AJ994" s="154">
        <v>0.29166666666666669</v>
      </c>
      <c r="AK994" s="154">
        <v>0.29166666666666669</v>
      </c>
      <c r="AL994" s="154" t="str">
        <v/>
      </c>
    </row>
    <row r="995" spans="1:41" hidden="1" x14ac:dyDescent="0.25">
      <c r="A995">
        <v>994</v>
      </c>
      <c r="B995">
        <v>2025</v>
      </c>
      <c r="C995">
        <v>6</v>
      </c>
      <c r="D995" t="s">
        <v>598</v>
      </c>
      <c r="E995">
        <v>94</v>
      </c>
      <c r="F995">
        <v>1</v>
      </c>
      <c r="G995" t="s">
        <v>535</v>
      </c>
      <c r="H995" s="154" t="str">
        <v/>
      </c>
      <c r="I995" s="154" t="str">
        <v/>
      </c>
      <c r="J995" s="154">
        <v>0.75</v>
      </c>
      <c r="K995" s="154">
        <v>0.75</v>
      </c>
      <c r="L995" s="154">
        <v>0.75</v>
      </c>
      <c r="M995" s="154">
        <v>0.75</v>
      </c>
      <c r="N995" s="154">
        <v>0.75</v>
      </c>
      <c r="O995" s="154">
        <v>0.75</v>
      </c>
      <c r="P995" s="154">
        <v>0.75</v>
      </c>
      <c r="Q995" s="154">
        <v>0.75</v>
      </c>
      <c r="R995" s="154">
        <v>0.75</v>
      </c>
      <c r="S995" s="154">
        <v>0.75</v>
      </c>
      <c r="T995" s="154">
        <v>0.75</v>
      </c>
      <c r="U995" s="154">
        <v>0.75</v>
      </c>
      <c r="V995" s="154">
        <v>0.75</v>
      </c>
      <c r="W995" s="154">
        <v>0.75</v>
      </c>
      <c r="X995" s="154">
        <v>0.75</v>
      </c>
      <c r="Y995" s="154">
        <v>0.75</v>
      </c>
      <c r="Z995" s="154">
        <v>0.75</v>
      </c>
      <c r="AA995" s="154">
        <v>0.75</v>
      </c>
      <c r="AB995" s="154">
        <v>0.75</v>
      </c>
      <c r="AC995" s="154">
        <v>0.75</v>
      </c>
      <c r="AD995" s="154">
        <v>0.75</v>
      </c>
      <c r="AE995" s="154">
        <v>0.75</v>
      </c>
      <c r="AF995" s="154">
        <v>0.75</v>
      </c>
      <c r="AG995" s="154">
        <v>0.75</v>
      </c>
      <c r="AH995" s="154">
        <v>0.75</v>
      </c>
      <c r="AI995" s="154">
        <v>0.75</v>
      </c>
      <c r="AJ995" s="154">
        <v>0.75</v>
      </c>
      <c r="AK995" s="154">
        <v>0.75</v>
      </c>
      <c r="AL995" s="154" t="str">
        <v/>
      </c>
      <c r="AM995" cm="1">
        <f t="array" ref="AM995">SUM(_xlfn.LET(_xlpm.r,((IFERROR(H995:AL995-H994:AL994,0))*24)/10,IF(_xlpm.r&gt;1,1,_xlpm.r)))</f>
        <v>28</v>
      </c>
      <c r="AO995" cm="1">
        <f t="array" ref="AO995">SUM(IFERROR(MOD((H995:AL995-H994:AL994)*24,11),""))</f>
        <v>0</v>
      </c>
    </row>
    <row r="996" spans="1:41" hidden="1" x14ac:dyDescent="0.25">
      <c r="A996">
        <v>995</v>
      </c>
      <c r="B996">
        <v>2025</v>
      </c>
      <c r="C996">
        <v>7</v>
      </c>
      <c r="D996" t="s">
        <v>598</v>
      </c>
      <c r="E996">
        <v>94</v>
      </c>
      <c r="F996">
        <v>2</v>
      </c>
      <c r="G996" t="s">
        <v>534</v>
      </c>
      <c r="H996" s="154">
        <v>0.29166666666666669</v>
      </c>
      <c r="I996" s="154">
        <v>0.29166666666666669</v>
      </c>
      <c r="J996" s="154">
        <v>0.29166666666666669</v>
      </c>
      <c r="K996" s="154">
        <v>0.29166666666666669</v>
      </c>
      <c r="L996" s="154">
        <v>0.29166666666666669</v>
      </c>
      <c r="M996" s="154">
        <v>0.29166666666666669</v>
      </c>
      <c r="N996" s="154">
        <v>0.29166666666666669</v>
      </c>
      <c r="O996" s="154">
        <v>0.29166666666666669</v>
      </c>
      <c r="P996" s="154">
        <v>0.29166666666666669</v>
      </c>
      <c r="Q996" s="154">
        <v>0.29166666666666669</v>
      </c>
      <c r="R996" s="154">
        <v>0.29166666666666669</v>
      </c>
      <c r="S996" s="154">
        <v>0.29166666666666669</v>
      </c>
      <c r="T996" s="154">
        <v>0.29166666666666669</v>
      </c>
      <c r="U996" s="154">
        <v>0.29166666666666669</v>
      </c>
      <c r="V996" s="154">
        <v>0.29166666666666669</v>
      </c>
      <c r="W996" s="154">
        <v>0.29166666666666669</v>
      </c>
      <c r="X996" s="154">
        <v>0.29166666666666669</v>
      </c>
      <c r="Y996" s="154">
        <v>0.29166666666666669</v>
      </c>
      <c r="Z996" s="154">
        <v>0.29166666666666669</v>
      </c>
      <c r="AA996" s="154">
        <v>0.29166666666666669</v>
      </c>
      <c r="AB996" s="154">
        <v>0.29166666666666669</v>
      </c>
      <c r="AC996" s="154">
        <v>0.29166666666666669</v>
      </c>
      <c r="AD996" s="154">
        <v>0.29166666666666669</v>
      </c>
      <c r="AE996" s="154">
        <v>0.29166666666666669</v>
      </c>
      <c r="AF996" s="154">
        <v>0.29166666666666669</v>
      </c>
      <c r="AG996" s="154">
        <v>0.29166666666666669</v>
      </c>
      <c r="AH996" s="154">
        <v>0.29166666666666669</v>
      </c>
      <c r="AI996" s="154">
        <v>0.29166666666666669</v>
      </c>
      <c r="AJ996" s="154">
        <v>0.29166666666666669</v>
      </c>
      <c r="AK996" s="154">
        <v>0.29166666666666669</v>
      </c>
      <c r="AL996" s="154">
        <v>0.29166666666666669</v>
      </c>
    </row>
    <row r="997" spans="1:41" hidden="1" x14ac:dyDescent="0.25">
      <c r="A997">
        <v>996</v>
      </c>
      <c r="B997">
        <v>2025</v>
      </c>
      <c r="C997">
        <v>7</v>
      </c>
      <c r="D997" t="s">
        <v>598</v>
      </c>
      <c r="E997">
        <v>94</v>
      </c>
      <c r="F997">
        <v>2</v>
      </c>
      <c r="G997" t="s">
        <v>535</v>
      </c>
      <c r="H997" s="154">
        <v>0.75</v>
      </c>
      <c r="I997" s="154">
        <v>0.75</v>
      </c>
      <c r="J997" s="154">
        <v>0.75</v>
      </c>
      <c r="K997" s="154">
        <v>0.75</v>
      </c>
      <c r="L997" s="154">
        <v>0.75</v>
      </c>
      <c r="M997" s="154">
        <v>0.75</v>
      </c>
      <c r="N997" s="154">
        <v>0.75</v>
      </c>
      <c r="O997" s="154">
        <v>0.75</v>
      </c>
      <c r="P997" s="154">
        <v>0.75</v>
      </c>
      <c r="Q997" s="154">
        <v>0.75</v>
      </c>
      <c r="R997" s="154">
        <v>0.75</v>
      </c>
      <c r="S997" s="154">
        <v>0.75</v>
      </c>
      <c r="T997" s="154">
        <v>0.75</v>
      </c>
      <c r="U997" s="154">
        <v>0.75</v>
      </c>
      <c r="V997" s="154">
        <v>0.75</v>
      </c>
      <c r="W997" s="154">
        <v>0.75</v>
      </c>
      <c r="X997" s="154">
        <v>0.75</v>
      </c>
      <c r="Y997" s="154">
        <v>0.75</v>
      </c>
      <c r="Z997" s="154">
        <v>0.75</v>
      </c>
      <c r="AA997" s="154">
        <v>0.75</v>
      </c>
      <c r="AB997" s="154">
        <v>0.75</v>
      </c>
      <c r="AC997" s="154">
        <v>0.75</v>
      </c>
      <c r="AD997" s="154">
        <v>0.75</v>
      </c>
      <c r="AE997" s="154">
        <v>0.75</v>
      </c>
      <c r="AF997" s="154">
        <v>0.75</v>
      </c>
      <c r="AG997" s="154">
        <v>0.75</v>
      </c>
      <c r="AH997" s="154">
        <v>0.75</v>
      </c>
      <c r="AI997" s="154">
        <v>0.75</v>
      </c>
      <c r="AJ997" s="154">
        <f>23/24</f>
        <v>0.95833333333333337</v>
      </c>
      <c r="AK997" s="154">
        <v>0.75</v>
      </c>
      <c r="AL997" s="154">
        <v>0.75</v>
      </c>
      <c r="AM997" cm="1">
        <f t="array" ref="AM997">SUM(_xlfn.LET(_xlpm.r,((IFERROR(H997:AL997-H996:AL996,0))*24)/10,IF(_xlpm.r&gt;1,1,_xlpm.r)))</f>
        <v>31</v>
      </c>
      <c r="AO997" cm="1">
        <f t="array" ref="AO997">SUM(IFERROR(MOD((H997:AL997-H996:AL996)*24,11),""))</f>
        <v>5</v>
      </c>
    </row>
    <row r="998" spans="1:41" hidden="1" x14ac:dyDescent="0.25">
      <c r="A998">
        <v>997</v>
      </c>
      <c r="B998">
        <v>2025</v>
      </c>
      <c r="C998">
        <v>7</v>
      </c>
      <c r="D998" t="s">
        <v>598</v>
      </c>
      <c r="E998">
        <v>94</v>
      </c>
      <c r="F998">
        <v>2</v>
      </c>
      <c r="G998" t="s">
        <v>534</v>
      </c>
      <c r="U998" s="154">
        <f>19/24</f>
        <v>0.79166666666666663</v>
      </c>
      <c r="V998" s="154">
        <f t="shared" ref="V998:AF998" si="0">19/24</f>
        <v>0.79166666666666663</v>
      </c>
      <c r="W998" s="154">
        <f t="shared" si="0"/>
        <v>0.79166666666666663</v>
      </c>
      <c r="X998" s="154">
        <f t="shared" si="0"/>
        <v>0.79166666666666663</v>
      </c>
      <c r="Y998" s="154">
        <f t="shared" si="0"/>
        <v>0.79166666666666663</v>
      </c>
      <c r="Z998" s="154">
        <f t="shared" si="0"/>
        <v>0.79166666666666663</v>
      </c>
      <c r="AA998" s="154">
        <f t="shared" si="0"/>
        <v>0.79166666666666663</v>
      </c>
      <c r="AB998" s="154">
        <f t="shared" si="0"/>
        <v>0.79166666666666663</v>
      </c>
      <c r="AC998" s="154">
        <f t="shared" si="0"/>
        <v>0.79166666666666663</v>
      </c>
      <c r="AD998" s="154">
        <f t="shared" si="0"/>
        <v>0.79166666666666663</v>
      </c>
      <c r="AE998" s="154">
        <f t="shared" si="0"/>
        <v>0.79166666666666663</v>
      </c>
      <c r="AF998" s="154">
        <f t="shared" si="0"/>
        <v>0.79166666666666663</v>
      </c>
      <c r="AK998" s="154">
        <f t="shared" ref="AK998:AL998" si="1">19/24</f>
        <v>0.79166666666666663</v>
      </c>
      <c r="AL998" s="154">
        <f t="shared" si="1"/>
        <v>0.79166666666666663</v>
      </c>
    </row>
    <row r="999" spans="1:41" hidden="1" x14ac:dyDescent="0.25">
      <c r="A999">
        <v>998</v>
      </c>
      <c r="B999">
        <v>2025</v>
      </c>
      <c r="C999">
        <v>7</v>
      </c>
      <c r="D999" t="s">
        <v>598</v>
      </c>
      <c r="E999">
        <v>94</v>
      </c>
      <c r="F999">
        <v>2</v>
      </c>
      <c r="G999" t="s">
        <v>535</v>
      </c>
      <c r="U999" s="154">
        <v>0.25</v>
      </c>
      <c r="V999" s="154">
        <v>0.25</v>
      </c>
      <c r="W999" s="154">
        <v>0.25</v>
      </c>
      <c r="X999" s="154">
        <v>0.25</v>
      </c>
      <c r="Y999" s="154">
        <v>0.25</v>
      </c>
      <c r="Z999" s="154">
        <v>0.25</v>
      </c>
      <c r="AA999" s="154">
        <v>0.25</v>
      </c>
      <c r="AB999" s="154">
        <v>0.25</v>
      </c>
      <c r="AC999" s="154">
        <v>0.25</v>
      </c>
      <c r="AD999" s="154">
        <v>0.25</v>
      </c>
      <c r="AE999" s="154">
        <v>0.25</v>
      </c>
      <c r="AF999" s="154">
        <v>0.25</v>
      </c>
      <c r="AK999" s="154">
        <v>0.25</v>
      </c>
      <c r="AL999" s="154">
        <v>0.25</v>
      </c>
      <c r="AM999" cm="1">
        <f t="array" ref="AM999">SUM(_xlfn.LET(_xlpm.s,H998:AL998,_xlpm.e,H999:AL999,_xlpm.r,((IFERROR(IF(_xlpm.e&lt;_xlpm.s,1,0)+_xlpm.e-_xlpm.s,0))*24)/10,IF(_xlpm.r&gt;1,1,_xlpm.r)))</f>
        <v>14</v>
      </c>
      <c r="AO999" cm="1">
        <f t="array" ref="AO999">SUM(
  IFERROR(
    _xlfn.LET(
      _xlpm.e,H999:AL999,
      _xlpm.s,H998:AL998,
      MOD((IF(_xlpm.e&lt;_xlpm.s,1,0)+_xlpm.e-_xlpm.s)*24,11)
    ),
    ""
  )
)</f>
        <v>0</v>
      </c>
    </row>
    <row r="1000" spans="1:41" hidden="1" x14ac:dyDescent="0.25">
      <c r="A1000">
        <v>999</v>
      </c>
      <c r="B1000">
        <v>2025</v>
      </c>
      <c r="C1000">
        <v>8</v>
      </c>
      <c r="D1000" t="s">
        <v>598</v>
      </c>
      <c r="E1000">
        <v>94</v>
      </c>
      <c r="F1000">
        <v>3</v>
      </c>
      <c r="G1000" t="s">
        <v>534</v>
      </c>
      <c r="H1000" s="154">
        <v>0.33333333333333331</v>
      </c>
      <c r="I1000" s="154">
        <v>0.33333333333333331</v>
      </c>
      <c r="J1000" s="154">
        <v>0.33333333333333331</v>
      </c>
      <c r="K1000" s="154">
        <v>0.33333333333333331</v>
      </c>
      <c r="L1000" s="154">
        <v>0.33333333333333331</v>
      </c>
      <c r="M1000" s="154">
        <v>0.33333333333333331</v>
      </c>
      <c r="N1000" s="154">
        <v>0.33333333333333331</v>
      </c>
      <c r="O1000" s="154">
        <v>0.33333333333333331</v>
      </c>
      <c r="P1000" s="154">
        <v>0.33333333333333331</v>
      </c>
      <c r="Q1000" s="154">
        <v>0.33333333333333331</v>
      </c>
      <c r="R1000" s="154">
        <v>0.33333333333333331</v>
      </c>
      <c r="S1000" s="154">
        <v>0.33333333333333331</v>
      </c>
      <c r="T1000" s="154">
        <v>0.33333333333333331</v>
      </c>
      <c r="U1000" s="154">
        <v>0.33333333333333331</v>
      </c>
      <c r="V1000" s="154">
        <v>0.33333333333333331</v>
      </c>
      <c r="W1000" s="154">
        <v>0.33333333333333331</v>
      </c>
      <c r="X1000" s="154">
        <v>0.33333333333333331</v>
      </c>
      <c r="Y1000" s="154">
        <v>0.33333333333333331</v>
      </c>
      <c r="Z1000" s="154">
        <v>0.33333333333333331</v>
      </c>
      <c r="AA1000" s="154">
        <v>0.33333333333333331</v>
      </c>
      <c r="AB1000" s="154">
        <v>0.33333333333333331</v>
      </c>
      <c r="AC1000" s="154">
        <v>0.33333333333333331</v>
      </c>
      <c r="AD1000" s="154">
        <v>0.33333333333333331</v>
      </c>
      <c r="AE1000" s="154">
        <v>0.33333333333333331</v>
      </c>
      <c r="AF1000" s="154">
        <v>0.33333333333333331</v>
      </c>
      <c r="AG1000" s="154">
        <v>0.33333333333333331</v>
      </c>
      <c r="AH1000" s="154">
        <v>0.33333333333333331</v>
      </c>
      <c r="AI1000" s="154">
        <v>0.33333333333333331</v>
      </c>
      <c r="AJ1000" s="154">
        <v>0.33333333333333331</v>
      </c>
      <c r="AK1000" s="154">
        <v>0.33333333333333331</v>
      </c>
      <c r="AL1000" s="154">
        <v>0.33333333333333331</v>
      </c>
    </row>
    <row r="1001" spans="1:41" hidden="1" x14ac:dyDescent="0.25">
      <c r="A1001">
        <v>1000</v>
      </c>
      <c r="B1001">
        <v>2025</v>
      </c>
      <c r="C1001">
        <v>8</v>
      </c>
      <c r="D1001" t="s">
        <v>598</v>
      </c>
      <c r="E1001">
        <v>94</v>
      </c>
      <c r="F1001">
        <v>3</v>
      </c>
      <c r="G1001" t="s">
        <v>535</v>
      </c>
      <c r="H1001" s="154">
        <v>0.75</v>
      </c>
      <c r="I1001" s="154">
        <v>0.75</v>
      </c>
      <c r="J1001" s="154">
        <v>0.75</v>
      </c>
      <c r="K1001" s="154">
        <v>0.75</v>
      </c>
      <c r="L1001" s="154">
        <v>0.75</v>
      </c>
      <c r="M1001" s="154">
        <v>0.75</v>
      </c>
      <c r="N1001" s="154">
        <v>0.75</v>
      </c>
      <c r="O1001" s="154">
        <v>0.75</v>
      </c>
      <c r="P1001" s="154">
        <v>0.75</v>
      </c>
      <c r="Q1001" s="154">
        <v>0.75</v>
      </c>
      <c r="R1001" s="154">
        <v>0.75</v>
      </c>
      <c r="S1001" s="154">
        <v>0.75</v>
      </c>
      <c r="T1001" s="154">
        <v>0.75</v>
      </c>
      <c r="U1001" s="154">
        <v>0.75</v>
      </c>
      <c r="V1001" s="154">
        <v>0.75</v>
      </c>
      <c r="W1001" s="154">
        <v>0.75</v>
      </c>
      <c r="X1001" s="154">
        <v>0.75</v>
      </c>
      <c r="Y1001" s="154">
        <v>0.75</v>
      </c>
      <c r="Z1001" s="154">
        <v>0.75</v>
      </c>
      <c r="AA1001" s="154">
        <v>0.75</v>
      </c>
      <c r="AB1001" s="154">
        <v>0.75</v>
      </c>
      <c r="AC1001" s="154">
        <v>0.75</v>
      </c>
      <c r="AD1001" s="154">
        <v>0.75</v>
      </c>
      <c r="AE1001" s="154">
        <v>0.75</v>
      </c>
      <c r="AF1001" s="154">
        <v>0.75</v>
      </c>
      <c r="AG1001" s="154">
        <v>0.75</v>
      </c>
      <c r="AH1001" s="154">
        <v>0.75</v>
      </c>
      <c r="AI1001" s="154">
        <v>0.75</v>
      </c>
      <c r="AJ1001" s="154">
        <v>0.75</v>
      </c>
      <c r="AK1001" s="154">
        <v>0.75</v>
      </c>
      <c r="AL1001" s="154">
        <v>0.75</v>
      </c>
      <c r="AM1001" cm="1">
        <f t="array" ref="AM1001">SUM(_xlfn.LET(_xlpm.r,((IFERROR(H1001:AL1001-H1000:AL1000,0))*24)/10,IF(_xlpm.r&gt;1,1,_xlpm.r)))</f>
        <v>31</v>
      </c>
      <c r="AO1001" cm="1">
        <f t="array" ref="AO1001">SUM(IFERROR(MOD((H1001:AL1001-H1000:AL1000)*24,10),""))</f>
        <v>0</v>
      </c>
    </row>
    <row r="1002" spans="1:41" hidden="1" x14ac:dyDescent="0.25">
      <c r="A1002">
        <v>1001</v>
      </c>
      <c r="B1002">
        <v>2025</v>
      </c>
      <c r="C1002">
        <v>8</v>
      </c>
      <c r="D1002" t="s">
        <v>599</v>
      </c>
      <c r="E1002">
        <v>94</v>
      </c>
      <c r="F1002">
        <v>3</v>
      </c>
      <c r="G1002" t="s">
        <v>534</v>
      </c>
      <c r="H1002" s="154">
        <v>0.33333333333333331</v>
      </c>
      <c r="I1002" s="154">
        <v>0.33333333333333331</v>
      </c>
      <c r="J1002" s="154">
        <v>0.33333333333333331</v>
      </c>
      <c r="K1002" s="154">
        <v>0.33333333333333331</v>
      </c>
      <c r="L1002" s="154">
        <v>0.33333333333333331</v>
      </c>
      <c r="M1002" s="154">
        <v>0.33333333333333331</v>
      </c>
      <c r="N1002" s="154">
        <v>0.33333333333333331</v>
      </c>
      <c r="O1002" s="154">
        <v>0.33333333333333331</v>
      </c>
      <c r="P1002" s="154">
        <v>0.33333333333333331</v>
      </c>
      <c r="Q1002" s="154">
        <v>0.33333333333333331</v>
      </c>
      <c r="R1002" s="154">
        <v>0.33333333333333331</v>
      </c>
      <c r="S1002" s="154">
        <v>0.33333333333333331</v>
      </c>
      <c r="T1002" s="154">
        <v>0.33333333333333331</v>
      </c>
      <c r="U1002" s="154">
        <v>0.33333333333333331</v>
      </c>
      <c r="V1002" s="154">
        <v>0.33333333333333331</v>
      </c>
      <c r="W1002" s="154">
        <v>0.33333333333333331</v>
      </c>
      <c r="X1002" s="154">
        <v>0.33333333333333331</v>
      </c>
      <c r="Y1002" s="154">
        <v>0.33333333333333331</v>
      </c>
      <c r="Z1002" s="154">
        <v>0.33333333333333331</v>
      </c>
      <c r="AA1002" s="154">
        <v>0.33333333333333331</v>
      </c>
      <c r="AB1002" s="154">
        <v>0.33333333333333331</v>
      </c>
      <c r="AC1002" s="154">
        <v>0.33333333333333331</v>
      </c>
      <c r="AD1002" s="154">
        <v>0.33333333333333331</v>
      </c>
      <c r="AE1002" s="154">
        <v>0.33333333333333331</v>
      </c>
      <c r="AF1002" s="154">
        <v>0.33333333333333331</v>
      </c>
      <c r="AG1002" s="154">
        <v>0.33333333333333331</v>
      </c>
      <c r="AH1002" s="154">
        <v>0.33333333333333331</v>
      </c>
      <c r="AI1002" s="154">
        <v>0.33333333333333331</v>
      </c>
      <c r="AJ1002" s="154">
        <v>0.33333333333333331</v>
      </c>
      <c r="AK1002" s="154">
        <v>0.33333333333333331</v>
      </c>
      <c r="AL1002" s="154">
        <v>0.33333333333333331</v>
      </c>
    </row>
    <row r="1003" spans="1:41" hidden="1" x14ac:dyDescent="0.25">
      <c r="A1003">
        <v>1002</v>
      </c>
      <c r="B1003">
        <v>2025</v>
      </c>
      <c r="C1003">
        <v>8</v>
      </c>
      <c r="D1003" t="s">
        <v>599</v>
      </c>
      <c r="E1003">
        <v>94</v>
      </c>
      <c r="F1003">
        <v>3</v>
      </c>
      <c r="G1003" t="s">
        <v>535</v>
      </c>
      <c r="H1003" s="154">
        <v>0.75</v>
      </c>
      <c r="I1003" s="154">
        <v>0.75</v>
      </c>
      <c r="J1003" s="154">
        <v>0.75</v>
      </c>
      <c r="K1003" s="154">
        <v>0.75</v>
      </c>
      <c r="L1003" s="154">
        <v>0.75</v>
      </c>
      <c r="M1003" s="154">
        <v>0.75</v>
      </c>
      <c r="N1003" s="154">
        <v>0.75</v>
      </c>
      <c r="O1003" s="154">
        <v>0.75</v>
      </c>
      <c r="P1003" s="154">
        <v>0.75</v>
      </c>
      <c r="Q1003" s="154">
        <v>0.75</v>
      </c>
      <c r="R1003" s="154">
        <v>0.75</v>
      </c>
      <c r="S1003" s="154">
        <v>0.75</v>
      </c>
      <c r="T1003" s="154">
        <v>0.75</v>
      </c>
      <c r="U1003" s="154">
        <v>0.75</v>
      </c>
      <c r="V1003" s="154">
        <v>0.75</v>
      </c>
      <c r="W1003" s="154">
        <v>0.75</v>
      </c>
      <c r="X1003" s="154">
        <v>0.75</v>
      </c>
      <c r="Y1003" s="154">
        <v>0.75</v>
      </c>
      <c r="Z1003" s="154">
        <v>0.75</v>
      </c>
      <c r="AA1003" s="154">
        <v>0.75</v>
      </c>
      <c r="AB1003" s="154">
        <v>0.75</v>
      </c>
      <c r="AC1003" s="154">
        <v>0.75</v>
      </c>
      <c r="AD1003" s="154">
        <v>0.75</v>
      </c>
      <c r="AE1003" s="154">
        <v>0.75</v>
      </c>
      <c r="AF1003" s="154">
        <v>0.75</v>
      </c>
      <c r="AG1003" s="154">
        <v>0.75</v>
      </c>
      <c r="AH1003" s="154">
        <v>0.75</v>
      </c>
      <c r="AI1003" s="154">
        <v>0.75</v>
      </c>
      <c r="AJ1003" s="154">
        <v>0.75</v>
      </c>
      <c r="AK1003" s="154">
        <v>0.75</v>
      </c>
      <c r="AL1003" s="154">
        <v>0.75</v>
      </c>
      <c r="AM1003" cm="1">
        <f t="array" ref="AM1003">SUM(_xlfn.LET(_xlpm.r,((IFERROR(H1003:AL1003-H1002:AL1002,0))*24)/10,IF(_xlpm.r&gt;1,1,_xlpm.r)))</f>
        <v>31</v>
      </c>
      <c r="AO1003" cm="1">
        <f t="array" ref="AO1003">SUM(IFERROR(MOD((H1003:AL1003-H1002:AL1002)*24,10),""))</f>
        <v>0</v>
      </c>
    </row>
    <row r="1004" spans="1:41" hidden="1" x14ac:dyDescent="0.25">
      <c r="A1004">
        <v>1003</v>
      </c>
      <c r="B1004">
        <v>2025</v>
      </c>
      <c r="C1004">
        <v>8</v>
      </c>
      <c r="D1004" t="s">
        <v>600</v>
      </c>
      <c r="E1004">
        <v>94</v>
      </c>
      <c r="F1004">
        <v>3</v>
      </c>
      <c r="G1004" t="s">
        <v>534</v>
      </c>
      <c r="H1004" s="154" t="s">
        <v>424</v>
      </c>
      <c r="I1004" s="154" t="s">
        <v>424</v>
      </c>
      <c r="J1004" s="154" t="s">
        <v>424</v>
      </c>
      <c r="K1004" s="154" t="s">
        <v>424</v>
      </c>
      <c r="L1004" s="154" t="s">
        <v>424</v>
      </c>
      <c r="M1004" s="154" t="s">
        <v>424</v>
      </c>
      <c r="N1004" s="154" t="s">
        <v>424</v>
      </c>
      <c r="O1004" s="154" t="s">
        <v>424</v>
      </c>
      <c r="P1004" s="154">
        <v>0.33333333333333331</v>
      </c>
      <c r="Q1004" s="154" t="s">
        <v>424</v>
      </c>
      <c r="R1004" s="154">
        <v>0.33333333333333331</v>
      </c>
      <c r="S1004" s="154">
        <v>0.33333333333333331</v>
      </c>
      <c r="T1004" s="154">
        <v>0.33333333333333331</v>
      </c>
      <c r="U1004" s="154">
        <v>0.33333333333333331</v>
      </c>
      <c r="V1004" s="154">
        <v>0.33333333333333331</v>
      </c>
      <c r="W1004" s="154">
        <v>0.33333333333333331</v>
      </c>
      <c r="X1004" s="154">
        <v>0.33333333333333331</v>
      </c>
      <c r="Y1004" s="154">
        <v>0.33333333333333331</v>
      </c>
      <c r="Z1004" s="154">
        <v>0.33333333333333331</v>
      </c>
      <c r="AA1004" s="154">
        <v>0.33333333333333331</v>
      </c>
      <c r="AB1004" s="154">
        <v>0.33333333333333331</v>
      </c>
      <c r="AC1004" s="154">
        <v>0.33333333333333331</v>
      </c>
      <c r="AD1004" s="154">
        <v>0.33333333333333331</v>
      </c>
      <c r="AE1004" s="154">
        <v>0.33333333333333331</v>
      </c>
      <c r="AF1004" s="154">
        <v>0.33333333333333331</v>
      </c>
      <c r="AG1004" s="154">
        <v>0.33333333333333331</v>
      </c>
      <c r="AH1004" s="154">
        <v>0.33333333333333331</v>
      </c>
      <c r="AI1004" s="154">
        <v>0.33333333333333331</v>
      </c>
      <c r="AJ1004" s="154">
        <v>0.33333333333333331</v>
      </c>
      <c r="AK1004" s="154">
        <v>0.33333333333333331</v>
      </c>
      <c r="AL1004" s="154">
        <v>0.33333333333333331</v>
      </c>
    </row>
    <row r="1005" spans="1:41" hidden="1" x14ac:dyDescent="0.25">
      <c r="A1005">
        <v>1004</v>
      </c>
      <c r="B1005">
        <v>2025</v>
      </c>
      <c r="C1005">
        <v>8</v>
      </c>
      <c r="D1005" t="s">
        <v>600</v>
      </c>
      <c r="E1005">
        <v>94</v>
      </c>
      <c r="F1005">
        <v>3</v>
      </c>
      <c r="G1005" t="s">
        <v>535</v>
      </c>
      <c r="H1005" s="154" t="s">
        <v>424</v>
      </c>
      <c r="I1005" s="154" t="s">
        <v>424</v>
      </c>
      <c r="J1005" s="154" t="s">
        <v>424</v>
      </c>
      <c r="K1005" s="154" t="s">
        <v>424</v>
      </c>
      <c r="L1005" s="154" t="s">
        <v>424</v>
      </c>
      <c r="M1005" s="154" t="s">
        <v>424</v>
      </c>
      <c r="N1005" s="154" t="s">
        <v>424</v>
      </c>
      <c r="O1005" s="154" t="s">
        <v>424</v>
      </c>
      <c r="P1005" s="154">
        <v>0.75</v>
      </c>
      <c r="Q1005" s="154" t="s">
        <v>424</v>
      </c>
      <c r="R1005" s="154">
        <v>0.75</v>
      </c>
      <c r="S1005" s="154">
        <v>1</v>
      </c>
      <c r="T1005" s="154">
        <v>1</v>
      </c>
      <c r="U1005" s="154">
        <v>0.91666666666666674</v>
      </c>
      <c r="V1005" s="154">
        <v>0.75</v>
      </c>
      <c r="W1005" s="154">
        <v>1</v>
      </c>
      <c r="X1005" s="154">
        <v>0.75</v>
      </c>
      <c r="Y1005" s="154">
        <v>0.75</v>
      </c>
      <c r="Z1005" s="154">
        <v>0.875</v>
      </c>
      <c r="AA1005" s="154">
        <v>0.875</v>
      </c>
      <c r="AB1005" s="154">
        <v>0.75</v>
      </c>
      <c r="AC1005" s="154">
        <v>0.75</v>
      </c>
      <c r="AD1005" s="154">
        <v>0.91666666666666674</v>
      </c>
      <c r="AE1005" s="154">
        <v>0.75</v>
      </c>
      <c r="AF1005" s="154">
        <v>0.75</v>
      </c>
      <c r="AG1005" s="154">
        <v>0.875</v>
      </c>
      <c r="AH1005" s="154">
        <v>0.75</v>
      </c>
      <c r="AI1005" s="154">
        <v>0.91666666666666674</v>
      </c>
      <c r="AJ1005" s="154">
        <v>0.75</v>
      </c>
      <c r="AK1005" s="154">
        <v>0.75</v>
      </c>
      <c r="AL1005" s="154">
        <v>0.75</v>
      </c>
      <c r="AM1005" cm="1">
        <f t="array" ref="AM1005">SUM(_xlfn.LET(_xlpm.r,((IFERROR(H1005:AL1005-H1004:AL1004,0))*24)/10,IF(_xlpm.r&gt;1,1,_xlpm.r)))</f>
        <v>22</v>
      </c>
      <c r="AO1005" cm="1">
        <f t="array" ref="AO1005">SUM(IFERROR(MOD((H1005:AL1005-H1004:AL1004)*24,10),""))</f>
        <v>39.000000000000014</v>
      </c>
    </row>
    <row r="1006" spans="1:41" hidden="1" x14ac:dyDescent="0.25">
      <c r="A1006">
        <v>1005</v>
      </c>
      <c r="B1006">
        <v>2025</v>
      </c>
      <c r="C1006">
        <v>9</v>
      </c>
      <c r="D1006" t="s">
        <v>598</v>
      </c>
      <c r="E1006">
        <v>94</v>
      </c>
      <c r="F1006">
        <v>4</v>
      </c>
      <c r="G1006" t="s">
        <v>534</v>
      </c>
      <c r="H1006" s="154">
        <v>0.29166666666666669</v>
      </c>
      <c r="I1006" s="154">
        <v>0.29166666666666669</v>
      </c>
      <c r="J1006" s="154">
        <v>0.29166666666666669</v>
      </c>
      <c r="K1006" s="154">
        <v>0.29166666666666669</v>
      </c>
      <c r="L1006" s="154">
        <v>0.29166666666666669</v>
      </c>
      <c r="M1006" s="154">
        <v>0.29166666666666669</v>
      </c>
      <c r="N1006" s="154">
        <v>0.29166666666666669</v>
      </c>
      <c r="O1006" s="154">
        <v>0.29166666666666669</v>
      </c>
      <c r="P1006" s="154">
        <v>0.29166666666666669</v>
      </c>
      <c r="Q1006" s="154">
        <v>0.29166666666666669</v>
      </c>
      <c r="R1006" s="154">
        <v>0.29166666666666669</v>
      </c>
      <c r="S1006" s="154">
        <v>0.29166666666666669</v>
      </c>
      <c r="T1006" s="154">
        <v>0.29166666666666669</v>
      </c>
      <c r="U1006" s="154">
        <v>0.29166666666666669</v>
      </c>
      <c r="V1006" s="154">
        <v>0.29166666666666669</v>
      </c>
      <c r="W1006" s="154">
        <v>0.29166666666666669</v>
      </c>
      <c r="X1006" s="154">
        <v>0.29166666666666669</v>
      </c>
      <c r="Y1006" s="154">
        <v>0.29166666666666669</v>
      </c>
      <c r="Z1006" s="154">
        <v>0.29166666666666669</v>
      </c>
      <c r="AA1006" s="154">
        <v>0.29166666666666669</v>
      </c>
      <c r="AB1006" s="154">
        <v>0.29166666666666669</v>
      </c>
      <c r="AC1006" s="154">
        <v>0.29166666666666669</v>
      </c>
      <c r="AD1006" s="154">
        <v>0.29166666666666669</v>
      </c>
      <c r="AE1006" s="154">
        <v>0.29166666666666669</v>
      </c>
      <c r="AF1006" s="154">
        <v>0.29166666666666669</v>
      </c>
      <c r="AG1006" s="154">
        <v>0.29166666666666669</v>
      </c>
      <c r="AH1006" s="154">
        <v>0.29166666666666669</v>
      </c>
      <c r="AI1006" s="154">
        <v>0.29166666666666669</v>
      </c>
      <c r="AJ1006" s="154">
        <v>0.29166666666666669</v>
      </c>
      <c r="AK1006" s="154">
        <v>0.29166666666666669</v>
      </c>
      <c r="AL1006" s="154" t="s">
        <v>424</v>
      </c>
    </row>
    <row r="1007" spans="1:41" hidden="1" x14ac:dyDescent="0.25">
      <c r="A1007">
        <v>1006</v>
      </c>
      <c r="B1007">
        <v>2025</v>
      </c>
      <c r="C1007">
        <v>9</v>
      </c>
      <c r="D1007" t="s">
        <v>598</v>
      </c>
      <c r="E1007">
        <v>94</v>
      </c>
      <c r="F1007">
        <v>4</v>
      </c>
      <c r="G1007" t="s">
        <v>535</v>
      </c>
      <c r="H1007" s="154">
        <v>0.75</v>
      </c>
      <c r="I1007" s="154">
        <v>0.75</v>
      </c>
      <c r="J1007" s="154">
        <v>0.75</v>
      </c>
      <c r="K1007" s="154">
        <v>0.75</v>
      </c>
      <c r="L1007" s="154">
        <v>0.75</v>
      </c>
      <c r="M1007" s="154">
        <v>0.75</v>
      </c>
      <c r="N1007" s="154">
        <v>0.75</v>
      </c>
      <c r="O1007" s="154">
        <v>0.75</v>
      </c>
      <c r="P1007" s="154">
        <v>0.75</v>
      </c>
      <c r="Q1007" s="154">
        <v>0.75</v>
      </c>
      <c r="R1007" s="154">
        <v>0.75</v>
      </c>
      <c r="S1007" s="154">
        <v>0.75</v>
      </c>
      <c r="T1007" s="154">
        <v>0.75</v>
      </c>
      <c r="U1007" s="154">
        <v>0.75</v>
      </c>
      <c r="V1007" s="154">
        <v>0.75</v>
      </c>
      <c r="W1007" s="154">
        <v>0.75</v>
      </c>
      <c r="X1007" s="154">
        <v>0.75</v>
      </c>
      <c r="Y1007" s="154">
        <v>0.75</v>
      </c>
      <c r="Z1007" s="154">
        <v>0.75</v>
      </c>
      <c r="AA1007" s="154">
        <v>0.75</v>
      </c>
      <c r="AB1007" s="154">
        <v>0.75</v>
      </c>
      <c r="AC1007" s="154">
        <v>0.75</v>
      </c>
      <c r="AD1007" s="154">
        <v>0.75</v>
      </c>
      <c r="AE1007" s="154">
        <v>0.75</v>
      </c>
      <c r="AF1007" s="154">
        <v>0.75</v>
      </c>
      <c r="AG1007" s="154">
        <v>0.75</v>
      </c>
      <c r="AH1007" s="154">
        <v>0.75</v>
      </c>
      <c r="AI1007" s="154">
        <v>0.75</v>
      </c>
      <c r="AJ1007" s="154">
        <v>0.75</v>
      </c>
      <c r="AK1007" s="154">
        <v>0.75</v>
      </c>
      <c r="AL1007" s="154" t="s">
        <v>424</v>
      </c>
      <c r="AM1007" cm="1">
        <f t="array" ref="AM1007">SUM(_xlfn.LET(_xlpm.r,((IFERROR(H1007:AL1007-H1006:AL1006,0))*24)/10,IF(_xlpm.r&gt;1,1,_xlpm.r)))</f>
        <v>30</v>
      </c>
      <c r="AO1007" cm="1">
        <f t="array" ref="AO1007">SUM(IFERROR(MOD((H1007:AL1007-H1006:AL1006)*24,11),""))</f>
        <v>0</v>
      </c>
    </row>
    <row r="1008" spans="1:41" hidden="1" x14ac:dyDescent="0.25">
      <c r="A1008">
        <v>1007</v>
      </c>
      <c r="B1008">
        <v>2025</v>
      </c>
      <c r="C1008">
        <v>9</v>
      </c>
      <c r="D1008" t="s">
        <v>599</v>
      </c>
      <c r="E1008">
        <v>94</v>
      </c>
      <c r="F1008">
        <v>4</v>
      </c>
      <c r="G1008" t="s">
        <v>534</v>
      </c>
      <c r="H1008" s="154">
        <v>0.29166666666666669</v>
      </c>
      <c r="I1008" s="154">
        <v>0.29166666666666669</v>
      </c>
      <c r="J1008" s="154">
        <v>0.29166666666666669</v>
      </c>
      <c r="K1008" s="154">
        <v>0.29166666666666669</v>
      </c>
      <c r="L1008" s="154">
        <v>0.29166666666666669</v>
      </c>
      <c r="M1008" s="154">
        <v>0.29166666666666669</v>
      </c>
      <c r="N1008" s="154">
        <v>0.29166666666666669</v>
      </c>
      <c r="O1008" s="154">
        <v>0.29166666666666669</v>
      </c>
      <c r="P1008" s="154">
        <v>0.29166666666666669</v>
      </c>
      <c r="Q1008" s="154">
        <v>0.29166666666666669</v>
      </c>
      <c r="R1008" s="154">
        <v>0.29166666666666669</v>
      </c>
      <c r="S1008" s="154">
        <v>0.29166666666666669</v>
      </c>
      <c r="T1008" s="154">
        <v>0.29166666666666669</v>
      </c>
      <c r="U1008" s="154">
        <v>0.29166666666666669</v>
      </c>
      <c r="V1008" s="154">
        <v>0.29166666666666669</v>
      </c>
      <c r="W1008" s="154">
        <v>0.29166666666666669</v>
      </c>
      <c r="X1008" s="154">
        <v>0.29166666666666669</v>
      </c>
      <c r="Y1008" s="154">
        <v>0.29166666666666669</v>
      </c>
      <c r="Z1008" s="154">
        <v>0.29166666666666669</v>
      </c>
      <c r="AA1008" s="154">
        <v>0.29166666666666669</v>
      </c>
      <c r="AB1008" s="154">
        <v>0.29166666666666669</v>
      </c>
      <c r="AC1008" s="154">
        <v>0.29166666666666669</v>
      </c>
      <c r="AD1008" s="154">
        <v>0.29166666666666669</v>
      </c>
      <c r="AE1008" s="154">
        <v>0.29166666666666669</v>
      </c>
      <c r="AF1008" s="154">
        <v>0.29166666666666669</v>
      </c>
      <c r="AG1008" s="154">
        <v>0.29166666666666669</v>
      </c>
      <c r="AH1008" s="154">
        <v>0.29166666666666669</v>
      </c>
      <c r="AI1008" s="154">
        <v>0.29166666666666669</v>
      </c>
      <c r="AJ1008" s="154">
        <v>0.29166666666666669</v>
      </c>
      <c r="AK1008" s="154">
        <v>0.29166666666666669</v>
      </c>
      <c r="AL1008" s="154" t="s">
        <v>424</v>
      </c>
    </row>
    <row r="1009" spans="1:41" hidden="1" x14ac:dyDescent="0.25">
      <c r="A1009">
        <v>1008</v>
      </c>
      <c r="B1009">
        <v>2025</v>
      </c>
      <c r="C1009">
        <v>9</v>
      </c>
      <c r="D1009" t="s">
        <v>599</v>
      </c>
      <c r="E1009">
        <v>94</v>
      </c>
      <c r="F1009">
        <v>4</v>
      </c>
      <c r="G1009" t="s">
        <v>535</v>
      </c>
      <c r="H1009" s="154">
        <v>0.75</v>
      </c>
      <c r="I1009" s="154">
        <v>0.75</v>
      </c>
      <c r="J1009" s="154">
        <v>0.75</v>
      </c>
      <c r="K1009" s="154">
        <v>0.75</v>
      </c>
      <c r="L1009" s="154">
        <v>0.75</v>
      </c>
      <c r="M1009" s="154">
        <v>0.75</v>
      </c>
      <c r="N1009" s="154">
        <v>0.75</v>
      </c>
      <c r="O1009" s="154">
        <v>0.75</v>
      </c>
      <c r="P1009" s="154">
        <v>0.75</v>
      </c>
      <c r="Q1009" s="154">
        <v>0.75</v>
      </c>
      <c r="R1009" s="154">
        <v>0.75</v>
      </c>
      <c r="S1009" s="154">
        <v>0.75</v>
      </c>
      <c r="T1009" s="154">
        <v>0.75</v>
      </c>
      <c r="U1009" s="154">
        <v>0.75</v>
      </c>
      <c r="V1009" s="154">
        <v>0.75</v>
      </c>
      <c r="W1009" s="154">
        <v>0.75</v>
      </c>
      <c r="X1009" s="154">
        <v>0.75</v>
      </c>
      <c r="Y1009" s="154">
        <v>0.75</v>
      </c>
      <c r="Z1009" s="154">
        <v>0.75</v>
      </c>
      <c r="AA1009" s="154">
        <v>0.75</v>
      </c>
      <c r="AB1009" s="154">
        <v>0.75</v>
      </c>
      <c r="AC1009" s="154">
        <v>0.75</v>
      </c>
      <c r="AD1009" s="154">
        <v>0.75</v>
      </c>
      <c r="AE1009" s="154">
        <v>0.75</v>
      </c>
      <c r="AF1009" s="154">
        <v>0.75</v>
      </c>
      <c r="AG1009" s="154">
        <v>0.75</v>
      </c>
      <c r="AH1009" s="154">
        <v>0.75</v>
      </c>
      <c r="AI1009" s="154">
        <v>0.75</v>
      </c>
      <c r="AJ1009" s="154">
        <v>0.75</v>
      </c>
      <c r="AK1009" s="154">
        <v>0.75</v>
      </c>
      <c r="AL1009" s="154" t="s">
        <v>424</v>
      </c>
      <c r="AM1009" cm="1">
        <f t="array" ref="AM1009">SUM(_xlfn.LET(_xlpm.r,((IFERROR(H1009:AL1009-H1008:AL1008,0))*24)/10,IF(_xlpm.r&gt;1,1,_xlpm.r)))</f>
        <v>30</v>
      </c>
      <c r="AO1009" cm="1">
        <f t="array" ref="AO1009">SUM(IFERROR(MOD((H1009:AL1009-H1008:AL1008)*24,11),""))</f>
        <v>0</v>
      </c>
    </row>
    <row r="1010" spans="1:41" hidden="1" x14ac:dyDescent="0.25">
      <c r="A1010">
        <v>1009</v>
      </c>
      <c r="B1010">
        <v>2025</v>
      </c>
      <c r="C1010">
        <v>9</v>
      </c>
      <c r="D1010" t="s">
        <v>599</v>
      </c>
      <c r="E1010">
        <v>94</v>
      </c>
      <c r="F1010">
        <v>5</v>
      </c>
      <c r="G1010" t="s">
        <v>534</v>
      </c>
      <c r="H1010" s="154">
        <v>0.29166666666666669</v>
      </c>
      <c r="I1010" s="154">
        <v>0.29166666666666669</v>
      </c>
      <c r="J1010" s="154">
        <v>0.29166666666666669</v>
      </c>
      <c r="K1010" s="154">
        <v>0.29166666666666669</v>
      </c>
      <c r="L1010" s="154">
        <v>0.29166666666666669</v>
      </c>
      <c r="M1010" s="154">
        <v>0.29166666666666669</v>
      </c>
      <c r="N1010" s="154">
        <v>0.29166666666666669</v>
      </c>
      <c r="O1010" s="154">
        <v>0.29166666666666669</v>
      </c>
      <c r="P1010" s="154">
        <v>0.29166666666666669</v>
      </c>
      <c r="Q1010" s="154">
        <v>0.29166666666666669</v>
      </c>
      <c r="R1010" s="154">
        <v>0.29166666666666669</v>
      </c>
      <c r="S1010" s="154">
        <v>0.29166666666666669</v>
      </c>
      <c r="T1010" s="154">
        <v>0.29166666666666669</v>
      </c>
      <c r="U1010" s="154">
        <v>0.29166666666666669</v>
      </c>
      <c r="V1010" s="154">
        <v>0.29166666666666669</v>
      </c>
      <c r="W1010" s="154">
        <v>0.29166666666666669</v>
      </c>
      <c r="X1010" s="154">
        <v>0.29166666666666669</v>
      </c>
      <c r="Y1010" s="154">
        <v>0.29166666666666669</v>
      </c>
      <c r="Z1010" s="154">
        <v>0.29166666666666669</v>
      </c>
      <c r="AA1010" s="154">
        <v>0.29166666666666669</v>
      </c>
      <c r="AB1010" s="154">
        <v>0.29166666666666669</v>
      </c>
      <c r="AC1010" s="154">
        <v>0.29166666666666669</v>
      </c>
      <c r="AD1010" s="154">
        <v>0.29166666666666669</v>
      </c>
      <c r="AE1010" s="154">
        <v>0.29166666666666669</v>
      </c>
      <c r="AF1010" s="154">
        <v>0.29166666666666669</v>
      </c>
      <c r="AG1010" s="154">
        <v>0.29166666666666669</v>
      </c>
      <c r="AH1010" s="154">
        <v>0.29166666666666669</v>
      </c>
      <c r="AI1010" s="154">
        <v>0.29166666666666669</v>
      </c>
      <c r="AJ1010" s="154">
        <v>0.29166666666666669</v>
      </c>
      <c r="AK1010" s="154">
        <v>0.29166666666666669</v>
      </c>
      <c r="AL1010" s="154">
        <v>0.29166666666666669</v>
      </c>
    </row>
    <row r="1011" spans="1:41" hidden="1" x14ac:dyDescent="0.25">
      <c r="A1011">
        <v>1010</v>
      </c>
      <c r="B1011">
        <v>2025</v>
      </c>
      <c r="C1011">
        <v>9</v>
      </c>
      <c r="D1011" t="s">
        <v>599</v>
      </c>
      <c r="E1011">
        <v>94</v>
      </c>
      <c r="F1011">
        <v>5</v>
      </c>
      <c r="G1011" t="s">
        <v>535</v>
      </c>
      <c r="H1011" s="154">
        <v>0.75</v>
      </c>
      <c r="I1011" s="154">
        <v>0.75</v>
      </c>
      <c r="J1011" s="154">
        <v>0.75</v>
      </c>
      <c r="K1011" s="154">
        <v>0.75</v>
      </c>
      <c r="L1011" s="154">
        <v>0.75</v>
      </c>
      <c r="M1011" s="154">
        <v>0.75</v>
      </c>
      <c r="N1011" s="154">
        <v>0.75</v>
      </c>
      <c r="O1011" s="154">
        <v>0.75</v>
      </c>
      <c r="P1011" s="154">
        <v>0.75</v>
      </c>
      <c r="Q1011" s="154">
        <v>0.75</v>
      </c>
      <c r="R1011" s="154">
        <v>0.75</v>
      </c>
      <c r="S1011" s="154">
        <v>0.75</v>
      </c>
      <c r="T1011" s="154">
        <v>0.75</v>
      </c>
      <c r="U1011" s="154">
        <v>0.75</v>
      </c>
      <c r="V1011" s="154">
        <v>0.75</v>
      </c>
      <c r="W1011" s="154">
        <v>0.75</v>
      </c>
      <c r="X1011" s="154">
        <v>0.75</v>
      </c>
      <c r="Y1011" s="154">
        <v>0.75</v>
      </c>
      <c r="Z1011" s="154">
        <v>0.75</v>
      </c>
      <c r="AA1011" s="154">
        <v>0.75</v>
      </c>
      <c r="AB1011" s="154">
        <v>0.75</v>
      </c>
      <c r="AC1011" s="154">
        <v>0.75</v>
      </c>
      <c r="AD1011" s="154">
        <v>0.75</v>
      </c>
      <c r="AE1011" s="154">
        <v>0.75</v>
      </c>
      <c r="AF1011" s="154">
        <v>0.75</v>
      </c>
      <c r="AG1011" s="154">
        <v>0.75</v>
      </c>
      <c r="AH1011" s="154">
        <v>0.75</v>
      </c>
      <c r="AI1011" s="154">
        <v>0.75</v>
      </c>
      <c r="AJ1011" s="154">
        <v>0.75</v>
      </c>
      <c r="AK1011" s="154">
        <v>0.75</v>
      </c>
      <c r="AL1011" s="154">
        <v>0.75</v>
      </c>
      <c r="AM1011" cm="1">
        <f t="array" ref="AM1011">SUM(_xlfn.LET(_xlpm.r,((IFERROR(H1011:AL1011-H1010:AL1010,0))*24)/10,IF(_xlpm.r&gt;1,1,_xlpm.r)))</f>
        <v>31</v>
      </c>
      <c r="AO1011" cm="1">
        <f t="array" ref="AO1011">SUM(IFERROR(MOD((H1011:AL1011-H1010:AL1010)*24,11),""))</f>
        <v>0</v>
      </c>
    </row>
    <row r="1012" spans="1:41" hidden="1" x14ac:dyDescent="0.25">
      <c r="A1012">
        <v>1011</v>
      </c>
      <c r="B1012">
        <v>2025</v>
      </c>
      <c r="C1012">
        <v>9</v>
      </c>
      <c r="D1012" t="s">
        <v>601</v>
      </c>
      <c r="E1012">
        <v>95</v>
      </c>
      <c r="F1012">
        <v>1</v>
      </c>
      <c r="G1012" t="s">
        <v>534</v>
      </c>
      <c r="H1012" s="154" t="s">
        <v>424</v>
      </c>
      <c r="I1012" s="154" t="s">
        <v>424</v>
      </c>
      <c r="J1012" s="154" t="s">
        <v>424</v>
      </c>
      <c r="K1012" s="154" t="s">
        <v>424</v>
      </c>
      <c r="L1012" s="154" t="s">
        <v>424</v>
      </c>
      <c r="M1012" s="154" t="s">
        <v>424</v>
      </c>
      <c r="N1012" s="154" t="s">
        <v>424</v>
      </c>
      <c r="O1012" s="154" t="s">
        <v>424</v>
      </c>
      <c r="P1012" s="154" t="s">
        <v>424</v>
      </c>
      <c r="Q1012" s="154" t="s">
        <v>424</v>
      </c>
      <c r="R1012" s="154" t="s">
        <v>424</v>
      </c>
      <c r="S1012" s="154" t="s">
        <v>424</v>
      </c>
      <c r="T1012" s="154">
        <v>0.29166666666666669</v>
      </c>
      <c r="U1012" s="154">
        <v>0.29166666666666669</v>
      </c>
      <c r="V1012" s="154">
        <v>0.29166666666666669</v>
      </c>
      <c r="W1012" s="154">
        <v>0.29166666666666669</v>
      </c>
      <c r="X1012" s="154">
        <v>0.29166666666666669</v>
      </c>
      <c r="Y1012" s="154">
        <v>0.29166666666666669</v>
      </c>
      <c r="Z1012" s="154">
        <v>0.29166666666666669</v>
      </c>
      <c r="AA1012" s="154">
        <v>0.29166666666666669</v>
      </c>
      <c r="AB1012" s="154">
        <v>0.29166666666666669</v>
      </c>
      <c r="AC1012" s="154" t="s">
        <v>424</v>
      </c>
      <c r="AD1012" s="154">
        <v>0.29166666666666669</v>
      </c>
      <c r="AE1012" s="154">
        <v>0.29166666666666669</v>
      </c>
      <c r="AF1012" s="154">
        <v>0.29166666666666669</v>
      </c>
      <c r="AG1012" s="154">
        <v>0.29166666666666669</v>
      </c>
      <c r="AH1012" s="154" t="s">
        <v>424</v>
      </c>
      <c r="AI1012" s="154">
        <v>0.29166666666666669</v>
      </c>
      <c r="AJ1012" s="154">
        <v>0.29166666666666669</v>
      </c>
      <c r="AK1012" s="154">
        <v>0.29166666666666669</v>
      </c>
      <c r="AL1012" s="154">
        <v>0.29166666666666669</v>
      </c>
    </row>
    <row r="1013" spans="1:41" hidden="1" x14ac:dyDescent="0.25">
      <c r="A1013">
        <v>1012</v>
      </c>
      <c r="B1013">
        <v>2025</v>
      </c>
      <c r="C1013">
        <v>9</v>
      </c>
      <c r="D1013" t="s">
        <v>601</v>
      </c>
      <c r="E1013">
        <v>95</v>
      </c>
      <c r="F1013">
        <v>1</v>
      </c>
      <c r="G1013" t="s">
        <v>535</v>
      </c>
      <c r="H1013" s="154" t="s">
        <v>424</v>
      </c>
      <c r="I1013" s="154" t="s">
        <v>424</v>
      </c>
      <c r="J1013" s="154" t="s">
        <v>424</v>
      </c>
      <c r="K1013" s="154" t="s">
        <v>424</v>
      </c>
      <c r="L1013" s="154" t="s">
        <v>424</v>
      </c>
      <c r="M1013" s="154" t="s">
        <v>424</v>
      </c>
      <c r="N1013" s="154" t="s">
        <v>424</v>
      </c>
      <c r="O1013" s="154" t="s">
        <v>424</v>
      </c>
      <c r="P1013" s="154" t="s">
        <v>424</v>
      </c>
      <c r="Q1013" s="154" t="s">
        <v>424</v>
      </c>
      <c r="R1013" s="154" t="s">
        <v>424</v>
      </c>
      <c r="S1013" s="154" t="s">
        <v>424</v>
      </c>
      <c r="T1013" s="154">
        <v>0.75</v>
      </c>
      <c r="U1013" s="154">
        <v>0.75</v>
      </c>
      <c r="V1013" s="154">
        <v>0.75</v>
      </c>
      <c r="W1013" s="154">
        <v>0.75</v>
      </c>
      <c r="X1013" s="154">
        <v>0.75</v>
      </c>
      <c r="Y1013" s="154">
        <v>0.75</v>
      </c>
      <c r="Z1013" s="154">
        <v>0.75</v>
      </c>
      <c r="AA1013" s="154">
        <v>0.75</v>
      </c>
      <c r="AB1013" s="154">
        <v>0.5</v>
      </c>
      <c r="AC1013" s="154" t="s">
        <v>424</v>
      </c>
      <c r="AD1013" s="154">
        <v>0.75</v>
      </c>
      <c r="AE1013" s="154">
        <v>0.75</v>
      </c>
      <c r="AF1013" s="154">
        <v>0.75</v>
      </c>
      <c r="AG1013" s="154">
        <v>0.75</v>
      </c>
      <c r="AH1013" s="154" t="s">
        <v>424</v>
      </c>
      <c r="AI1013" s="154">
        <v>0.75</v>
      </c>
      <c r="AJ1013" s="154">
        <v>0.75</v>
      </c>
      <c r="AK1013" s="154">
        <v>0.75</v>
      </c>
      <c r="AL1013" s="154">
        <v>0.75</v>
      </c>
      <c r="AM1013" cm="1">
        <f t="array" ref="AM1013">SUM(_xlfn.LET(_xlpm.r,((IFERROR(H1013:AL1013-H1012:AL1012,0))*24)/10,IF(_xlpm.r&gt;1,1,_xlpm.r)))</f>
        <v>16.5</v>
      </c>
    </row>
    <row r="1014" spans="1:41" hidden="1" x14ac:dyDescent="0.25">
      <c r="A1014">
        <v>1013</v>
      </c>
      <c r="B1014">
        <v>2025</v>
      </c>
      <c r="C1014">
        <v>9</v>
      </c>
      <c r="D1014" t="s">
        <v>601</v>
      </c>
      <c r="E1014">
        <v>95</v>
      </c>
      <c r="F1014">
        <v>2</v>
      </c>
      <c r="G1014" t="s">
        <v>534</v>
      </c>
      <c r="H1014" s="154">
        <v>0.29166666666666669</v>
      </c>
      <c r="I1014" s="154">
        <v>0.29166666666666669</v>
      </c>
      <c r="J1014" s="154">
        <v>0.29166666666666669</v>
      </c>
      <c r="K1014" s="154">
        <v>0.29166666666666669</v>
      </c>
      <c r="L1014" s="154">
        <v>0.29166666666666669</v>
      </c>
      <c r="M1014" s="154">
        <v>0.29166666666666669</v>
      </c>
      <c r="N1014" s="154">
        <v>0.29166666666666669</v>
      </c>
      <c r="O1014" s="154">
        <v>0.29166666666666669</v>
      </c>
      <c r="P1014" s="154" t="s">
        <v>424</v>
      </c>
      <c r="Q1014" s="154" t="s">
        <v>424</v>
      </c>
      <c r="R1014" s="154">
        <v>0.29166666666666669</v>
      </c>
      <c r="S1014" s="154">
        <v>0.29166666666666669</v>
      </c>
      <c r="T1014" s="154">
        <v>0.29166666666666669</v>
      </c>
      <c r="U1014" s="154">
        <v>0.29166666666666669</v>
      </c>
      <c r="V1014" s="154">
        <v>0.29166666666666669</v>
      </c>
      <c r="W1014" s="154">
        <v>0.29166666666666669</v>
      </c>
      <c r="X1014" s="154">
        <v>0.29166666666666669</v>
      </c>
      <c r="Y1014" s="154">
        <v>0.29166666666666669</v>
      </c>
      <c r="Z1014" s="154">
        <v>0.29166666666666669</v>
      </c>
      <c r="AA1014" s="154">
        <v>0.29166666666666669</v>
      </c>
      <c r="AB1014" s="154">
        <v>0.29166666666666669</v>
      </c>
      <c r="AC1014" s="154">
        <v>0.29166666666666669</v>
      </c>
      <c r="AD1014" s="154" t="s">
        <v>424</v>
      </c>
      <c r="AE1014" s="154" t="s">
        <v>424</v>
      </c>
      <c r="AF1014" s="154">
        <v>0.29166666666666669</v>
      </c>
      <c r="AG1014" s="154">
        <v>0.29166666666666669</v>
      </c>
      <c r="AH1014" s="154">
        <v>0.29166666666666669</v>
      </c>
      <c r="AI1014" s="154">
        <v>0.29166666666666669</v>
      </c>
      <c r="AJ1014" s="154">
        <v>0.29166666666666669</v>
      </c>
      <c r="AK1014" s="154">
        <v>0.29166666666666669</v>
      </c>
      <c r="AL1014" s="154">
        <v>0.29166666666666669</v>
      </c>
    </row>
    <row r="1015" spans="1:41" hidden="1" x14ac:dyDescent="0.25">
      <c r="A1015">
        <v>1014</v>
      </c>
      <c r="B1015">
        <v>2025</v>
      </c>
      <c r="C1015">
        <v>9</v>
      </c>
      <c r="D1015" t="s">
        <v>601</v>
      </c>
      <c r="E1015">
        <v>95</v>
      </c>
      <c r="F1015">
        <v>2</v>
      </c>
      <c r="G1015" t="s">
        <v>535</v>
      </c>
      <c r="H1015" s="154">
        <v>0.75</v>
      </c>
      <c r="I1015" s="154">
        <v>0.75</v>
      </c>
      <c r="J1015" s="154">
        <v>0.75</v>
      </c>
      <c r="K1015" s="154">
        <v>0.75</v>
      </c>
      <c r="L1015" s="154">
        <v>0.75</v>
      </c>
      <c r="M1015" s="154">
        <v>0.75</v>
      </c>
      <c r="N1015" s="154">
        <v>0.75</v>
      </c>
      <c r="O1015" s="154">
        <v>0.75</v>
      </c>
      <c r="P1015" s="154" t="s">
        <v>424</v>
      </c>
      <c r="Q1015" s="154" t="s">
        <v>424</v>
      </c>
      <c r="R1015" s="154">
        <v>0.75</v>
      </c>
      <c r="S1015" s="154">
        <v>0.75</v>
      </c>
      <c r="T1015" s="154">
        <v>0.75</v>
      </c>
      <c r="U1015" s="154">
        <v>0.75</v>
      </c>
      <c r="V1015" s="154">
        <v>0.75</v>
      </c>
      <c r="W1015" s="154">
        <v>0.75</v>
      </c>
      <c r="X1015" s="154">
        <v>0.75</v>
      </c>
      <c r="Y1015" s="154">
        <v>0.75</v>
      </c>
      <c r="Z1015" s="154">
        <v>0.75</v>
      </c>
      <c r="AA1015" s="154">
        <v>0.75</v>
      </c>
      <c r="AB1015" s="154">
        <v>0.75</v>
      </c>
      <c r="AC1015" s="154">
        <v>0.75</v>
      </c>
      <c r="AD1015" s="154" t="s">
        <v>424</v>
      </c>
      <c r="AE1015" s="154" t="s">
        <v>424</v>
      </c>
      <c r="AF1015" s="154">
        <v>0.75</v>
      </c>
      <c r="AG1015" s="154">
        <v>0.75</v>
      </c>
      <c r="AH1015" s="154">
        <v>0.75</v>
      </c>
      <c r="AI1015" s="154">
        <v>0.75</v>
      </c>
      <c r="AJ1015" s="154">
        <v>0.75</v>
      </c>
      <c r="AK1015" s="154">
        <v>0.75</v>
      </c>
      <c r="AL1015" s="154">
        <v>0.75</v>
      </c>
      <c r="AM1015" cm="1">
        <f t="array" ref="AM1015">SUM(_xlfn.LET(_xlpm.r,((IFERROR(H1015:AL1015-H1014:AL1014,0))*24)/10,IF(_xlpm.r&gt;1,1,_xlpm.r)))</f>
        <v>27</v>
      </c>
    </row>
    <row r="1016" spans="1:41" hidden="1" x14ac:dyDescent="0.25">
      <c r="A1016">
        <v>1015</v>
      </c>
      <c r="B1016">
        <v>2025</v>
      </c>
      <c r="C1016">
        <v>9</v>
      </c>
      <c r="D1016" t="s">
        <v>601</v>
      </c>
      <c r="E1016">
        <v>95</v>
      </c>
      <c r="F1016">
        <v>3</v>
      </c>
      <c r="G1016" t="s">
        <v>534</v>
      </c>
      <c r="H1016" s="154">
        <v>0.29166666666666669</v>
      </c>
      <c r="I1016" s="154">
        <v>0.29166666666666669</v>
      </c>
      <c r="J1016" s="154">
        <v>0.29166666666666669</v>
      </c>
      <c r="K1016" s="154">
        <v>0.29166666666666669</v>
      </c>
      <c r="L1016" s="154">
        <v>0.29166666666666669</v>
      </c>
      <c r="M1016" s="154" t="s">
        <v>424</v>
      </c>
      <c r="N1016" s="154" t="s">
        <v>424</v>
      </c>
      <c r="O1016" s="154" t="s">
        <v>424</v>
      </c>
      <c r="P1016" s="154" t="s">
        <v>424</v>
      </c>
      <c r="Q1016" s="154" t="s">
        <v>424</v>
      </c>
      <c r="R1016" s="154">
        <v>0.29166666666666669</v>
      </c>
      <c r="S1016" s="154">
        <v>0.29166666666666669</v>
      </c>
      <c r="T1016" s="154">
        <v>0.29166666666666669</v>
      </c>
      <c r="U1016" s="154" t="s">
        <v>424</v>
      </c>
      <c r="V1016" s="154">
        <v>0.29166666666666669</v>
      </c>
      <c r="W1016" s="154">
        <v>0.29166666666666669</v>
      </c>
      <c r="X1016" s="154">
        <v>0.29166666666666669</v>
      </c>
      <c r="Y1016" s="154">
        <v>0.29166666666666669</v>
      </c>
      <c r="Z1016" s="154">
        <v>0.29166666666666669</v>
      </c>
      <c r="AA1016" s="154">
        <v>0.29166666666666669</v>
      </c>
      <c r="AB1016" s="154">
        <v>0.29166666666666669</v>
      </c>
      <c r="AC1016" s="154">
        <v>0.29166666666666669</v>
      </c>
      <c r="AD1016" s="154">
        <v>0.29166666666666669</v>
      </c>
      <c r="AE1016" s="154">
        <v>0.29166666666666669</v>
      </c>
      <c r="AF1016" s="154">
        <v>0.29166666666666669</v>
      </c>
      <c r="AG1016" s="154">
        <v>0.29166666666666669</v>
      </c>
      <c r="AH1016" s="154">
        <v>0.29166666666666669</v>
      </c>
      <c r="AI1016" s="154">
        <v>0.29166666666666669</v>
      </c>
      <c r="AJ1016" s="154">
        <v>0.29166666666666669</v>
      </c>
      <c r="AK1016" s="154">
        <v>0.29166666666666669</v>
      </c>
      <c r="AL1016" s="154" t="s">
        <v>424</v>
      </c>
    </row>
    <row r="1017" spans="1:41" hidden="1" x14ac:dyDescent="0.25">
      <c r="A1017">
        <v>1016</v>
      </c>
      <c r="B1017">
        <v>2025</v>
      </c>
      <c r="C1017">
        <v>9</v>
      </c>
      <c r="D1017" t="s">
        <v>601</v>
      </c>
      <c r="E1017">
        <v>95</v>
      </c>
      <c r="F1017">
        <v>3</v>
      </c>
      <c r="G1017" t="s">
        <v>535</v>
      </c>
      <c r="H1017" s="154">
        <v>0.75</v>
      </c>
      <c r="I1017" s="154">
        <v>0.75</v>
      </c>
      <c r="J1017" s="154">
        <v>0.75</v>
      </c>
      <c r="K1017" s="154">
        <v>0.75</v>
      </c>
      <c r="L1017" s="154">
        <v>0.75</v>
      </c>
      <c r="M1017" s="154" t="s">
        <v>424</v>
      </c>
      <c r="N1017" s="154" t="s">
        <v>424</v>
      </c>
      <c r="O1017" s="154" t="s">
        <v>424</v>
      </c>
      <c r="P1017" s="154" t="s">
        <v>424</v>
      </c>
      <c r="Q1017" s="154" t="s">
        <v>424</v>
      </c>
      <c r="R1017" s="154">
        <v>0.75</v>
      </c>
      <c r="S1017" s="154">
        <v>0.75</v>
      </c>
      <c r="T1017" s="154">
        <v>0.75</v>
      </c>
      <c r="U1017" s="154" t="s">
        <v>424</v>
      </c>
      <c r="V1017" s="154">
        <v>0.75</v>
      </c>
      <c r="W1017" s="154">
        <v>0.75</v>
      </c>
      <c r="X1017" s="154">
        <v>0.75</v>
      </c>
      <c r="Y1017" s="154">
        <v>0.75</v>
      </c>
      <c r="Z1017" s="154">
        <v>0.75</v>
      </c>
      <c r="AA1017" s="154">
        <v>0.75</v>
      </c>
      <c r="AB1017" s="154">
        <v>0.75</v>
      </c>
      <c r="AC1017" s="154">
        <v>0.75</v>
      </c>
      <c r="AD1017" s="154">
        <v>0.75</v>
      </c>
      <c r="AE1017" s="154">
        <v>0.75</v>
      </c>
      <c r="AF1017" s="154">
        <v>0.75</v>
      </c>
      <c r="AG1017" s="154">
        <v>0.75</v>
      </c>
      <c r="AH1017" s="154">
        <v>0.75</v>
      </c>
      <c r="AI1017" s="154">
        <v>0.75</v>
      </c>
      <c r="AJ1017" s="154">
        <v>0.75</v>
      </c>
      <c r="AK1017" s="154">
        <v>0.75</v>
      </c>
      <c r="AL1017" s="154" t="s">
        <v>424</v>
      </c>
      <c r="AM1017" cm="1">
        <f t="array" ref="AM1017">SUM(_xlfn.LET(_xlpm.r,((IFERROR(H1017:AL1017-H1016:AL1016,0))*24)/10,IF(_xlpm.r&gt;1,1,_xlpm.r)))</f>
        <v>24</v>
      </c>
    </row>
    <row r="1018" spans="1:41" hidden="1" x14ac:dyDescent="0.25">
      <c r="A1018">
        <v>1017</v>
      </c>
      <c r="B1018">
        <v>2025</v>
      </c>
      <c r="C1018">
        <v>9</v>
      </c>
      <c r="D1018" t="s">
        <v>601</v>
      </c>
      <c r="E1018">
        <v>95</v>
      </c>
      <c r="F1018">
        <v>4</v>
      </c>
      <c r="G1018" t="s">
        <v>534</v>
      </c>
      <c r="H1018" s="154">
        <v>0.29166666666666669</v>
      </c>
      <c r="I1018" s="154">
        <v>0.29166666666666669</v>
      </c>
      <c r="J1018" s="154">
        <v>0.29166666666666669</v>
      </c>
      <c r="K1018" s="154">
        <v>0.29166666666666669</v>
      </c>
      <c r="L1018" s="154">
        <v>0.29166666666666669</v>
      </c>
      <c r="M1018" s="154">
        <v>0.29166666666666669</v>
      </c>
      <c r="N1018" s="154">
        <v>0.29166666666666669</v>
      </c>
      <c r="O1018" s="154">
        <v>0.29166666666666669</v>
      </c>
      <c r="P1018" s="154">
        <v>0.29166666666666669</v>
      </c>
      <c r="Q1018" s="154">
        <v>0.29166666666666669</v>
      </c>
      <c r="R1018" s="154">
        <v>0.29166666666666669</v>
      </c>
      <c r="S1018" s="154" t="s">
        <v>424</v>
      </c>
      <c r="T1018" s="154">
        <v>0.29166666666666669</v>
      </c>
      <c r="U1018" s="154">
        <v>0.29166666666666669</v>
      </c>
      <c r="V1018" s="154">
        <v>0.29166666666666669</v>
      </c>
      <c r="W1018" s="154">
        <v>0.29166666666666669</v>
      </c>
      <c r="X1018" s="154">
        <v>0.29166666666666669</v>
      </c>
      <c r="Y1018" s="154">
        <v>0.29166666666666669</v>
      </c>
      <c r="Z1018" s="154">
        <v>0.29166666666666669</v>
      </c>
      <c r="AA1018" s="154">
        <v>0.29166666666666669</v>
      </c>
      <c r="AB1018" s="154">
        <v>0.29166666666666669</v>
      </c>
      <c r="AC1018" s="154">
        <v>0.29166666666666669</v>
      </c>
      <c r="AD1018" s="154">
        <v>0.29166666666666669</v>
      </c>
      <c r="AE1018" s="154">
        <v>0.29166666666666669</v>
      </c>
      <c r="AF1018" s="154">
        <v>0.29166666666666669</v>
      </c>
      <c r="AG1018" s="154" t="s">
        <v>424</v>
      </c>
      <c r="AH1018" s="154">
        <v>0.29166666666666669</v>
      </c>
      <c r="AI1018" s="154">
        <v>0.29166666666666669</v>
      </c>
      <c r="AJ1018" s="154">
        <v>0.29166666666666669</v>
      </c>
      <c r="AK1018" s="154">
        <v>0.29166666666666669</v>
      </c>
      <c r="AL1018" s="154">
        <v>0.29166666666666669</v>
      </c>
    </row>
    <row r="1019" spans="1:41" hidden="1" x14ac:dyDescent="0.25">
      <c r="A1019">
        <v>1018</v>
      </c>
      <c r="B1019">
        <v>2025</v>
      </c>
      <c r="C1019">
        <v>9</v>
      </c>
      <c r="D1019" t="s">
        <v>601</v>
      </c>
      <c r="E1019">
        <v>95</v>
      </c>
      <c r="F1019">
        <v>4</v>
      </c>
      <c r="G1019" t="s">
        <v>535</v>
      </c>
      <c r="H1019" s="154">
        <v>0.75</v>
      </c>
      <c r="I1019" s="154">
        <v>0.75</v>
      </c>
      <c r="J1019" s="154">
        <v>0.75</v>
      </c>
      <c r="K1019" s="154">
        <v>0.75</v>
      </c>
      <c r="L1019" s="154">
        <v>0.75</v>
      </c>
      <c r="M1019" s="154">
        <v>0.75</v>
      </c>
      <c r="N1019" s="154">
        <v>0.75</v>
      </c>
      <c r="O1019" s="154">
        <v>0.75</v>
      </c>
      <c r="P1019" s="154">
        <v>0.75</v>
      </c>
      <c r="Q1019" s="154">
        <v>0.75</v>
      </c>
      <c r="R1019" s="154">
        <v>0.75</v>
      </c>
      <c r="S1019" s="154" t="s">
        <v>424</v>
      </c>
      <c r="T1019" s="154">
        <v>0.75</v>
      </c>
      <c r="U1019" s="154">
        <v>0.75</v>
      </c>
      <c r="V1019" s="154">
        <v>0.75</v>
      </c>
      <c r="W1019" s="154">
        <v>0.75</v>
      </c>
      <c r="X1019" s="154">
        <v>0.75</v>
      </c>
      <c r="Y1019" s="154">
        <v>0.75</v>
      </c>
      <c r="Z1019" s="154">
        <v>0.75</v>
      </c>
      <c r="AA1019" s="154">
        <v>0.75</v>
      </c>
      <c r="AB1019" s="154">
        <v>0.5</v>
      </c>
      <c r="AC1019" s="154">
        <v>0.75</v>
      </c>
      <c r="AD1019" s="154">
        <v>0.75</v>
      </c>
      <c r="AE1019" s="154">
        <v>0.75</v>
      </c>
      <c r="AF1019" s="154">
        <v>0.75</v>
      </c>
      <c r="AG1019" s="154" t="s">
        <v>424</v>
      </c>
      <c r="AH1019" s="154">
        <v>0.75</v>
      </c>
      <c r="AI1019" s="154">
        <v>0.75</v>
      </c>
      <c r="AJ1019" s="154">
        <v>0.75</v>
      </c>
      <c r="AK1019" s="154">
        <v>0.75</v>
      </c>
      <c r="AL1019" s="154">
        <v>0.75</v>
      </c>
      <c r="AM1019" cm="1">
        <f t="array" ref="AM1019">SUM(_xlfn.LET(_xlpm.r,((IFERROR(H1019:AL1019-H1018:AL1018,0))*24)/10,IF(_xlpm.r&gt;1,1,_xlpm.r)))</f>
        <v>28.5</v>
      </c>
    </row>
    <row r="1020" spans="1:41" hidden="1" x14ac:dyDescent="0.25">
      <c r="A1020">
        <v>1019</v>
      </c>
      <c r="B1020">
        <v>2025</v>
      </c>
      <c r="C1020">
        <v>9</v>
      </c>
      <c r="D1020" t="s">
        <v>601</v>
      </c>
      <c r="E1020">
        <v>95</v>
      </c>
      <c r="F1020">
        <v>5</v>
      </c>
      <c r="G1020" t="s">
        <v>534</v>
      </c>
      <c r="H1020" s="154">
        <v>0.29166666666666669</v>
      </c>
      <c r="I1020" s="154">
        <v>0.29166666666666669</v>
      </c>
      <c r="J1020" s="154">
        <v>0.29166666666666669</v>
      </c>
      <c r="K1020" s="154">
        <v>0.29166666666666669</v>
      </c>
      <c r="L1020" s="154">
        <v>0.29166666666666669</v>
      </c>
      <c r="M1020" s="154">
        <v>0.29166666666666669</v>
      </c>
      <c r="N1020" s="154">
        <v>0.29166666666666669</v>
      </c>
      <c r="O1020" s="154">
        <v>0.29166666666666669</v>
      </c>
      <c r="P1020" s="154" t="s">
        <v>424</v>
      </c>
      <c r="Q1020" s="154">
        <v>0.29166666666666669</v>
      </c>
      <c r="R1020" s="154">
        <v>0.29166666666666669</v>
      </c>
      <c r="S1020" s="154">
        <v>0.29166666666666669</v>
      </c>
      <c r="T1020" s="154">
        <v>0.29166666666666669</v>
      </c>
      <c r="U1020" s="154">
        <v>0.29166666666666669</v>
      </c>
      <c r="V1020" s="154">
        <v>0.29166666666666669</v>
      </c>
      <c r="W1020" s="154">
        <v>0.29166666666666669</v>
      </c>
      <c r="X1020" s="154">
        <v>0.29166666666666669</v>
      </c>
      <c r="Y1020" s="154">
        <v>0.29166666666666669</v>
      </c>
      <c r="Z1020" s="154" t="s">
        <v>424</v>
      </c>
      <c r="AA1020" s="154" t="s">
        <v>424</v>
      </c>
      <c r="AB1020" s="154">
        <v>0.29166666666666669</v>
      </c>
      <c r="AC1020" s="154">
        <v>0.29166666666666669</v>
      </c>
      <c r="AD1020" s="154" t="s">
        <v>424</v>
      </c>
      <c r="AE1020" s="154">
        <v>0.29166666666666669</v>
      </c>
      <c r="AF1020" s="154">
        <v>0.29166666666666669</v>
      </c>
      <c r="AG1020" s="154">
        <v>0.29166666666666669</v>
      </c>
      <c r="AH1020" s="154" t="s">
        <v>424</v>
      </c>
      <c r="AI1020" s="154" t="s">
        <v>424</v>
      </c>
      <c r="AJ1020" s="154" t="s">
        <v>424</v>
      </c>
      <c r="AK1020" s="154" t="s">
        <v>424</v>
      </c>
      <c r="AL1020" s="154" t="s">
        <v>424</v>
      </c>
    </row>
    <row r="1021" spans="1:41" hidden="1" x14ac:dyDescent="0.25">
      <c r="A1021">
        <v>1020</v>
      </c>
      <c r="B1021">
        <v>2025</v>
      </c>
      <c r="C1021">
        <v>9</v>
      </c>
      <c r="D1021" t="s">
        <v>601</v>
      </c>
      <c r="E1021">
        <v>95</v>
      </c>
      <c r="F1021">
        <v>5</v>
      </c>
      <c r="G1021" t="s">
        <v>535</v>
      </c>
      <c r="H1021" s="154">
        <v>0.75</v>
      </c>
      <c r="I1021" s="154">
        <v>0.75</v>
      </c>
      <c r="J1021" s="154">
        <v>0.75</v>
      </c>
      <c r="K1021" s="154">
        <v>0.75</v>
      </c>
      <c r="L1021" s="154">
        <v>0.75</v>
      </c>
      <c r="M1021" s="154">
        <v>0.75</v>
      </c>
      <c r="N1021" s="154">
        <v>0.75</v>
      </c>
      <c r="O1021" s="154">
        <v>0.75</v>
      </c>
      <c r="P1021" s="154" t="s">
        <v>424</v>
      </c>
      <c r="Q1021" s="154">
        <v>0.75</v>
      </c>
      <c r="R1021" s="154">
        <v>0.75</v>
      </c>
      <c r="S1021" s="154">
        <v>0.75</v>
      </c>
      <c r="T1021" s="154">
        <v>0.75</v>
      </c>
      <c r="U1021" s="154">
        <v>0.75</v>
      </c>
      <c r="V1021" s="154">
        <v>0.75</v>
      </c>
      <c r="W1021" s="154">
        <v>0.75</v>
      </c>
      <c r="X1021" s="154">
        <v>0.75</v>
      </c>
      <c r="Y1021" s="154">
        <v>0.75</v>
      </c>
      <c r="Z1021" s="154" t="s">
        <v>424</v>
      </c>
      <c r="AA1021" s="154" t="s">
        <v>424</v>
      </c>
      <c r="AB1021" s="154">
        <v>0.75</v>
      </c>
      <c r="AC1021" s="154">
        <v>0.75</v>
      </c>
      <c r="AD1021" s="154" t="s">
        <v>424</v>
      </c>
      <c r="AE1021" s="154">
        <v>0.75</v>
      </c>
      <c r="AF1021" s="154">
        <v>0.75</v>
      </c>
      <c r="AG1021" s="154">
        <v>0.75</v>
      </c>
      <c r="AH1021" s="154" t="s">
        <v>424</v>
      </c>
      <c r="AI1021" s="154" t="s">
        <v>424</v>
      </c>
      <c r="AJ1021" s="154" t="s">
        <v>424</v>
      </c>
      <c r="AK1021" s="154" t="s">
        <v>424</v>
      </c>
      <c r="AL1021" s="154" t="s">
        <v>424</v>
      </c>
      <c r="AM1021" cm="1">
        <f t="array" ref="AM1021">SUM(_xlfn.LET(_xlpm.r,((IFERROR(H1021:AL1021-H1020:AL1020,0))*24)/10,IF(_xlpm.r&gt;1,1,_xlpm.r)))</f>
        <v>22</v>
      </c>
    </row>
    <row r="1022" spans="1:41" hidden="1" x14ac:dyDescent="0.25">
      <c r="A1022">
        <v>1021</v>
      </c>
      <c r="B1022">
        <v>2025</v>
      </c>
      <c r="C1022">
        <v>7</v>
      </c>
      <c r="D1022" t="s">
        <v>608</v>
      </c>
      <c r="E1022">
        <v>98</v>
      </c>
      <c r="F1022">
        <v>1</v>
      </c>
      <c r="G1022" t="s">
        <v>534</v>
      </c>
      <c r="H1022" s="154" t="s">
        <v>424</v>
      </c>
      <c r="I1022" s="154" t="s">
        <v>424</v>
      </c>
      <c r="J1022" s="154" t="s">
        <v>424</v>
      </c>
      <c r="K1022" s="154" t="s">
        <v>424</v>
      </c>
      <c r="L1022" s="154" t="s">
        <v>424</v>
      </c>
      <c r="M1022" s="154" t="s">
        <v>424</v>
      </c>
      <c r="N1022" s="154" t="s">
        <v>424</v>
      </c>
      <c r="O1022" s="154" t="s">
        <v>424</v>
      </c>
      <c r="P1022" s="154" t="s">
        <v>424</v>
      </c>
      <c r="Q1022" s="154" t="s">
        <v>424</v>
      </c>
      <c r="R1022" s="154" t="s">
        <v>424</v>
      </c>
      <c r="S1022" s="154" t="s">
        <v>424</v>
      </c>
      <c r="T1022" s="154" t="s">
        <v>424</v>
      </c>
      <c r="U1022" s="154" t="s">
        <v>424</v>
      </c>
      <c r="V1022" s="154" t="s">
        <v>424</v>
      </c>
      <c r="W1022" s="154" t="s">
        <v>424</v>
      </c>
      <c r="X1022" s="154" t="s">
        <v>424</v>
      </c>
      <c r="Y1022" s="154" t="s">
        <v>424</v>
      </c>
      <c r="Z1022" s="154" t="s">
        <v>424</v>
      </c>
      <c r="AA1022" s="154">
        <v>0.29166666666666669</v>
      </c>
      <c r="AB1022" s="154">
        <v>0.29166666666666669</v>
      </c>
      <c r="AC1022" s="154">
        <v>0.29166666666666669</v>
      </c>
      <c r="AD1022" s="154">
        <v>0.29166666666666669</v>
      </c>
      <c r="AE1022" s="154">
        <v>0.29166666666666669</v>
      </c>
      <c r="AF1022" s="154">
        <v>0.29166666666666669</v>
      </c>
      <c r="AG1022" s="154">
        <v>0.29166666666666669</v>
      </c>
      <c r="AH1022" s="154">
        <v>0.29166666666666669</v>
      </c>
      <c r="AI1022" s="154">
        <v>0.29166666666666669</v>
      </c>
      <c r="AJ1022" s="154">
        <v>0.29166666666666669</v>
      </c>
      <c r="AK1022" s="154">
        <v>0.29166666666666669</v>
      </c>
      <c r="AL1022" s="154">
        <v>0.29166666666666669</v>
      </c>
    </row>
    <row r="1023" spans="1:41" hidden="1" x14ac:dyDescent="0.25">
      <c r="A1023">
        <v>1022</v>
      </c>
      <c r="B1023">
        <v>2025</v>
      </c>
      <c r="C1023">
        <v>7</v>
      </c>
      <c r="D1023" t="s">
        <v>608</v>
      </c>
      <c r="E1023">
        <v>98</v>
      </c>
      <c r="F1023">
        <v>1</v>
      </c>
      <c r="G1023" t="s">
        <v>535</v>
      </c>
      <c r="H1023" s="154" t="s">
        <v>424</v>
      </c>
      <c r="I1023" s="154" t="s">
        <v>424</v>
      </c>
      <c r="J1023" s="154" t="s">
        <v>424</v>
      </c>
      <c r="K1023" s="154" t="s">
        <v>424</v>
      </c>
      <c r="L1023" s="154" t="s">
        <v>424</v>
      </c>
      <c r="M1023" s="154" t="s">
        <v>424</v>
      </c>
      <c r="N1023" s="154" t="s">
        <v>424</v>
      </c>
      <c r="O1023" s="154" t="s">
        <v>424</v>
      </c>
      <c r="P1023" s="154" t="s">
        <v>424</v>
      </c>
      <c r="Q1023" s="154" t="s">
        <v>424</v>
      </c>
      <c r="R1023" s="154" t="s">
        <v>424</v>
      </c>
      <c r="S1023" s="154" t="s">
        <v>424</v>
      </c>
      <c r="T1023" s="154" t="s">
        <v>424</v>
      </c>
      <c r="U1023" s="154" t="s">
        <v>424</v>
      </c>
      <c r="V1023" s="154" t="s">
        <v>424</v>
      </c>
      <c r="W1023" s="154" t="s">
        <v>424</v>
      </c>
      <c r="X1023" s="154" t="s">
        <v>424</v>
      </c>
      <c r="Y1023" s="154" t="s">
        <v>424</v>
      </c>
      <c r="Z1023" s="154" t="s">
        <v>424</v>
      </c>
      <c r="AA1023" s="154">
        <v>0.75</v>
      </c>
      <c r="AB1023" s="154">
        <v>0.75</v>
      </c>
      <c r="AC1023" s="154">
        <v>0.75</v>
      </c>
      <c r="AD1023" s="154">
        <v>0.75</v>
      </c>
      <c r="AE1023" s="154">
        <v>0.75</v>
      </c>
      <c r="AF1023" s="154">
        <v>0.75</v>
      </c>
      <c r="AG1023" s="154">
        <v>0.75</v>
      </c>
      <c r="AH1023" s="154">
        <v>0.75</v>
      </c>
      <c r="AI1023" s="154">
        <v>0.75</v>
      </c>
      <c r="AJ1023" s="154">
        <v>0.75</v>
      </c>
      <c r="AK1023" s="154">
        <v>0.75</v>
      </c>
      <c r="AL1023" s="154">
        <v>0.75</v>
      </c>
      <c r="AM1023" cm="1">
        <f t="array" ref="AM1023">SUM(_xlfn.LET(_xlpm.r,((IFERROR(H1023:AL1023-H1022:AL1022,0))*24)/10,IF(_xlpm.r&gt;1,1,_xlpm.r)))</f>
        <v>12</v>
      </c>
      <c r="AO1023" cm="1">
        <f t="array" ref="AO1023">SUM(IFERROR(MOD((H1023:AL1023-H1022:AL1022)*24,11),""))</f>
        <v>0</v>
      </c>
    </row>
    <row r="1024" spans="1:41" hidden="1" x14ac:dyDescent="0.25">
      <c r="A1024">
        <v>1023</v>
      </c>
      <c r="B1024">
        <v>2025</v>
      </c>
      <c r="C1024">
        <v>8</v>
      </c>
      <c r="D1024" t="s">
        <v>608</v>
      </c>
      <c r="E1024">
        <v>98</v>
      </c>
      <c r="F1024">
        <v>2</v>
      </c>
      <c r="G1024" t="s">
        <v>534</v>
      </c>
      <c r="H1024" s="154">
        <v>0.29166666666666669</v>
      </c>
      <c r="I1024" s="154">
        <v>0.29166666666666669</v>
      </c>
      <c r="J1024" s="154">
        <v>0.29166666666666669</v>
      </c>
      <c r="K1024" s="154">
        <v>0.29166666666666669</v>
      </c>
      <c r="L1024" s="154">
        <v>0.29166666666666669</v>
      </c>
      <c r="M1024" s="154">
        <v>0.29166666666666669</v>
      </c>
      <c r="N1024" s="154">
        <v>0.29166666666666669</v>
      </c>
      <c r="O1024" s="154">
        <v>0.29166666666666669</v>
      </c>
      <c r="P1024" s="154">
        <v>0.29166666666666669</v>
      </c>
      <c r="Q1024" s="154" t="s">
        <v>424</v>
      </c>
      <c r="R1024" s="154">
        <v>0.29166666666666669</v>
      </c>
      <c r="S1024" s="154" t="s">
        <v>424</v>
      </c>
      <c r="T1024" s="154">
        <v>0.29166666666666669</v>
      </c>
      <c r="U1024" s="154">
        <v>0.29166666666666669</v>
      </c>
      <c r="V1024" s="154">
        <v>0.29166666666666669</v>
      </c>
      <c r="W1024" s="154">
        <v>0.29166666666666669</v>
      </c>
      <c r="X1024" s="154">
        <v>0.29166666666666669</v>
      </c>
      <c r="Y1024" s="154">
        <v>0.29166666666666669</v>
      </c>
      <c r="Z1024" s="154">
        <v>0.29166666666666669</v>
      </c>
      <c r="AA1024" s="154">
        <v>0.29166666666666669</v>
      </c>
      <c r="AB1024" s="154">
        <v>0.29166666666666669</v>
      </c>
      <c r="AC1024" s="154">
        <v>0.29166666666666669</v>
      </c>
      <c r="AD1024" s="154">
        <v>0.29166666666666669</v>
      </c>
      <c r="AE1024" s="154">
        <v>0.29166666666666669</v>
      </c>
      <c r="AF1024" s="154">
        <v>0.29166666666666669</v>
      </c>
      <c r="AG1024" s="154">
        <v>0.29166666666666669</v>
      </c>
      <c r="AH1024" s="154">
        <v>0.29166666666666669</v>
      </c>
      <c r="AI1024" s="154">
        <v>0.29166666666666669</v>
      </c>
      <c r="AJ1024" s="154">
        <v>0.29166666666666669</v>
      </c>
      <c r="AK1024" s="154">
        <v>0.29166666666666669</v>
      </c>
      <c r="AL1024" s="154">
        <v>0.29166666666666669</v>
      </c>
    </row>
    <row r="1025" spans="1:41" hidden="1" x14ac:dyDescent="0.25">
      <c r="A1025">
        <v>1024</v>
      </c>
      <c r="B1025">
        <v>2025</v>
      </c>
      <c r="C1025">
        <v>8</v>
      </c>
      <c r="D1025" t="s">
        <v>608</v>
      </c>
      <c r="E1025">
        <v>98</v>
      </c>
      <c r="F1025">
        <v>2</v>
      </c>
      <c r="G1025" t="s">
        <v>535</v>
      </c>
      <c r="H1025" s="154">
        <v>0.75</v>
      </c>
      <c r="I1025" s="154">
        <v>0.75</v>
      </c>
      <c r="J1025" s="154">
        <v>0.75</v>
      </c>
      <c r="K1025" s="154">
        <v>0.75</v>
      </c>
      <c r="L1025" s="154">
        <v>0.75</v>
      </c>
      <c r="M1025" s="154">
        <v>0.75</v>
      </c>
      <c r="N1025" s="154">
        <v>0.75</v>
      </c>
      <c r="O1025" s="154">
        <v>0.75</v>
      </c>
      <c r="P1025" s="154">
        <v>0.75</v>
      </c>
      <c r="Q1025" s="154" t="s">
        <v>424</v>
      </c>
      <c r="R1025" s="154">
        <v>0.75</v>
      </c>
      <c r="S1025" s="154" t="s">
        <v>424</v>
      </c>
      <c r="T1025" s="154">
        <v>0.75</v>
      </c>
      <c r="U1025" s="154">
        <v>0.75</v>
      </c>
      <c r="V1025" s="154">
        <v>0.75</v>
      </c>
      <c r="W1025" s="154">
        <v>0.75</v>
      </c>
      <c r="X1025" s="154">
        <v>0.75</v>
      </c>
      <c r="Y1025" s="154">
        <v>0.75</v>
      </c>
      <c r="Z1025" s="154">
        <v>0.75</v>
      </c>
      <c r="AA1025" s="154">
        <v>0.75</v>
      </c>
      <c r="AB1025" s="154">
        <v>0.75</v>
      </c>
      <c r="AC1025" s="154">
        <v>0.75</v>
      </c>
      <c r="AD1025" s="154">
        <v>0.75</v>
      </c>
      <c r="AE1025" s="154">
        <v>0.75</v>
      </c>
      <c r="AF1025" s="154">
        <v>0.75</v>
      </c>
      <c r="AG1025" s="154">
        <v>0.75</v>
      </c>
      <c r="AH1025" s="154">
        <v>0.75</v>
      </c>
      <c r="AI1025" s="154">
        <v>0.75</v>
      </c>
      <c r="AJ1025" s="154">
        <v>0.75</v>
      </c>
      <c r="AK1025" s="154">
        <v>0.75</v>
      </c>
      <c r="AL1025" s="154">
        <v>0.75</v>
      </c>
      <c r="AM1025" cm="1">
        <f t="array" ref="AM1025">SUM(_xlfn.LET(_xlpm.r,((IFERROR(H1025:AL1025-H1024:AL1024,0))*24)/10,IF(_xlpm.r&gt;1,1,_xlpm.r)))</f>
        <v>29</v>
      </c>
      <c r="AO1025" cm="1">
        <f t="array" ref="AO1025">SUM(IFERROR(MOD((H1025:AL1025-H1024:AL1024)*24,11),""))</f>
        <v>0</v>
      </c>
    </row>
    <row r="1026" spans="1:41" hidden="1" x14ac:dyDescent="0.25">
      <c r="A1026">
        <v>1025</v>
      </c>
      <c r="B1026">
        <v>2025</v>
      </c>
      <c r="C1026">
        <v>9</v>
      </c>
      <c r="D1026" t="s">
        <v>608</v>
      </c>
      <c r="E1026">
        <v>98</v>
      </c>
      <c r="F1026">
        <v>3</v>
      </c>
      <c r="G1026" t="s">
        <v>534</v>
      </c>
      <c r="H1026" s="154">
        <v>0.29166666666666669</v>
      </c>
      <c r="I1026" s="154">
        <v>0.29166666666666669</v>
      </c>
      <c r="J1026" s="154">
        <v>0.29166666666666669</v>
      </c>
      <c r="K1026" s="154">
        <v>0.29166666666666669</v>
      </c>
      <c r="L1026" s="154">
        <v>0.29166666666666669</v>
      </c>
      <c r="M1026" s="154">
        <v>0.29166666666666669</v>
      </c>
      <c r="N1026" s="154" t="s">
        <v>424</v>
      </c>
      <c r="O1026" s="154">
        <v>0.29166666666666669</v>
      </c>
      <c r="P1026" s="154">
        <v>0.29166666666666669</v>
      </c>
      <c r="Q1026" s="154">
        <v>0.29166666666666669</v>
      </c>
      <c r="R1026" s="154">
        <v>0.29166666666666669</v>
      </c>
      <c r="S1026" s="154">
        <v>0.29166666666666669</v>
      </c>
      <c r="T1026" s="154" t="s">
        <v>424</v>
      </c>
      <c r="U1026" s="154" t="s">
        <v>424</v>
      </c>
      <c r="V1026" s="154">
        <v>0.29166666666666669</v>
      </c>
      <c r="W1026" s="154">
        <v>0.29166666666666669</v>
      </c>
      <c r="X1026" s="154">
        <v>0.29166666666666669</v>
      </c>
      <c r="Y1026" s="154">
        <v>0.29166666666666669</v>
      </c>
      <c r="Z1026" s="154">
        <v>0.29166666666666669</v>
      </c>
      <c r="AA1026" s="154">
        <v>0.29166666666666669</v>
      </c>
      <c r="AB1026" s="154">
        <v>0.29166666666666669</v>
      </c>
      <c r="AC1026" s="154">
        <v>0.29166666666666669</v>
      </c>
      <c r="AD1026" s="154">
        <v>0.29166666666666669</v>
      </c>
      <c r="AE1026" s="154">
        <v>0.29166666666666669</v>
      </c>
      <c r="AF1026" s="154">
        <v>0.29166666666666669</v>
      </c>
      <c r="AG1026" s="154">
        <v>0.29166666666666669</v>
      </c>
      <c r="AH1026" s="154">
        <v>0.29166666666666669</v>
      </c>
      <c r="AI1026" s="154">
        <v>0.29166666666666669</v>
      </c>
      <c r="AJ1026" s="154">
        <v>0.29166666666666669</v>
      </c>
      <c r="AK1026" s="154">
        <v>0.29166666666666669</v>
      </c>
      <c r="AL1026" s="154" t="s">
        <v>424</v>
      </c>
    </row>
    <row r="1027" spans="1:41" hidden="1" x14ac:dyDescent="0.25">
      <c r="A1027">
        <v>1026</v>
      </c>
      <c r="B1027">
        <v>2025</v>
      </c>
      <c r="C1027">
        <v>9</v>
      </c>
      <c r="D1027" t="s">
        <v>608</v>
      </c>
      <c r="E1027">
        <v>98</v>
      </c>
      <c r="F1027">
        <v>3</v>
      </c>
      <c r="G1027" t="s">
        <v>535</v>
      </c>
      <c r="H1027" s="154">
        <v>0.75</v>
      </c>
      <c r="I1027" s="154">
        <v>0.75</v>
      </c>
      <c r="J1027" s="154">
        <v>0.75</v>
      </c>
      <c r="K1027" s="154">
        <v>0.75</v>
      </c>
      <c r="L1027" s="154">
        <v>0.75</v>
      </c>
      <c r="M1027" s="154">
        <v>0.75</v>
      </c>
      <c r="N1027" s="154" t="s">
        <v>424</v>
      </c>
      <c r="O1027" s="154">
        <v>0.75</v>
      </c>
      <c r="P1027" s="154">
        <v>0.75</v>
      </c>
      <c r="Q1027" s="154">
        <v>0.75</v>
      </c>
      <c r="R1027" s="154">
        <v>0.75</v>
      </c>
      <c r="S1027" s="154">
        <v>0.75</v>
      </c>
      <c r="T1027" s="154" t="s">
        <v>424</v>
      </c>
      <c r="U1027" s="154" t="s">
        <v>424</v>
      </c>
      <c r="V1027" s="154">
        <v>0.75</v>
      </c>
      <c r="W1027" s="154">
        <v>0.75</v>
      </c>
      <c r="X1027" s="154">
        <v>0.75</v>
      </c>
      <c r="Y1027" s="154">
        <v>0.75</v>
      </c>
      <c r="Z1027" s="154">
        <v>0.875</v>
      </c>
      <c r="AA1027" s="154">
        <v>0.75</v>
      </c>
      <c r="AB1027" s="154">
        <v>0.75</v>
      </c>
      <c r="AC1027" s="154">
        <v>0.75</v>
      </c>
      <c r="AD1027" s="154">
        <v>0.75</v>
      </c>
      <c r="AE1027" s="154">
        <v>0.75</v>
      </c>
      <c r="AF1027" s="154">
        <v>0.875</v>
      </c>
      <c r="AG1027" s="154">
        <v>0.75</v>
      </c>
      <c r="AH1027" s="154">
        <v>0.75</v>
      </c>
      <c r="AI1027" s="154">
        <v>0.79166666666666663</v>
      </c>
      <c r="AJ1027" s="154">
        <v>0.75</v>
      </c>
      <c r="AK1027" s="154">
        <v>0.75</v>
      </c>
      <c r="AL1027" s="154" t="s">
        <v>424</v>
      </c>
      <c r="AM1027" cm="1">
        <f t="array" ref="AM1027">SUM(_xlfn.LET(_xlpm.r,((IFERROR(H1027:AL1027-H1026:AL1026,0))*24)/10,IF(_xlpm.r&gt;1,1,_xlpm.r)))</f>
        <v>27</v>
      </c>
      <c r="AO1027" cm="1">
        <f t="array" ref="AO1027">SUM(IFERROR(MOD((H1027:AL1027-H1026:AL1026)*24,11),""))</f>
        <v>6.9999999999999947</v>
      </c>
    </row>
    <row r="1028" spans="1:41" hidden="1" x14ac:dyDescent="0.25">
      <c r="A1028">
        <v>1027</v>
      </c>
      <c r="B1028">
        <v>2025</v>
      </c>
      <c r="C1028">
        <v>10</v>
      </c>
      <c r="D1028" t="s">
        <v>608</v>
      </c>
      <c r="E1028">
        <v>98</v>
      </c>
      <c r="F1028">
        <v>4</v>
      </c>
      <c r="G1028" t="s">
        <v>534</v>
      </c>
      <c r="H1028" s="154">
        <v>0.29166666666666669</v>
      </c>
      <c r="I1028" s="154">
        <v>0.29166666666666669</v>
      </c>
      <c r="J1028" s="154">
        <v>0.29166666666666669</v>
      </c>
      <c r="K1028" s="154">
        <v>0.29166666666666669</v>
      </c>
      <c r="L1028" s="154" t="s">
        <v>424</v>
      </c>
      <c r="M1028" s="154">
        <v>0.29166666666666669</v>
      </c>
      <c r="N1028" s="154">
        <v>0.29166666666666669</v>
      </c>
      <c r="O1028" s="154">
        <v>0.29166666666666669</v>
      </c>
      <c r="P1028" s="154">
        <v>0.29166666666666669</v>
      </c>
      <c r="Q1028" s="154">
        <v>0.29166666666666669</v>
      </c>
      <c r="R1028" s="154">
        <v>0.29166666666666669</v>
      </c>
      <c r="S1028" s="154">
        <v>0.29166666666666669</v>
      </c>
      <c r="T1028" s="154">
        <v>0.29166666666666669</v>
      </c>
      <c r="U1028" s="154">
        <v>0.29166666666666669</v>
      </c>
      <c r="V1028" s="154">
        <v>0.29166666666666669</v>
      </c>
      <c r="W1028" s="154">
        <v>0.29166666666666669</v>
      </c>
      <c r="X1028" s="154" t="s">
        <v>424</v>
      </c>
      <c r="Y1028" s="154">
        <v>0.29166666666666669</v>
      </c>
      <c r="Z1028" s="154">
        <v>0.29166666666666669</v>
      </c>
      <c r="AA1028" s="154">
        <v>0.29166666666666669</v>
      </c>
      <c r="AB1028" s="154">
        <v>0.29166666666666669</v>
      </c>
      <c r="AC1028" s="154">
        <v>0.29166666666666669</v>
      </c>
      <c r="AD1028" s="154">
        <v>0.29166666666666669</v>
      </c>
      <c r="AE1028" s="154">
        <v>0.29166666666666669</v>
      </c>
      <c r="AF1028" s="154">
        <v>0.29166666666666669</v>
      </c>
      <c r="AG1028" s="154">
        <v>0.29166666666666669</v>
      </c>
      <c r="AH1028" s="154">
        <v>0.29166666666666669</v>
      </c>
      <c r="AI1028" s="154" t="s">
        <v>424</v>
      </c>
      <c r="AJ1028" s="154">
        <v>0.29166666666666669</v>
      </c>
      <c r="AK1028" s="154">
        <v>0.29166666666666669</v>
      </c>
      <c r="AL1028" s="154">
        <v>0.29166666666666669</v>
      </c>
    </row>
    <row r="1029" spans="1:41" hidden="1" x14ac:dyDescent="0.25">
      <c r="A1029">
        <v>1028</v>
      </c>
      <c r="B1029">
        <v>2025</v>
      </c>
      <c r="C1029">
        <v>10</v>
      </c>
      <c r="D1029" t="s">
        <v>608</v>
      </c>
      <c r="E1029">
        <v>98</v>
      </c>
      <c r="F1029">
        <v>4</v>
      </c>
      <c r="G1029" t="s">
        <v>535</v>
      </c>
      <c r="H1029" s="154">
        <v>0.75</v>
      </c>
      <c r="I1029" s="154">
        <v>0.79166666666666663</v>
      </c>
      <c r="J1029" s="154">
        <v>0.75</v>
      </c>
      <c r="K1029" s="154">
        <v>0.79166666666666663</v>
      </c>
      <c r="L1029" s="154" t="s">
        <v>424</v>
      </c>
      <c r="M1029" s="154">
        <v>0.75</v>
      </c>
      <c r="N1029" s="154">
        <v>0.75</v>
      </c>
      <c r="O1029" s="154">
        <v>0.75</v>
      </c>
      <c r="P1029" s="154">
        <v>0.75</v>
      </c>
      <c r="Q1029" s="154">
        <v>0.91666666666666674</v>
      </c>
      <c r="R1029" s="154">
        <v>0.75</v>
      </c>
      <c r="S1029" s="154">
        <v>0.75</v>
      </c>
      <c r="T1029" s="154">
        <v>0.79166666666666663</v>
      </c>
      <c r="U1029" s="154">
        <v>0.75</v>
      </c>
      <c r="V1029" s="154">
        <v>0.79166666666666663</v>
      </c>
      <c r="W1029" s="154">
        <v>0.75</v>
      </c>
      <c r="X1029" s="154" t="s">
        <v>424</v>
      </c>
      <c r="Y1029" s="154">
        <v>0.75</v>
      </c>
      <c r="Z1029" s="154">
        <v>0.75</v>
      </c>
      <c r="AA1029" s="154">
        <v>0.75</v>
      </c>
      <c r="AB1029" s="154">
        <v>0.79166666666666663</v>
      </c>
      <c r="AC1029" s="154">
        <v>0.75</v>
      </c>
      <c r="AD1029" s="154">
        <v>0.75</v>
      </c>
      <c r="AE1029" s="154">
        <v>0.75</v>
      </c>
      <c r="AF1029" s="154">
        <v>0.75</v>
      </c>
      <c r="AG1029" s="154">
        <v>0.75</v>
      </c>
      <c r="AH1029" s="154">
        <v>0.79166666666666663</v>
      </c>
      <c r="AI1029" s="154" t="s">
        <v>424</v>
      </c>
      <c r="AJ1029" s="154">
        <v>0.75</v>
      </c>
      <c r="AK1029" s="154">
        <v>0.75</v>
      </c>
      <c r="AL1029" s="154">
        <v>0.75</v>
      </c>
      <c r="AM1029" cm="1">
        <f t="array" ref="AM1029">SUM(_xlfn.LET(_xlpm.r,((IFERROR(H1029:AL1029-H1028:AL1028,0))*24)/10,IF(_xlpm.r&gt;1,1,_xlpm.r)))</f>
        <v>28</v>
      </c>
      <c r="AO1029" cm="1">
        <f t="array" ref="AO1029">SUM(IFERROR(MOD((H1029:AL1029-H1028:AL1028)*24,11),""))</f>
        <v>9.9999999999999893</v>
      </c>
    </row>
    <row r="1030" spans="1:41" hidden="1" x14ac:dyDescent="0.25">
      <c r="A1030">
        <v>1029</v>
      </c>
      <c r="B1030">
        <v>2025</v>
      </c>
      <c r="C1030">
        <v>11</v>
      </c>
      <c r="D1030" t="s">
        <v>608</v>
      </c>
      <c r="E1030">
        <v>98</v>
      </c>
      <c r="F1030">
        <v>5</v>
      </c>
      <c r="G1030" t="s">
        <v>534</v>
      </c>
      <c r="H1030" s="154">
        <v>0.29166666666666669</v>
      </c>
      <c r="I1030" s="154">
        <v>0.29166666666666669</v>
      </c>
      <c r="J1030" s="154">
        <v>0.29166666666666669</v>
      </c>
      <c r="K1030" s="154">
        <v>0.29166666666666669</v>
      </c>
      <c r="L1030" s="154">
        <v>0.29166666666666669</v>
      </c>
      <c r="M1030" s="154">
        <v>0.29166666666666669</v>
      </c>
      <c r="N1030" s="154">
        <v>0.29166666666666669</v>
      </c>
      <c r="O1030" s="154">
        <v>0.29166666666666669</v>
      </c>
      <c r="P1030" s="154" t="s">
        <v>424</v>
      </c>
      <c r="Q1030" s="154">
        <v>0.29166666666666669</v>
      </c>
      <c r="R1030" s="154">
        <v>0.29166666666666669</v>
      </c>
      <c r="S1030" s="154">
        <v>0.29166666666666669</v>
      </c>
      <c r="T1030" s="154">
        <v>0.29166666666666669</v>
      </c>
      <c r="U1030" s="154" t="s">
        <v>424</v>
      </c>
      <c r="V1030" s="154">
        <v>0.29166666666666669</v>
      </c>
      <c r="W1030" s="154">
        <v>0.29166666666666669</v>
      </c>
      <c r="X1030" s="154">
        <v>0.29166666666666669</v>
      </c>
      <c r="Y1030" s="154">
        <v>0.29166666666666669</v>
      </c>
      <c r="Z1030" s="154">
        <v>0.29166666666666669</v>
      </c>
      <c r="AA1030" s="154">
        <v>0.29166666666666669</v>
      </c>
      <c r="AB1030" s="154">
        <v>0.29166666666666669</v>
      </c>
      <c r="AC1030" s="154">
        <v>0.29166666666666669</v>
      </c>
      <c r="AD1030" s="154" t="s">
        <v>424</v>
      </c>
      <c r="AE1030" s="154">
        <v>0.29166666666666669</v>
      </c>
      <c r="AF1030" s="154">
        <v>0.29166666666666669</v>
      </c>
      <c r="AG1030" s="154">
        <v>0.29166666666666669</v>
      </c>
      <c r="AH1030" s="154">
        <v>0.29166666666666669</v>
      </c>
      <c r="AI1030" s="154">
        <v>0.29166666666666669</v>
      </c>
      <c r="AJ1030" s="154">
        <v>0.29166666666666669</v>
      </c>
      <c r="AK1030" s="154">
        <v>0.29166666666666669</v>
      </c>
      <c r="AL1030" s="154" t="s">
        <v>424</v>
      </c>
    </row>
    <row r="1031" spans="1:41" hidden="1" x14ac:dyDescent="0.25">
      <c r="A1031">
        <v>1030</v>
      </c>
      <c r="B1031">
        <v>2025</v>
      </c>
      <c r="C1031">
        <v>11</v>
      </c>
      <c r="D1031" t="s">
        <v>608</v>
      </c>
      <c r="E1031">
        <v>98</v>
      </c>
      <c r="F1031">
        <v>5</v>
      </c>
      <c r="G1031" t="s">
        <v>535</v>
      </c>
      <c r="H1031" s="154">
        <v>0.75</v>
      </c>
      <c r="I1031" s="154">
        <v>0.75</v>
      </c>
      <c r="J1031" s="154">
        <v>0.79166666666666663</v>
      </c>
      <c r="K1031" s="154">
        <v>0.75</v>
      </c>
      <c r="L1031" s="154">
        <v>0.75</v>
      </c>
      <c r="M1031" s="154">
        <v>0.79166666666666663</v>
      </c>
      <c r="N1031" s="154">
        <v>0.75</v>
      </c>
      <c r="O1031" s="154">
        <v>0.75</v>
      </c>
      <c r="P1031" s="154" t="s">
        <v>424</v>
      </c>
      <c r="Q1031" s="154">
        <v>0.75</v>
      </c>
      <c r="R1031" s="154">
        <v>0.79166666666666663</v>
      </c>
      <c r="S1031" s="154">
        <v>0.75</v>
      </c>
      <c r="T1031" s="154">
        <v>0.75</v>
      </c>
      <c r="U1031" s="154" t="s">
        <v>424</v>
      </c>
      <c r="V1031" s="154">
        <v>0.79166666666666663</v>
      </c>
      <c r="W1031" s="154">
        <v>0.75</v>
      </c>
      <c r="X1031" s="154">
        <v>0.75</v>
      </c>
      <c r="Y1031" s="154">
        <v>0.79166666666666663</v>
      </c>
      <c r="Z1031" s="154">
        <v>0.75</v>
      </c>
      <c r="AA1031" s="154">
        <v>0.75</v>
      </c>
      <c r="AB1031" s="154">
        <v>0.75</v>
      </c>
      <c r="AC1031" s="154">
        <v>0.75</v>
      </c>
      <c r="AD1031" s="154" t="s">
        <v>424</v>
      </c>
      <c r="AE1031" s="154">
        <v>0.83333333333333337</v>
      </c>
      <c r="AF1031" s="154">
        <v>0.75</v>
      </c>
      <c r="AG1031" s="154">
        <v>0.79166666666666663</v>
      </c>
      <c r="AH1031" s="154">
        <v>0.75</v>
      </c>
      <c r="AI1031" s="154">
        <v>0.75</v>
      </c>
      <c r="AJ1031" s="154">
        <v>0.75</v>
      </c>
      <c r="AK1031" s="154">
        <v>0.75</v>
      </c>
      <c r="AL1031" s="154" t="s">
        <v>424</v>
      </c>
      <c r="AM1031" cm="1">
        <f t="array" ref="AM1031">SUM(_xlfn.LET(_xlpm.r,((IFERROR(H1031:AL1031-H1030:AL1030,0))*24)/10,IF(_xlpm.r&gt;1,1,_xlpm.r)))</f>
        <v>27</v>
      </c>
      <c r="AO1031" cm="1">
        <f t="array" ref="AO1031">SUM(IFERROR(MOD((H1031:AL1031-H1030:AL1030)*24,11),""))</f>
        <v>7.9999999999999911</v>
      </c>
    </row>
    <row r="1032" spans="1:41" hidden="1" x14ac:dyDescent="0.25">
      <c r="A1032">
        <v>1031</v>
      </c>
      <c r="B1032">
        <v>2025</v>
      </c>
      <c r="C1032">
        <v>7</v>
      </c>
      <c r="D1032" t="s">
        <v>605</v>
      </c>
      <c r="E1032">
        <v>99</v>
      </c>
      <c r="F1032">
        <v>1</v>
      </c>
      <c r="G1032" t="s">
        <v>534</v>
      </c>
      <c r="H1032" s="154" t="s">
        <v>424</v>
      </c>
      <c r="I1032" s="154" t="s">
        <v>424</v>
      </c>
      <c r="J1032" s="154" t="s">
        <v>424</v>
      </c>
      <c r="K1032" s="154" t="s">
        <v>424</v>
      </c>
      <c r="L1032" s="154" t="s">
        <v>424</v>
      </c>
      <c r="M1032" s="154" t="s">
        <v>424</v>
      </c>
      <c r="N1032" s="154" t="s">
        <v>424</v>
      </c>
      <c r="O1032" s="154" t="s">
        <v>424</v>
      </c>
      <c r="P1032" s="154" t="s">
        <v>424</v>
      </c>
      <c r="Q1032" s="154" t="s">
        <v>424</v>
      </c>
      <c r="R1032" s="154" t="s">
        <v>424</v>
      </c>
      <c r="S1032" s="154" t="s">
        <v>424</v>
      </c>
      <c r="T1032" s="154" t="s">
        <v>424</v>
      </c>
      <c r="U1032" s="154" t="s">
        <v>424</v>
      </c>
      <c r="V1032" s="154" t="s">
        <v>424</v>
      </c>
      <c r="W1032" s="154" t="s">
        <v>424</v>
      </c>
      <c r="X1032" s="154" t="s">
        <v>424</v>
      </c>
      <c r="Y1032" s="154" t="s">
        <v>424</v>
      </c>
      <c r="Z1032" s="154" t="s">
        <v>424</v>
      </c>
      <c r="AA1032" s="154" t="s">
        <v>424</v>
      </c>
      <c r="AB1032" s="154" t="s">
        <v>424</v>
      </c>
      <c r="AC1032" s="154">
        <v>0.33333333333333331</v>
      </c>
      <c r="AD1032" s="154">
        <v>0.33333333333333331</v>
      </c>
      <c r="AE1032" s="154">
        <v>0.33333333333333331</v>
      </c>
      <c r="AF1032" s="154">
        <v>0.33333333333333331</v>
      </c>
      <c r="AG1032" s="154">
        <v>0.33333333333333331</v>
      </c>
      <c r="AH1032" s="154">
        <v>0.33333333333333331</v>
      </c>
      <c r="AI1032" s="154">
        <v>0.33333333333333331</v>
      </c>
      <c r="AJ1032" s="154">
        <v>0.33333333333333331</v>
      </c>
      <c r="AK1032" s="154">
        <v>0.33333333333333331</v>
      </c>
      <c r="AL1032" s="154">
        <v>0.33333333333333331</v>
      </c>
    </row>
    <row r="1033" spans="1:41" hidden="1" x14ac:dyDescent="0.25">
      <c r="A1033">
        <v>1032</v>
      </c>
      <c r="B1033">
        <v>2025</v>
      </c>
      <c r="C1033">
        <v>7</v>
      </c>
      <c r="D1033" t="s">
        <v>605</v>
      </c>
      <c r="E1033">
        <v>99</v>
      </c>
      <c r="F1033">
        <v>1</v>
      </c>
      <c r="G1033" t="s">
        <v>535</v>
      </c>
      <c r="H1033" s="154" t="s">
        <v>424</v>
      </c>
      <c r="I1033" s="154" t="s">
        <v>424</v>
      </c>
      <c r="J1033" s="154" t="s">
        <v>424</v>
      </c>
      <c r="K1033" s="154" t="s">
        <v>424</v>
      </c>
      <c r="L1033" s="154" t="s">
        <v>424</v>
      </c>
      <c r="M1033" s="154" t="s">
        <v>424</v>
      </c>
      <c r="N1033" s="154" t="s">
        <v>424</v>
      </c>
      <c r="O1033" s="154" t="s">
        <v>424</v>
      </c>
      <c r="P1033" s="154" t="s">
        <v>424</v>
      </c>
      <c r="Q1033" s="154" t="s">
        <v>424</v>
      </c>
      <c r="R1033" s="154" t="s">
        <v>424</v>
      </c>
      <c r="S1033" s="154" t="s">
        <v>424</v>
      </c>
      <c r="T1033" s="154" t="s">
        <v>424</v>
      </c>
      <c r="U1033" s="154" t="s">
        <v>424</v>
      </c>
      <c r="V1033" s="154" t="s">
        <v>424</v>
      </c>
      <c r="W1033" s="154" t="s">
        <v>424</v>
      </c>
      <c r="X1033" s="154" t="s">
        <v>424</v>
      </c>
      <c r="Y1033" s="154" t="s">
        <v>424</v>
      </c>
      <c r="Z1033" s="154" t="s">
        <v>424</v>
      </c>
      <c r="AA1033" s="154" t="s">
        <v>424</v>
      </c>
      <c r="AB1033" s="154" t="s">
        <v>424</v>
      </c>
      <c r="AC1033" s="154">
        <v>0.75</v>
      </c>
      <c r="AD1033" s="154">
        <v>0.75</v>
      </c>
      <c r="AE1033" s="154">
        <v>0.75</v>
      </c>
      <c r="AF1033" s="154">
        <v>0.75</v>
      </c>
      <c r="AG1033" s="154">
        <v>0.75</v>
      </c>
      <c r="AH1033" s="154">
        <v>0.75</v>
      </c>
      <c r="AI1033" s="154">
        <v>0.75</v>
      </c>
      <c r="AJ1033" s="154">
        <v>0.75</v>
      </c>
      <c r="AK1033" s="154">
        <v>0.75</v>
      </c>
      <c r="AL1033" s="154">
        <v>0.75</v>
      </c>
      <c r="AM1033" cm="1">
        <f t="array" ref="AM1033">SUM(_xlfn.LET(_xlpm.r,((IFERROR(H1033:AL1033-H1032:AL1032,0))*24)/10,IF(_xlpm.r&gt;1,1,_xlpm.r)))</f>
        <v>10</v>
      </c>
      <c r="AO1033" cm="1">
        <f t="array" ref="AO1033">SUM(IFERROR(MOD((H1033:AL1033-H1032:AL1032)*24,10),""))</f>
        <v>0</v>
      </c>
    </row>
    <row r="1034" spans="1:41" hidden="1" x14ac:dyDescent="0.25">
      <c r="A1034">
        <v>1033</v>
      </c>
      <c r="B1034">
        <v>2025</v>
      </c>
      <c r="C1034">
        <v>8</v>
      </c>
      <c r="D1034" t="s">
        <v>605</v>
      </c>
      <c r="E1034">
        <v>99</v>
      </c>
      <c r="F1034">
        <v>2</v>
      </c>
      <c r="G1034" t="s">
        <v>534</v>
      </c>
      <c r="H1034" s="154">
        <v>0.33333333333333331</v>
      </c>
      <c r="I1034" s="154">
        <v>0.33333333333333331</v>
      </c>
      <c r="J1034" s="154">
        <v>0.33333333333333331</v>
      </c>
      <c r="K1034" s="154">
        <v>0.33333333333333331</v>
      </c>
      <c r="L1034" s="154">
        <v>0.33333333333333331</v>
      </c>
      <c r="M1034" s="154">
        <v>0.33333333333333331</v>
      </c>
      <c r="N1034" s="154">
        <v>0.33333333333333331</v>
      </c>
      <c r="O1034" s="154">
        <v>0.33333333333333331</v>
      </c>
      <c r="P1034" s="154">
        <v>0.33333333333333331</v>
      </c>
      <c r="Q1034" s="154">
        <v>0.33333333333333331</v>
      </c>
      <c r="R1034" s="154">
        <v>0.33333333333333331</v>
      </c>
      <c r="S1034" s="154">
        <v>0.33333333333333331</v>
      </c>
      <c r="T1034" s="154">
        <v>0.33333333333333331</v>
      </c>
      <c r="U1034" s="154">
        <v>0.33333333333333331</v>
      </c>
      <c r="V1034" s="154">
        <v>0.33333333333333331</v>
      </c>
      <c r="W1034" s="154">
        <v>0.33333333333333331</v>
      </c>
      <c r="X1034" s="154">
        <v>0.33333333333333331</v>
      </c>
      <c r="Y1034" s="154">
        <v>0.33333333333333331</v>
      </c>
      <c r="Z1034" s="154">
        <v>0.33333333333333331</v>
      </c>
      <c r="AA1034" s="154">
        <v>0.33333333333333331</v>
      </c>
      <c r="AB1034" s="154">
        <v>0.33333333333333331</v>
      </c>
      <c r="AC1034" s="154">
        <v>0.33333333333333331</v>
      </c>
      <c r="AD1034" s="154">
        <v>0.33333333333333331</v>
      </c>
      <c r="AE1034" s="154">
        <v>0.33333333333333331</v>
      </c>
      <c r="AF1034" s="154">
        <v>0.33333333333333331</v>
      </c>
      <c r="AG1034" s="154">
        <v>0.33333333333333331</v>
      </c>
      <c r="AH1034" s="154">
        <v>0.33333333333333331</v>
      </c>
      <c r="AI1034" s="154">
        <v>0.33333333333333331</v>
      </c>
      <c r="AJ1034" s="154">
        <v>0.33333333333333331</v>
      </c>
      <c r="AK1034" s="154">
        <v>0.33333333333333331</v>
      </c>
      <c r="AL1034" s="154">
        <v>0.33333333333333331</v>
      </c>
    </row>
    <row r="1035" spans="1:41" hidden="1" x14ac:dyDescent="0.25">
      <c r="A1035">
        <v>1034</v>
      </c>
      <c r="B1035">
        <v>2025</v>
      </c>
      <c r="C1035">
        <v>8</v>
      </c>
      <c r="D1035" t="s">
        <v>605</v>
      </c>
      <c r="E1035">
        <v>99</v>
      </c>
      <c r="F1035">
        <v>2</v>
      </c>
      <c r="G1035" t="s">
        <v>535</v>
      </c>
      <c r="H1035" s="154">
        <v>0.83333333333333326</v>
      </c>
      <c r="I1035" s="154">
        <v>0.83333333333333326</v>
      </c>
      <c r="J1035" s="154">
        <v>0.83333333333333326</v>
      </c>
      <c r="K1035" s="154">
        <v>0.83333333333333326</v>
      </c>
      <c r="L1035" s="154">
        <v>0.83333333333333326</v>
      </c>
      <c r="M1035" s="154">
        <v>0.83333333333333326</v>
      </c>
      <c r="N1035" s="154">
        <v>0.83333333333333326</v>
      </c>
      <c r="O1035" s="154">
        <v>0.83333333333333326</v>
      </c>
      <c r="P1035" s="154">
        <v>0.83333333333333326</v>
      </c>
      <c r="Q1035" s="154">
        <v>0.83333333333333326</v>
      </c>
      <c r="R1035" s="154">
        <v>0.83333333333333326</v>
      </c>
      <c r="S1035" s="154">
        <v>0.83333333333333326</v>
      </c>
      <c r="T1035" s="154">
        <v>0.83333333333333326</v>
      </c>
      <c r="U1035" s="154">
        <v>0.83333333333333326</v>
      </c>
      <c r="V1035" s="154">
        <v>0.83333333333333326</v>
      </c>
      <c r="W1035" s="154">
        <v>0.83333333333333326</v>
      </c>
      <c r="X1035" s="154">
        <v>0.83333333333333326</v>
      </c>
      <c r="Y1035" s="154">
        <v>0.83333333333333326</v>
      </c>
      <c r="Z1035" s="154">
        <v>0.83333333333333326</v>
      </c>
      <c r="AA1035" s="154">
        <v>0.83333333333333326</v>
      </c>
      <c r="AB1035" s="154">
        <v>0.83333333333333326</v>
      </c>
      <c r="AC1035" s="154">
        <v>0.83333333333333326</v>
      </c>
      <c r="AD1035" s="154">
        <v>0.83333333333333326</v>
      </c>
      <c r="AE1035" s="154">
        <v>0.83333333333333326</v>
      </c>
      <c r="AF1035" s="154">
        <v>0.83333333333333326</v>
      </c>
      <c r="AG1035" s="154">
        <v>0.83333333333333326</v>
      </c>
      <c r="AH1035" s="154">
        <v>0.83333333333333326</v>
      </c>
      <c r="AI1035" s="154">
        <v>0.83333333333333326</v>
      </c>
      <c r="AJ1035" s="154">
        <v>0.83333333333333326</v>
      </c>
      <c r="AK1035" s="154">
        <v>0.83333333333333326</v>
      </c>
      <c r="AL1035" s="154">
        <v>0.83333333333333326</v>
      </c>
      <c r="AM1035" cm="1">
        <f t="array" ref="AM1035">SUM(_xlfn.LET(_xlpm.r,((IFERROR(H1035:AL1035-H1034:AL1034,0))*24)/10,IF(_xlpm.r&gt;1,1,_xlpm.r)))</f>
        <v>31</v>
      </c>
      <c r="AO1035" cm="1">
        <f t="array" ref="AO1035">SUM(IFERROR(ROUND((H1035:AL1035-H1034:AL1034)*24-11,0),""))</f>
        <v>31</v>
      </c>
    </row>
    <row r="1036" spans="1:41" hidden="1" x14ac:dyDescent="0.25">
      <c r="A1036">
        <v>1035</v>
      </c>
      <c r="B1036">
        <v>2025</v>
      </c>
      <c r="C1036">
        <v>9</v>
      </c>
      <c r="D1036" t="s">
        <v>605</v>
      </c>
      <c r="E1036">
        <v>99</v>
      </c>
      <c r="F1036">
        <v>3</v>
      </c>
      <c r="G1036" t="s">
        <v>534</v>
      </c>
      <c r="H1036" s="154">
        <v>0.3125</v>
      </c>
      <c r="I1036" s="154">
        <v>0.3125</v>
      </c>
      <c r="J1036" s="154">
        <v>0.3125</v>
      </c>
      <c r="K1036" s="154">
        <v>0.3125</v>
      </c>
      <c r="L1036" s="154">
        <v>0.3125</v>
      </c>
      <c r="M1036" s="154">
        <v>0.3125</v>
      </c>
      <c r="N1036" s="154">
        <v>0.3125</v>
      </c>
      <c r="O1036" s="154" t="s">
        <v>424</v>
      </c>
      <c r="P1036" s="154">
        <v>0.3125</v>
      </c>
      <c r="Q1036" s="154">
        <v>0.3125</v>
      </c>
      <c r="R1036" s="154">
        <v>0.3125</v>
      </c>
      <c r="S1036" s="154">
        <v>0.3125</v>
      </c>
      <c r="T1036" s="154">
        <v>0.3125</v>
      </c>
      <c r="U1036" s="154">
        <v>0.3125</v>
      </c>
      <c r="V1036" s="154">
        <v>0.3125</v>
      </c>
      <c r="W1036" s="154">
        <v>0.3125</v>
      </c>
      <c r="X1036" s="154">
        <v>0.3125</v>
      </c>
      <c r="Y1036" s="154">
        <v>0.3125</v>
      </c>
      <c r="Z1036" s="154">
        <v>0.3125</v>
      </c>
      <c r="AA1036" s="154">
        <v>0.3125</v>
      </c>
      <c r="AB1036" s="154">
        <v>0.3125</v>
      </c>
      <c r="AC1036" s="154">
        <v>0.3125</v>
      </c>
      <c r="AD1036" s="154">
        <v>0.3125</v>
      </c>
      <c r="AE1036" s="154">
        <v>0.3125</v>
      </c>
      <c r="AF1036" s="154">
        <v>0.3125</v>
      </c>
      <c r="AG1036" s="154">
        <v>0.3125</v>
      </c>
      <c r="AH1036" s="154">
        <v>0.3125</v>
      </c>
      <c r="AI1036" s="154">
        <v>0.3125</v>
      </c>
      <c r="AJ1036" s="154">
        <v>0.3125</v>
      </c>
      <c r="AK1036" s="154">
        <v>0.3125</v>
      </c>
      <c r="AL1036" s="154" t="s">
        <v>424</v>
      </c>
    </row>
    <row r="1037" spans="1:41" hidden="1" x14ac:dyDescent="0.25">
      <c r="A1037">
        <v>1036</v>
      </c>
      <c r="B1037">
        <v>2025</v>
      </c>
      <c r="C1037">
        <v>9</v>
      </c>
      <c r="D1037" t="s">
        <v>605</v>
      </c>
      <c r="E1037">
        <v>99</v>
      </c>
      <c r="F1037">
        <v>3</v>
      </c>
      <c r="G1037" t="s">
        <v>535</v>
      </c>
      <c r="H1037" s="154">
        <v>0.77083333333333326</v>
      </c>
      <c r="I1037" s="154">
        <v>0.77083333333333326</v>
      </c>
      <c r="J1037" s="154">
        <v>0.77083333333333326</v>
      </c>
      <c r="K1037" s="154">
        <v>0.77083333333333326</v>
      </c>
      <c r="L1037" s="154">
        <v>0.77083333333333326</v>
      </c>
      <c r="M1037" s="154">
        <v>0.77083333333333326</v>
      </c>
      <c r="N1037" s="154">
        <v>0.89583333333333337</v>
      </c>
      <c r="O1037" s="154" t="s">
        <v>424</v>
      </c>
      <c r="P1037" s="154">
        <v>0.9375</v>
      </c>
      <c r="Q1037" s="154">
        <v>0.9375</v>
      </c>
      <c r="R1037" s="154">
        <v>0.77083333333333326</v>
      </c>
      <c r="S1037" s="154">
        <v>0.77083333333333326</v>
      </c>
      <c r="T1037" s="154">
        <v>0.77083333333333326</v>
      </c>
      <c r="U1037" s="154">
        <v>0.77083333333333326</v>
      </c>
      <c r="V1037" s="154">
        <v>0.9375</v>
      </c>
      <c r="W1037" s="154">
        <v>0.9375</v>
      </c>
      <c r="X1037" s="154">
        <v>0.9375</v>
      </c>
      <c r="Y1037" s="154">
        <v>0.77083333333333326</v>
      </c>
      <c r="Z1037" s="154">
        <v>0.9375</v>
      </c>
      <c r="AA1037" s="154">
        <v>0.9375</v>
      </c>
      <c r="AB1037" s="154">
        <v>0.9375</v>
      </c>
      <c r="AC1037" s="154">
        <v>0.77083333333333326</v>
      </c>
      <c r="AD1037" s="154">
        <v>0.77083333333333326</v>
      </c>
      <c r="AE1037" s="154">
        <v>0.9375</v>
      </c>
      <c r="AF1037" s="154">
        <v>0.9375</v>
      </c>
      <c r="AG1037" s="154">
        <v>0.77083333333333326</v>
      </c>
      <c r="AH1037" s="154">
        <v>0.77083333333333326</v>
      </c>
      <c r="AI1037" s="154">
        <v>0.77083333333333326</v>
      </c>
      <c r="AJ1037" s="154">
        <v>0.77083333333333326</v>
      </c>
      <c r="AK1037" s="154">
        <v>0.77083333333333326</v>
      </c>
      <c r="AL1037" s="154" t="s">
        <v>424</v>
      </c>
      <c r="AM1037" cm="1">
        <f t="array" ref="AM1037">SUM(_xlfn.LET(_xlpm.r,((IFERROR(H1037:AL1037-H1036:AL1036,0))*24)/10,IF(_xlpm.r&gt;1,1,_xlpm.r)))</f>
        <v>29</v>
      </c>
      <c r="AO1037" cm="1">
        <f t="array" ref="AO1037">SUM(IFERROR(ROUND((_xlfn.LET(_xlpm.e,H1037:AL1037,_xlpm.s,H1036:AL1036,IF(_xlpm.e&lt;_xlpm.s,1,0)+_xlpm.e-_xlpm.s))*24-11,0),""))</f>
        <v>43</v>
      </c>
    </row>
    <row r="1038" spans="1:41" hidden="1" x14ac:dyDescent="0.25">
      <c r="A1038">
        <v>1037</v>
      </c>
      <c r="B1038">
        <v>2025</v>
      </c>
      <c r="C1038">
        <v>10</v>
      </c>
      <c r="D1038" t="s">
        <v>605</v>
      </c>
      <c r="E1038">
        <v>99</v>
      </c>
      <c r="F1038">
        <v>4</v>
      </c>
      <c r="G1038" t="s">
        <v>534</v>
      </c>
      <c r="H1038" s="154">
        <v>0.29166666666666669</v>
      </c>
      <c r="I1038" s="154">
        <v>0.29166666666666669</v>
      </c>
      <c r="J1038" s="154">
        <v>0.29166666666666669</v>
      </c>
      <c r="K1038" s="154">
        <v>0.29166666666666669</v>
      </c>
      <c r="L1038" s="154">
        <v>0.29166666666666669</v>
      </c>
      <c r="M1038" s="154">
        <v>0.29166666666666669</v>
      </c>
      <c r="N1038" s="154">
        <v>0.29166666666666669</v>
      </c>
      <c r="O1038" s="154">
        <v>0.29166666666666669</v>
      </c>
      <c r="P1038" s="154">
        <v>0.29166666666666669</v>
      </c>
      <c r="Q1038" s="154">
        <v>0.29166666666666669</v>
      </c>
      <c r="R1038" s="154">
        <v>0.29166666666666669</v>
      </c>
      <c r="S1038" s="154">
        <v>0.29166666666666669</v>
      </c>
      <c r="T1038" s="154">
        <v>0.29166666666666669</v>
      </c>
      <c r="U1038" s="154">
        <v>0.29166666666666669</v>
      </c>
      <c r="V1038" s="154">
        <v>0.29166666666666669</v>
      </c>
      <c r="W1038" s="154">
        <v>0.29166666666666669</v>
      </c>
      <c r="X1038" s="154">
        <v>0.29166666666666669</v>
      </c>
      <c r="Y1038" s="154">
        <v>0.29166666666666669</v>
      </c>
      <c r="Z1038" s="154">
        <v>0.29166666666666669</v>
      </c>
      <c r="AA1038" s="154">
        <v>0.29166666666666669</v>
      </c>
      <c r="AB1038" s="154">
        <v>0.29166666666666669</v>
      </c>
      <c r="AC1038" s="154">
        <v>0.29166666666666669</v>
      </c>
      <c r="AD1038" s="154">
        <v>0.29166666666666669</v>
      </c>
      <c r="AE1038" s="154">
        <v>0.29166666666666669</v>
      </c>
      <c r="AF1038" s="154">
        <v>0.29166666666666669</v>
      </c>
      <c r="AG1038" s="154">
        <v>0.29166666666666669</v>
      </c>
      <c r="AH1038" s="154">
        <v>0.29166666666666669</v>
      </c>
      <c r="AI1038" s="154">
        <v>0.29166666666666669</v>
      </c>
      <c r="AJ1038" s="154">
        <v>0.29166666666666669</v>
      </c>
      <c r="AK1038" s="154">
        <v>0.29166666666666669</v>
      </c>
      <c r="AL1038" s="154">
        <v>0.29166666666666669</v>
      </c>
    </row>
    <row r="1039" spans="1:41" hidden="1" x14ac:dyDescent="0.25">
      <c r="A1039">
        <v>1038</v>
      </c>
      <c r="B1039">
        <v>2025</v>
      </c>
      <c r="C1039">
        <v>10</v>
      </c>
      <c r="D1039" t="s">
        <v>605</v>
      </c>
      <c r="E1039">
        <v>99</v>
      </c>
      <c r="F1039">
        <v>4</v>
      </c>
      <c r="G1039" t="s">
        <v>535</v>
      </c>
      <c r="H1039" s="154">
        <v>0.75</v>
      </c>
      <c r="I1039" s="154">
        <v>0.75</v>
      </c>
      <c r="J1039" s="154">
        <v>0.75</v>
      </c>
      <c r="K1039" s="154">
        <v>0.75</v>
      </c>
      <c r="L1039" s="154">
        <v>0.75</v>
      </c>
      <c r="M1039" s="154">
        <v>0.75</v>
      </c>
      <c r="N1039" s="154">
        <v>0.75</v>
      </c>
      <c r="O1039" s="154">
        <v>0.75</v>
      </c>
      <c r="P1039" s="154">
        <v>0.75</v>
      </c>
      <c r="Q1039" s="154">
        <v>0.75</v>
      </c>
      <c r="R1039" s="154">
        <v>0.75</v>
      </c>
      <c r="S1039" s="154">
        <v>0.75</v>
      </c>
      <c r="T1039" s="154">
        <v>0.75</v>
      </c>
      <c r="U1039" s="154">
        <v>0.75</v>
      </c>
      <c r="V1039" s="154">
        <v>0.75</v>
      </c>
      <c r="W1039" s="154">
        <v>0.75</v>
      </c>
      <c r="X1039" s="154">
        <v>0.75</v>
      </c>
      <c r="Y1039" s="154">
        <v>0.75</v>
      </c>
      <c r="Z1039" s="154">
        <v>0.75</v>
      </c>
      <c r="AA1039" s="154">
        <v>0.75</v>
      </c>
      <c r="AB1039" s="154">
        <v>0.75</v>
      </c>
      <c r="AC1039" s="154">
        <v>0.75</v>
      </c>
      <c r="AD1039" s="154">
        <v>0.75</v>
      </c>
      <c r="AE1039" s="154">
        <v>0.75</v>
      </c>
      <c r="AF1039" s="154">
        <v>0.75</v>
      </c>
      <c r="AG1039" s="154">
        <v>0.75</v>
      </c>
      <c r="AH1039" s="154">
        <v>0.75</v>
      </c>
      <c r="AI1039" s="154">
        <v>0.75</v>
      </c>
      <c r="AJ1039" s="154">
        <v>0.75</v>
      </c>
      <c r="AK1039" s="154">
        <v>0.75</v>
      </c>
      <c r="AL1039" s="154">
        <v>0.75</v>
      </c>
      <c r="AM1039" cm="1">
        <f t="array" ref="AM1039">SUM(_xlfn.LET(_xlpm.r,((IFERROR(H1039:AL1039-H1038:AL1038,0))*24)/10,IF(_xlpm.r&gt;1,1,_xlpm.r)))</f>
        <v>31</v>
      </c>
    </row>
    <row r="1040" spans="1:41" hidden="1" x14ac:dyDescent="0.25">
      <c r="A1040">
        <v>1039</v>
      </c>
      <c r="B1040">
        <v>2025</v>
      </c>
      <c r="C1040">
        <v>7</v>
      </c>
      <c r="D1040" t="s">
        <v>611</v>
      </c>
      <c r="E1040">
        <v>100</v>
      </c>
      <c r="F1040">
        <v>1</v>
      </c>
      <c r="G1040" t="s">
        <v>534</v>
      </c>
      <c r="H1040" s="154" t="s">
        <v>424</v>
      </c>
      <c r="I1040" s="154" t="s">
        <v>424</v>
      </c>
      <c r="J1040" s="154" t="s">
        <v>424</v>
      </c>
      <c r="K1040" s="154" t="s">
        <v>424</v>
      </c>
      <c r="L1040" s="154" t="s">
        <v>424</v>
      </c>
      <c r="M1040" s="154" t="s">
        <v>424</v>
      </c>
      <c r="N1040" s="154" t="s">
        <v>424</v>
      </c>
      <c r="O1040" s="154" t="s">
        <v>424</v>
      </c>
      <c r="P1040" s="154" t="s">
        <v>424</v>
      </c>
      <c r="Q1040" s="154" t="s">
        <v>424</v>
      </c>
      <c r="R1040" s="154" t="s">
        <v>424</v>
      </c>
      <c r="S1040" s="154" t="s">
        <v>424</v>
      </c>
      <c r="T1040" s="154" t="s">
        <v>424</v>
      </c>
      <c r="U1040" s="154" t="s">
        <v>424</v>
      </c>
      <c r="V1040" s="154" t="s">
        <v>424</v>
      </c>
      <c r="W1040" s="154" t="s">
        <v>424</v>
      </c>
      <c r="X1040" s="154" t="s">
        <v>424</v>
      </c>
      <c r="Y1040" s="154" t="s">
        <v>424</v>
      </c>
      <c r="Z1040" s="154" t="s">
        <v>424</v>
      </c>
      <c r="AA1040" s="154" t="s">
        <v>424</v>
      </c>
      <c r="AB1040" s="154" t="s">
        <v>424</v>
      </c>
      <c r="AC1040" s="154" t="s">
        <v>424</v>
      </c>
      <c r="AD1040" s="154">
        <v>0.29166666666666669</v>
      </c>
      <c r="AE1040" s="154">
        <v>0.29166666666666669</v>
      </c>
      <c r="AF1040" s="154">
        <v>0.29166666666666669</v>
      </c>
      <c r="AG1040" s="154">
        <v>0.29166666666666669</v>
      </c>
      <c r="AH1040" s="154">
        <v>0.29166666666666669</v>
      </c>
      <c r="AI1040" s="154">
        <v>0.29166666666666669</v>
      </c>
      <c r="AJ1040" s="154">
        <v>0.29166666666666669</v>
      </c>
      <c r="AK1040" s="154">
        <v>0.29166666666666669</v>
      </c>
      <c r="AL1040" s="154">
        <v>0.29166666666666669</v>
      </c>
    </row>
    <row r="1041" spans="1:41" hidden="1" x14ac:dyDescent="0.25">
      <c r="A1041">
        <v>1040</v>
      </c>
      <c r="B1041">
        <v>2025</v>
      </c>
      <c r="C1041">
        <v>7</v>
      </c>
      <c r="D1041" t="s">
        <v>611</v>
      </c>
      <c r="E1041">
        <v>100</v>
      </c>
      <c r="F1041">
        <v>1</v>
      </c>
      <c r="G1041" t="s">
        <v>535</v>
      </c>
      <c r="H1041" s="154" t="s">
        <v>424</v>
      </c>
      <c r="I1041" s="154" t="s">
        <v>424</v>
      </c>
      <c r="J1041" s="154" t="s">
        <v>424</v>
      </c>
      <c r="K1041" s="154" t="s">
        <v>424</v>
      </c>
      <c r="L1041" s="154" t="s">
        <v>424</v>
      </c>
      <c r="M1041" s="154" t="s">
        <v>424</v>
      </c>
      <c r="N1041" s="154" t="s">
        <v>424</v>
      </c>
      <c r="O1041" s="154" t="s">
        <v>424</v>
      </c>
      <c r="P1041" s="154" t="s">
        <v>424</v>
      </c>
      <c r="Q1041" s="154" t="s">
        <v>424</v>
      </c>
      <c r="R1041" s="154" t="s">
        <v>424</v>
      </c>
      <c r="S1041" s="154" t="s">
        <v>424</v>
      </c>
      <c r="T1041" s="154" t="s">
        <v>424</v>
      </c>
      <c r="U1041" s="154" t="s">
        <v>424</v>
      </c>
      <c r="V1041" s="154" t="s">
        <v>424</v>
      </c>
      <c r="W1041" s="154" t="s">
        <v>424</v>
      </c>
      <c r="X1041" s="154" t="s">
        <v>424</v>
      </c>
      <c r="Y1041" s="154" t="s">
        <v>424</v>
      </c>
      <c r="Z1041" s="154" t="s">
        <v>424</v>
      </c>
      <c r="AA1041" s="154" t="s">
        <v>424</v>
      </c>
      <c r="AB1041" s="154" t="s">
        <v>424</v>
      </c>
      <c r="AC1041" s="154" t="s">
        <v>424</v>
      </c>
      <c r="AD1041" s="154">
        <v>0.75</v>
      </c>
      <c r="AE1041" s="154">
        <v>0.75</v>
      </c>
      <c r="AF1041" s="154">
        <v>0.75</v>
      </c>
      <c r="AG1041" s="154">
        <v>0.75</v>
      </c>
      <c r="AH1041" s="154">
        <v>0.75</v>
      </c>
      <c r="AI1041" s="154">
        <v>0.75</v>
      </c>
      <c r="AJ1041" s="154">
        <v>0.75</v>
      </c>
      <c r="AK1041" s="154">
        <v>0.75</v>
      </c>
      <c r="AL1041" s="154">
        <v>0.75</v>
      </c>
      <c r="AM1041" cm="1">
        <f t="array" ref="AM1041">SUM(_xlfn.LET(_xlpm.r,((IFERROR(H1041:AL1041-H1040:AL1040,0))*24)/10,IF(_xlpm.r&gt;1,1,_xlpm.r)))</f>
        <v>9</v>
      </c>
    </row>
    <row r="1042" spans="1:41" hidden="1" x14ac:dyDescent="0.25">
      <c r="A1042">
        <v>1041</v>
      </c>
      <c r="B1042">
        <v>2025</v>
      </c>
      <c r="C1042">
        <v>8</v>
      </c>
      <c r="D1042" t="s">
        <v>611</v>
      </c>
      <c r="E1042">
        <v>100</v>
      </c>
      <c r="F1042">
        <v>2</v>
      </c>
      <c r="G1042" t="s">
        <v>534</v>
      </c>
      <c r="H1042" s="154">
        <v>0.29166666666666669</v>
      </c>
      <c r="I1042" s="154">
        <v>0.29166666666666669</v>
      </c>
      <c r="J1042" s="154">
        <v>0.29166666666666669</v>
      </c>
      <c r="K1042" s="154">
        <v>0.29166666666666669</v>
      </c>
      <c r="L1042" s="154">
        <v>0.29166666666666669</v>
      </c>
      <c r="M1042" s="154">
        <v>0.29166666666666669</v>
      </c>
      <c r="N1042" s="154">
        <v>0.29166666666666669</v>
      </c>
      <c r="O1042" s="154">
        <v>0.29166666666666669</v>
      </c>
      <c r="P1042" s="154">
        <v>0.29166666666666669</v>
      </c>
      <c r="Q1042" s="154" t="s">
        <v>424</v>
      </c>
      <c r="R1042" s="154">
        <v>0.29166666666666669</v>
      </c>
      <c r="S1042" s="154">
        <v>0.29166666666666669</v>
      </c>
      <c r="T1042" s="154">
        <v>0.29166666666666669</v>
      </c>
      <c r="U1042" s="154">
        <v>0.29166666666666669</v>
      </c>
      <c r="V1042" s="154">
        <v>0.29166666666666669</v>
      </c>
      <c r="W1042" s="154">
        <v>0.29166666666666669</v>
      </c>
      <c r="X1042" s="154">
        <v>0.29166666666666669</v>
      </c>
      <c r="Y1042" s="154">
        <v>0.29166666666666669</v>
      </c>
      <c r="Z1042" s="154">
        <v>0.29166666666666669</v>
      </c>
      <c r="AA1042" s="154">
        <v>0.29166666666666669</v>
      </c>
      <c r="AB1042" s="154">
        <v>0.29166666666666669</v>
      </c>
      <c r="AC1042" s="154">
        <v>0.29166666666666669</v>
      </c>
      <c r="AD1042" s="154">
        <v>0.29166666666666669</v>
      </c>
      <c r="AE1042" s="154" t="s">
        <v>424</v>
      </c>
      <c r="AF1042" s="154">
        <v>0.29166666666666669</v>
      </c>
      <c r="AG1042" s="154">
        <v>0.29166666666666669</v>
      </c>
      <c r="AH1042" s="154">
        <v>0.29166666666666669</v>
      </c>
      <c r="AI1042" s="154">
        <v>0.29166666666666669</v>
      </c>
      <c r="AJ1042" s="154" t="s">
        <v>424</v>
      </c>
      <c r="AK1042" s="154" t="s">
        <v>424</v>
      </c>
      <c r="AL1042" s="154">
        <v>0.29166666666666669</v>
      </c>
    </row>
    <row r="1043" spans="1:41" hidden="1" x14ac:dyDescent="0.25">
      <c r="A1043">
        <v>1042</v>
      </c>
      <c r="B1043">
        <v>2025</v>
      </c>
      <c r="C1043">
        <v>8</v>
      </c>
      <c r="D1043" t="s">
        <v>611</v>
      </c>
      <c r="E1043">
        <v>100</v>
      </c>
      <c r="F1043">
        <v>2</v>
      </c>
      <c r="G1043" t="s">
        <v>535</v>
      </c>
      <c r="H1043" s="154">
        <v>0.75</v>
      </c>
      <c r="I1043" s="154">
        <v>0.75</v>
      </c>
      <c r="J1043" s="154">
        <v>0.75</v>
      </c>
      <c r="K1043" s="154">
        <v>0.75</v>
      </c>
      <c r="L1043" s="154">
        <v>0.75</v>
      </c>
      <c r="M1043" s="154">
        <v>0.75</v>
      </c>
      <c r="N1043" s="154">
        <v>0.75</v>
      </c>
      <c r="O1043" s="154">
        <v>0.75</v>
      </c>
      <c r="P1043" s="154">
        <v>0.75</v>
      </c>
      <c r="Q1043" s="154" t="s">
        <v>424</v>
      </c>
      <c r="R1043" s="154">
        <v>0.75</v>
      </c>
      <c r="S1043" s="154">
        <v>0.75</v>
      </c>
      <c r="T1043" s="154">
        <v>0.75</v>
      </c>
      <c r="U1043" s="154">
        <v>0.75</v>
      </c>
      <c r="V1043" s="154">
        <v>0.75</v>
      </c>
      <c r="W1043" s="154">
        <v>0.75</v>
      </c>
      <c r="X1043" s="154">
        <v>0.75</v>
      </c>
      <c r="Y1043" s="154">
        <v>0.75</v>
      </c>
      <c r="Z1043" s="154">
        <v>0.75</v>
      </c>
      <c r="AA1043" s="154">
        <v>0.75</v>
      </c>
      <c r="AB1043" s="154">
        <v>0.75</v>
      </c>
      <c r="AC1043" s="154">
        <v>0.75</v>
      </c>
      <c r="AD1043" s="154">
        <v>0.75</v>
      </c>
      <c r="AE1043" s="154" t="s">
        <v>424</v>
      </c>
      <c r="AF1043" s="154">
        <v>0.75</v>
      </c>
      <c r="AG1043" s="154">
        <v>0.75</v>
      </c>
      <c r="AH1043" s="154">
        <v>0.75</v>
      </c>
      <c r="AI1043" s="154">
        <v>0.75</v>
      </c>
      <c r="AJ1043" s="154" t="s">
        <v>424</v>
      </c>
      <c r="AK1043" s="154" t="s">
        <v>424</v>
      </c>
      <c r="AL1043" s="154">
        <v>0.75</v>
      </c>
      <c r="AM1043" cm="1">
        <f t="array" ref="AM1043">SUM(_xlfn.LET(_xlpm.r,((IFERROR(H1043:AL1043-H1042:AL1042,0))*24)/10,IF(_xlpm.r&gt;1,1,_xlpm.r)))</f>
        <v>27</v>
      </c>
    </row>
    <row r="1044" spans="1:41" hidden="1" x14ac:dyDescent="0.25">
      <c r="A1044">
        <v>1043</v>
      </c>
      <c r="B1044">
        <v>2025</v>
      </c>
      <c r="C1044">
        <v>9</v>
      </c>
      <c r="D1044" t="s">
        <v>611</v>
      </c>
      <c r="E1044">
        <v>100</v>
      </c>
      <c r="F1044">
        <v>3</v>
      </c>
      <c r="G1044" t="s">
        <v>534</v>
      </c>
      <c r="H1044" s="154">
        <v>0.29166666666666669</v>
      </c>
      <c r="I1044" s="154">
        <v>0.29166666666666669</v>
      </c>
      <c r="J1044" s="154">
        <v>0.29166666666666669</v>
      </c>
      <c r="K1044" s="154">
        <v>0.29166666666666669</v>
      </c>
      <c r="L1044" s="154">
        <v>0.29166666666666669</v>
      </c>
      <c r="M1044" s="154">
        <v>0.29166666666666669</v>
      </c>
      <c r="N1044" s="154" t="s">
        <v>424</v>
      </c>
      <c r="O1044" s="154">
        <v>0.29166666666666669</v>
      </c>
      <c r="P1044" s="154">
        <v>0.29166666666666669</v>
      </c>
      <c r="Q1044" s="154" t="s">
        <v>424</v>
      </c>
      <c r="R1044" s="154">
        <v>0.29166666666666669</v>
      </c>
      <c r="S1044" s="154">
        <v>0.29166666666666669</v>
      </c>
      <c r="T1044" s="154">
        <v>0.29166666666666669</v>
      </c>
      <c r="U1044" s="154" t="s">
        <v>424</v>
      </c>
      <c r="V1044" s="154">
        <v>0.29166666666666669</v>
      </c>
      <c r="W1044" s="154">
        <v>0.29166666666666669</v>
      </c>
      <c r="X1044" s="154">
        <v>0.29166666666666669</v>
      </c>
      <c r="Y1044" s="154">
        <v>0.29166666666666669</v>
      </c>
      <c r="Z1044" s="154">
        <v>0.29166666666666669</v>
      </c>
      <c r="AA1044" s="154">
        <v>0.29166666666666669</v>
      </c>
      <c r="AB1044" s="154">
        <v>0.29166666666666669</v>
      </c>
      <c r="AC1044" s="154">
        <v>0.29166666666666669</v>
      </c>
      <c r="AD1044" s="154">
        <v>0.29166666666666669</v>
      </c>
      <c r="AE1044" s="154">
        <v>0.29166666666666669</v>
      </c>
      <c r="AF1044" s="154">
        <v>0.29166666666666669</v>
      </c>
      <c r="AG1044" s="154">
        <v>0.29166666666666669</v>
      </c>
      <c r="AH1044" s="154">
        <v>0.29166666666666669</v>
      </c>
      <c r="AI1044" s="154" t="s">
        <v>424</v>
      </c>
      <c r="AJ1044" s="154">
        <v>0.29166666666666669</v>
      </c>
      <c r="AK1044" s="154">
        <v>0.29166666666666669</v>
      </c>
      <c r="AL1044" s="154" t="s">
        <v>424</v>
      </c>
    </row>
    <row r="1045" spans="1:41" hidden="1" x14ac:dyDescent="0.25">
      <c r="A1045">
        <v>1044</v>
      </c>
      <c r="B1045">
        <v>2025</v>
      </c>
      <c r="C1045">
        <v>9</v>
      </c>
      <c r="D1045" t="s">
        <v>611</v>
      </c>
      <c r="E1045">
        <v>100</v>
      </c>
      <c r="F1045">
        <v>3</v>
      </c>
      <c r="G1045" t="s">
        <v>535</v>
      </c>
      <c r="H1045" s="154">
        <v>0.75</v>
      </c>
      <c r="I1045" s="154">
        <v>0.75</v>
      </c>
      <c r="J1045" s="154">
        <v>0.75</v>
      </c>
      <c r="K1045" s="154">
        <v>0.75</v>
      </c>
      <c r="L1045" s="154">
        <v>0.75</v>
      </c>
      <c r="M1045" s="154">
        <v>0.75</v>
      </c>
      <c r="N1045" s="154" t="s">
        <v>424</v>
      </c>
      <c r="O1045" s="154">
        <v>0.75</v>
      </c>
      <c r="P1045" s="154">
        <v>0.75</v>
      </c>
      <c r="Q1045" s="154" t="s">
        <v>424</v>
      </c>
      <c r="R1045" s="154">
        <v>0.75</v>
      </c>
      <c r="S1045" s="154">
        <v>0.75</v>
      </c>
      <c r="T1045" s="154">
        <v>0.75</v>
      </c>
      <c r="U1045" s="154" t="s">
        <v>424</v>
      </c>
      <c r="V1045" s="154">
        <v>0.75</v>
      </c>
      <c r="W1045" s="154">
        <v>0.75</v>
      </c>
      <c r="X1045" s="154">
        <v>0.75</v>
      </c>
      <c r="Y1045" s="154">
        <v>0.75</v>
      </c>
      <c r="Z1045" s="154">
        <v>0.75</v>
      </c>
      <c r="AA1045" s="154">
        <v>0.75</v>
      </c>
      <c r="AB1045" s="154">
        <v>0.75</v>
      </c>
      <c r="AC1045" s="154">
        <v>0.75</v>
      </c>
      <c r="AD1045" s="154">
        <v>0.75</v>
      </c>
      <c r="AE1045" s="154">
        <v>0.75</v>
      </c>
      <c r="AF1045" s="154">
        <v>0.75</v>
      </c>
      <c r="AG1045" s="154">
        <v>0.75</v>
      </c>
      <c r="AH1045" s="154">
        <v>0.75</v>
      </c>
      <c r="AI1045" s="154" t="s">
        <v>424</v>
      </c>
      <c r="AJ1045" s="154">
        <v>0.75</v>
      </c>
      <c r="AK1045" s="154">
        <v>0.75</v>
      </c>
      <c r="AL1045" s="154" t="s">
        <v>424</v>
      </c>
      <c r="AM1045" cm="1">
        <f t="array" ref="AM1045">SUM(_xlfn.LET(_xlpm.r,((IFERROR(H1045:AL1045-H1044:AL1044,0))*24)/10,IF(_xlpm.r&gt;1,1,_xlpm.r)))</f>
        <v>26</v>
      </c>
    </row>
    <row r="1046" spans="1:41" hidden="1" x14ac:dyDescent="0.25">
      <c r="A1046">
        <v>1045</v>
      </c>
      <c r="B1046">
        <v>2025</v>
      </c>
      <c r="C1046">
        <v>10</v>
      </c>
      <c r="D1046" t="s">
        <v>611</v>
      </c>
      <c r="E1046">
        <v>100</v>
      </c>
      <c r="F1046">
        <v>4</v>
      </c>
      <c r="G1046" t="s">
        <v>534</v>
      </c>
      <c r="H1046" s="154">
        <v>0.29166666666666669</v>
      </c>
      <c r="I1046" s="154">
        <v>0.29166666666666669</v>
      </c>
      <c r="J1046" s="154">
        <v>0.29166666666666669</v>
      </c>
      <c r="K1046" s="154">
        <v>0.29166666666666669</v>
      </c>
      <c r="L1046" s="154">
        <v>0.29166666666666669</v>
      </c>
      <c r="M1046" s="154">
        <v>0.29166666666666669</v>
      </c>
      <c r="N1046" s="154">
        <v>0.29166666666666669</v>
      </c>
      <c r="O1046" s="154">
        <v>0.29166666666666669</v>
      </c>
      <c r="P1046" s="154">
        <v>0.29166666666666669</v>
      </c>
      <c r="Q1046" s="154">
        <v>0.29166666666666669</v>
      </c>
      <c r="R1046" s="154">
        <v>0.29166666666666669</v>
      </c>
      <c r="S1046" s="154" t="s">
        <v>424</v>
      </c>
      <c r="T1046" s="154">
        <v>0.29166666666666669</v>
      </c>
      <c r="U1046" s="154">
        <v>0.29166666666666669</v>
      </c>
      <c r="V1046" s="154">
        <v>0.29166666666666669</v>
      </c>
      <c r="W1046" s="154">
        <v>0.29166666666666669</v>
      </c>
      <c r="X1046" s="154">
        <v>0.29166666666666669</v>
      </c>
      <c r="Y1046" s="154">
        <v>0.29166666666666669</v>
      </c>
      <c r="Z1046" s="154">
        <v>0.29166666666666669</v>
      </c>
      <c r="AA1046" s="154">
        <v>0.29166666666666669</v>
      </c>
      <c r="AB1046" s="154">
        <v>0.29166666666666669</v>
      </c>
      <c r="AC1046" s="154">
        <v>0.29166666666666669</v>
      </c>
      <c r="AD1046" s="154">
        <v>0.29166666666666669</v>
      </c>
      <c r="AE1046" s="154">
        <v>0.29166666666666669</v>
      </c>
      <c r="AF1046" s="154">
        <v>0.29166666666666669</v>
      </c>
      <c r="AG1046" s="154" t="s">
        <v>424</v>
      </c>
      <c r="AH1046" s="154">
        <v>0.29166666666666669</v>
      </c>
      <c r="AI1046" s="154">
        <v>0.29166666666666669</v>
      </c>
      <c r="AJ1046" s="154">
        <v>0.29166666666666669</v>
      </c>
      <c r="AK1046" s="154">
        <v>0.29166666666666669</v>
      </c>
      <c r="AL1046" s="154">
        <v>0.29166666666666669</v>
      </c>
    </row>
    <row r="1047" spans="1:41" hidden="1" x14ac:dyDescent="0.25">
      <c r="A1047">
        <v>1046</v>
      </c>
      <c r="B1047">
        <v>2025</v>
      </c>
      <c r="C1047">
        <v>10</v>
      </c>
      <c r="D1047" t="s">
        <v>611</v>
      </c>
      <c r="E1047">
        <v>100</v>
      </c>
      <c r="F1047">
        <v>4</v>
      </c>
      <c r="G1047" t="s">
        <v>535</v>
      </c>
      <c r="H1047" s="154">
        <v>0.75</v>
      </c>
      <c r="I1047" s="154">
        <v>0.75</v>
      </c>
      <c r="J1047" s="154">
        <v>0.75</v>
      </c>
      <c r="K1047" s="154">
        <v>0.75</v>
      </c>
      <c r="L1047" s="154">
        <v>0.75</v>
      </c>
      <c r="M1047" s="154">
        <v>0.75</v>
      </c>
      <c r="N1047" s="154">
        <v>0.75</v>
      </c>
      <c r="O1047" s="154">
        <v>0.75</v>
      </c>
      <c r="P1047" s="154">
        <v>0.75</v>
      </c>
      <c r="Q1047" s="154">
        <v>0.75</v>
      </c>
      <c r="R1047" s="154">
        <v>0.75</v>
      </c>
      <c r="S1047" s="154" t="s">
        <v>424</v>
      </c>
      <c r="T1047" s="154">
        <v>0.75</v>
      </c>
      <c r="U1047" s="154">
        <v>0.75</v>
      </c>
      <c r="V1047" s="154">
        <v>0.75</v>
      </c>
      <c r="W1047" s="154">
        <v>0.75</v>
      </c>
      <c r="X1047" s="154">
        <v>0.75</v>
      </c>
      <c r="Y1047" s="154">
        <v>0.75</v>
      </c>
      <c r="Z1047" s="154">
        <v>0.75</v>
      </c>
      <c r="AA1047" s="154">
        <v>0.75</v>
      </c>
      <c r="AB1047" s="154">
        <v>0.75</v>
      </c>
      <c r="AC1047" s="154">
        <v>0.75</v>
      </c>
      <c r="AD1047" s="154">
        <v>0.75</v>
      </c>
      <c r="AE1047" s="154">
        <v>0.75</v>
      </c>
      <c r="AF1047" s="154">
        <v>0.75</v>
      </c>
      <c r="AG1047" s="154" t="s">
        <v>424</v>
      </c>
      <c r="AH1047" s="154">
        <v>0.75</v>
      </c>
      <c r="AI1047" s="154">
        <v>0.75</v>
      </c>
      <c r="AJ1047" s="154">
        <v>0.75</v>
      </c>
      <c r="AK1047" s="154">
        <v>0.75</v>
      </c>
      <c r="AL1047" s="154">
        <v>0.75</v>
      </c>
      <c r="AM1047" cm="1">
        <f t="array" ref="AM1047">SUM(_xlfn.LET(_xlpm.r,((IFERROR(H1047:AL1047-H1046:AL1046,0))*24)/10,IF(_xlpm.r&gt;1,1,_xlpm.r)))</f>
        <v>29</v>
      </c>
    </row>
    <row r="1048" spans="1:41" hidden="1" x14ac:dyDescent="0.25">
      <c r="A1048">
        <v>1047</v>
      </c>
      <c r="B1048">
        <v>2025</v>
      </c>
      <c r="C1048">
        <v>11</v>
      </c>
      <c r="D1048" t="s">
        <v>611</v>
      </c>
      <c r="E1048">
        <v>100</v>
      </c>
      <c r="F1048">
        <v>5</v>
      </c>
      <c r="G1048" t="s">
        <v>534</v>
      </c>
      <c r="H1048" s="154">
        <v>0.29166666666666669</v>
      </c>
      <c r="I1048" s="154">
        <v>0.29166666666666669</v>
      </c>
      <c r="J1048" s="154">
        <v>0.29166666666666669</v>
      </c>
      <c r="K1048" s="154">
        <v>0.29166666666666669</v>
      </c>
      <c r="L1048" s="154">
        <v>0.29166666666666669</v>
      </c>
      <c r="M1048" s="154">
        <v>0.29166666666666669</v>
      </c>
      <c r="N1048" s="154">
        <v>0.29166666666666669</v>
      </c>
      <c r="O1048" s="154">
        <v>0.29166666666666669</v>
      </c>
      <c r="P1048" s="154" t="s">
        <v>424</v>
      </c>
      <c r="Q1048" s="154">
        <v>0.29166666666666669</v>
      </c>
      <c r="R1048" s="154">
        <v>0.29166666666666669</v>
      </c>
      <c r="S1048" s="154">
        <v>0.29166666666666669</v>
      </c>
      <c r="T1048" s="154">
        <v>0.29166666666666669</v>
      </c>
      <c r="U1048" s="154">
        <v>0.29166666666666669</v>
      </c>
      <c r="V1048" s="154">
        <v>0.29166666666666669</v>
      </c>
      <c r="W1048" s="154">
        <v>0.29166666666666669</v>
      </c>
      <c r="X1048" s="154">
        <v>0.29166666666666669</v>
      </c>
      <c r="Y1048" s="154">
        <v>0.29166666666666669</v>
      </c>
      <c r="Z1048" s="154">
        <v>0.29166666666666669</v>
      </c>
      <c r="AA1048" s="154">
        <v>0.29166666666666669</v>
      </c>
      <c r="AB1048" s="154">
        <v>0.29166666666666669</v>
      </c>
      <c r="AC1048" s="154">
        <v>0.29166666666666669</v>
      </c>
      <c r="AD1048" s="154" t="s">
        <v>424</v>
      </c>
      <c r="AE1048" s="154">
        <v>0.29166666666666669</v>
      </c>
      <c r="AF1048" s="154">
        <v>0.29166666666666669</v>
      </c>
      <c r="AG1048" s="154">
        <v>0.29166666666666669</v>
      </c>
      <c r="AH1048" s="154">
        <v>0.29166666666666669</v>
      </c>
      <c r="AI1048" s="154">
        <v>0.29166666666666669</v>
      </c>
      <c r="AJ1048" s="154">
        <v>0.29166666666666669</v>
      </c>
      <c r="AK1048" s="154">
        <v>0.29166666666666669</v>
      </c>
      <c r="AL1048" s="154" t="s">
        <v>424</v>
      </c>
    </row>
    <row r="1049" spans="1:41" hidden="1" x14ac:dyDescent="0.25">
      <c r="A1049">
        <v>1048</v>
      </c>
      <c r="B1049">
        <v>2025</v>
      </c>
      <c r="C1049">
        <v>11</v>
      </c>
      <c r="D1049" t="s">
        <v>611</v>
      </c>
      <c r="E1049">
        <v>100</v>
      </c>
      <c r="F1049">
        <v>5</v>
      </c>
      <c r="G1049" t="s">
        <v>535</v>
      </c>
      <c r="H1049" s="154">
        <v>0.75</v>
      </c>
      <c r="I1049" s="154">
        <v>0.75</v>
      </c>
      <c r="J1049" s="154">
        <v>0.75</v>
      </c>
      <c r="K1049" s="154">
        <v>0.75</v>
      </c>
      <c r="L1049" s="154">
        <v>0.75</v>
      </c>
      <c r="M1049" s="154">
        <v>0.75</v>
      </c>
      <c r="N1049" s="154">
        <v>0.75</v>
      </c>
      <c r="O1049" s="154">
        <v>0.75</v>
      </c>
      <c r="P1049" s="154" t="s">
        <v>424</v>
      </c>
      <c r="Q1049" s="154">
        <v>0.75</v>
      </c>
      <c r="R1049" s="154">
        <v>0.75</v>
      </c>
      <c r="S1049" s="154">
        <v>0.75</v>
      </c>
      <c r="T1049" s="154">
        <v>0.75</v>
      </c>
      <c r="U1049" s="154">
        <v>0.75</v>
      </c>
      <c r="V1049" s="154">
        <v>0.75</v>
      </c>
      <c r="W1049" s="154">
        <v>0.75</v>
      </c>
      <c r="X1049" s="154">
        <v>0.75</v>
      </c>
      <c r="Y1049" s="154">
        <v>0.75</v>
      </c>
      <c r="Z1049" s="154">
        <v>0.75</v>
      </c>
      <c r="AA1049" s="154">
        <v>0.75</v>
      </c>
      <c r="AB1049" s="154">
        <v>0.75</v>
      </c>
      <c r="AC1049" s="154">
        <v>0.75</v>
      </c>
      <c r="AD1049" s="154" t="s">
        <v>424</v>
      </c>
      <c r="AE1049" s="154">
        <v>0.75</v>
      </c>
      <c r="AF1049" s="154">
        <v>0.75</v>
      </c>
      <c r="AG1049" s="154">
        <v>0.75</v>
      </c>
      <c r="AH1049" s="154">
        <v>0.75</v>
      </c>
      <c r="AI1049" s="154">
        <v>0.75</v>
      </c>
      <c r="AJ1049" s="154">
        <v>0.75</v>
      </c>
      <c r="AK1049" s="154">
        <v>0.75</v>
      </c>
      <c r="AL1049" s="154" t="s">
        <v>424</v>
      </c>
      <c r="AM1049" cm="1">
        <f t="array" ref="AM1049">SUM(_xlfn.LET(_xlpm.r,((IFERROR(H1049:AL1049-H1048:AL1048,0))*24)/10,IF(_xlpm.r&gt;1,1,_xlpm.r)))</f>
        <v>28</v>
      </c>
    </row>
    <row r="1050" spans="1:41" hidden="1" x14ac:dyDescent="0.25">
      <c r="A1050">
        <v>1049</v>
      </c>
      <c r="B1050">
        <v>2025</v>
      </c>
      <c r="C1050">
        <v>8</v>
      </c>
      <c r="D1050" t="s">
        <v>616</v>
      </c>
      <c r="E1050">
        <v>102</v>
      </c>
      <c r="F1050">
        <v>1</v>
      </c>
      <c r="G1050" t="s">
        <v>534</v>
      </c>
      <c r="H1050" s="154" t="s">
        <v>424</v>
      </c>
      <c r="I1050" s="154" t="s">
        <v>424</v>
      </c>
      <c r="J1050" s="154" t="s">
        <v>424</v>
      </c>
      <c r="K1050" s="154" t="s">
        <v>424</v>
      </c>
      <c r="L1050" s="154" t="s">
        <v>424</v>
      </c>
      <c r="M1050" s="154" t="s">
        <v>424</v>
      </c>
      <c r="N1050" s="154" t="s">
        <v>424</v>
      </c>
      <c r="O1050" s="154" t="s">
        <v>424</v>
      </c>
      <c r="P1050" s="154" t="s">
        <v>424</v>
      </c>
      <c r="Q1050" s="154" t="s">
        <v>424</v>
      </c>
      <c r="R1050" s="154" t="s">
        <v>424</v>
      </c>
      <c r="S1050" s="154" t="s">
        <v>424</v>
      </c>
      <c r="T1050" s="154" t="s">
        <v>424</v>
      </c>
      <c r="U1050" s="154" t="s">
        <v>424</v>
      </c>
      <c r="V1050" s="154" t="s">
        <v>424</v>
      </c>
      <c r="W1050" s="154" t="s">
        <v>424</v>
      </c>
      <c r="X1050" s="154" t="s">
        <v>424</v>
      </c>
      <c r="Y1050" s="154" t="s">
        <v>424</v>
      </c>
      <c r="Z1050" s="154" t="s">
        <v>424</v>
      </c>
      <c r="AA1050" s="154" t="s">
        <v>424</v>
      </c>
      <c r="AB1050" s="154" t="s">
        <v>424</v>
      </c>
      <c r="AC1050" s="154" t="s">
        <v>424</v>
      </c>
      <c r="AD1050" s="154" t="s">
        <v>424</v>
      </c>
      <c r="AE1050" s="154" t="s">
        <v>424</v>
      </c>
      <c r="AF1050" s="154" t="s">
        <v>424</v>
      </c>
      <c r="AG1050" s="154" t="s">
        <v>424</v>
      </c>
      <c r="AH1050" s="154">
        <v>0.33333333333333331</v>
      </c>
      <c r="AI1050" s="154">
        <v>0.33333333333333331</v>
      </c>
      <c r="AJ1050" s="154">
        <v>0.33333333333333331</v>
      </c>
      <c r="AK1050" s="154">
        <v>0.33333333333333331</v>
      </c>
      <c r="AL1050" s="154">
        <v>0.33333333333333331</v>
      </c>
    </row>
    <row r="1051" spans="1:41" hidden="1" x14ac:dyDescent="0.25">
      <c r="A1051">
        <v>1050</v>
      </c>
      <c r="B1051">
        <v>2025</v>
      </c>
      <c r="C1051">
        <v>8</v>
      </c>
      <c r="D1051" t="s">
        <v>616</v>
      </c>
      <c r="E1051">
        <v>102</v>
      </c>
      <c r="F1051">
        <v>1</v>
      </c>
      <c r="G1051" t="s">
        <v>535</v>
      </c>
      <c r="H1051" s="154" t="s">
        <v>424</v>
      </c>
      <c r="I1051" s="154" t="s">
        <v>424</v>
      </c>
      <c r="J1051" s="154" t="s">
        <v>424</v>
      </c>
      <c r="K1051" s="154" t="s">
        <v>424</v>
      </c>
      <c r="L1051" s="154" t="s">
        <v>424</v>
      </c>
      <c r="M1051" s="154" t="s">
        <v>424</v>
      </c>
      <c r="N1051" s="154" t="s">
        <v>424</v>
      </c>
      <c r="O1051" s="154" t="s">
        <v>424</v>
      </c>
      <c r="P1051" s="154" t="s">
        <v>424</v>
      </c>
      <c r="Q1051" s="154" t="s">
        <v>424</v>
      </c>
      <c r="R1051" s="154" t="s">
        <v>424</v>
      </c>
      <c r="S1051" s="154" t="s">
        <v>424</v>
      </c>
      <c r="T1051" s="154" t="s">
        <v>424</v>
      </c>
      <c r="U1051" s="154" t="s">
        <v>424</v>
      </c>
      <c r="V1051" s="154" t="s">
        <v>424</v>
      </c>
      <c r="W1051" s="154" t="s">
        <v>424</v>
      </c>
      <c r="X1051" s="154" t="s">
        <v>424</v>
      </c>
      <c r="Y1051" s="154" t="s">
        <v>424</v>
      </c>
      <c r="Z1051" s="154" t="s">
        <v>424</v>
      </c>
      <c r="AA1051" s="154" t="s">
        <v>424</v>
      </c>
      <c r="AB1051" s="154" t="s">
        <v>424</v>
      </c>
      <c r="AC1051" s="154" t="s">
        <v>424</v>
      </c>
      <c r="AD1051" s="154" t="s">
        <v>424</v>
      </c>
      <c r="AE1051" s="154" t="s">
        <v>424</v>
      </c>
      <c r="AF1051" s="154" t="s">
        <v>424</v>
      </c>
      <c r="AG1051" s="154" t="s">
        <v>424</v>
      </c>
      <c r="AH1051" s="154">
        <v>0.75</v>
      </c>
      <c r="AI1051" s="154">
        <v>0.75</v>
      </c>
      <c r="AJ1051" s="154">
        <v>0.75</v>
      </c>
      <c r="AK1051" s="154">
        <v>0.75</v>
      </c>
      <c r="AL1051" s="154">
        <v>0.75</v>
      </c>
      <c r="AM1051" cm="1">
        <f t="array" ref="AM1051">SUM(_xlfn.LET(_xlpm.r,((IFERROR(H1051:AL1051-H1050:AL1050,0))*24)/10,IF(_xlpm.r&gt;1,1,_xlpm.r)))</f>
        <v>5</v>
      </c>
    </row>
    <row r="1052" spans="1:41" hidden="1" x14ac:dyDescent="0.25">
      <c r="A1052">
        <v>1051</v>
      </c>
      <c r="B1052">
        <v>2025</v>
      </c>
      <c r="C1052">
        <v>9</v>
      </c>
      <c r="D1052" t="s">
        <v>616</v>
      </c>
      <c r="E1052">
        <v>102</v>
      </c>
      <c r="F1052">
        <v>2</v>
      </c>
      <c r="G1052" t="s">
        <v>534</v>
      </c>
      <c r="H1052" s="154">
        <v>0.29166666666666669</v>
      </c>
      <c r="I1052" s="154">
        <v>0.29166666666666669</v>
      </c>
      <c r="J1052" s="154">
        <v>0.29166666666666669</v>
      </c>
      <c r="K1052" s="154">
        <v>0.29166666666666669</v>
      </c>
      <c r="L1052" s="154">
        <v>0.29166666666666669</v>
      </c>
      <c r="M1052" s="154">
        <v>0.29166666666666669</v>
      </c>
      <c r="N1052" s="154">
        <v>0.29166666666666669</v>
      </c>
      <c r="O1052" s="154" t="s">
        <v>424</v>
      </c>
      <c r="P1052" s="154">
        <v>0.29166666666666669</v>
      </c>
      <c r="Q1052" s="154">
        <v>0.29166666666666669</v>
      </c>
      <c r="R1052" s="154">
        <v>0.29166666666666669</v>
      </c>
      <c r="S1052" s="154">
        <v>0.29166666666666669</v>
      </c>
      <c r="T1052" s="154">
        <v>0.29166666666666669</v>
      </c>
      <c r="U1052" s="154">
        <v>0.29166666666666669</v>
      </c>
      <c r="V1052" s="154">
        <v>0.29166666666666669</v>
      </c>
      <c r="W1052" s="154">
        <v>0.29166666666666669</v>
      </c>
      <c r="X1052" s="154">
        <v>0.29166666666666669</v>
      </c>
      <c r="Y1052" s="154">
        <v>0.29166666666666669</v>
      </c>
      <c r="Z1052" s="154">
        <v>0.29166666666666669</v>
      </c>
      <c r="AA1052" s="154">
        <v>0.29166666666666669</v>
      </c>
      <c r="AB1052" s="154">
        <v>0.29166666666666669</v>
      </c>
      <c r="AC1052" s="154">
        <v>0.29166666666666669</v>
      </c>
      <c r="AD1052" s="154">
        <v>0.29166666666666669</v>
      </c>
      <c r="AE1052" s="154">
        <v>0.29166666666666669</v>
      </c>
      <c r="AF1052" s="154">
        <v>0.29166666666666669</v>
      </c>
      <c r="AG1052" s="154">
        <v>0.29166666666666669</v>
      </c>
      <c r="AH1052" s="154">
        <v>0.29166666666666669</v>
      </c>
      <c r="AI1052" s="154">
        <v>0.29166666666666669</v>
      </c>
      <c r="AJ1052" s="154">
        <v>0.29166666666666669</v>
      </c>
      <c r="AK1052" s="154">
        <v>0.29166666666666669</v>
      </c>
      <c r="AL1052" s="154" t="s">
        <v>424</v>
      </c>
    </row>
    <row r="1053" spans="1:41" hidden="1" x14ac:dyDescent="0.25">
      <c r="A1053">
        <v>1052</v>
      </c>
      <c r="B1053">
        <v>2025</v>
      </c>
      <c r="C1053">
        <v>9</v>
      </c>
      <c r="D1053" t="s">
        <v>616</v>
      </c>
      <c r="E1053">
        <v>102</v>
      </c>
      <c r="F1053">
        <v>2</v>
      </c>
      <c r="G1053" t="s">
        <v>535</v>
      </c>
      <c r="H1053" s="154">
        <v>0.75</v>
      </c>
      <c r="I1053" s="154">
        <v>0.75</v>
      </c>
      <c r="J1053" s="154">
        <v>0.75</v>
      </c>
      <c r="K1053" s="154">
        <v>0.75</v>
      </c>
      <c r="L1053" s="154">
        <v>0.75</v>
      </c>
      <c r="M1053" s="154">
        <v>0.75</v>
      </c>
      <c r="N1053" s="154">
        <v>0.875</v>
      </c>
      <c r="O1053" s="154" t="s">
        <v>424</v>
      </c>
      <c r="P1053" s="154">
        <v>0.91666666666666674</v>
      </c>
      <c r="Q1053" s="154">
        <v>0.91666666666666674</v>
      </c>
      <c r="R1053" s="154">
        <v>0.75</v>
      </c>
      <c r="S1053" s="154">
        <v>0.75</v>
      </c>
      <c r="T1053" s="154">
        <v>0.75</v>
      </c>
      <c r="U1053" s="154">
        <v>0.75</v>
      </c>
      <c r="V1053" s="154">
        <v>0.91666666666666674</v>
      </c>
      <c r="W1053" s="154">
        <v>0.91666666666666674</v>
      </c>
      <c r="X1053" s="154">
        <v>0.91666666666666674</v>
      </c>
      <c r="Y1053" s="154">
        <v>0.75</v>
      </c>
      <c r="Z1053" s="154">
        <v>0.91666666666666674</v>
      </c>
      <c r="AA1053" s="154">
        <v>0.91666666666666674</v>
      </c>
      <c r="AB1053" s="154">
        <v>0.91666666666666674</v>
      </c>
      <c r="AC1053" s="154">
        <v>0.75</v>
      </c>
      <c r="AD1053" s="154">
        <v>0.75</v>
      </c>
      <c r="AE1053" s="154">
        <v>0.91666666666666674</v>
      </c>
      <c r="AF1053" s="154">
        <v>0.91666666666666674</v>
      </c>
      <c r="AG1053" s="154">
        <v>0.75</v>
      </c>
      <c r="AH1053" s="154">
        <v>0.75</v>
      </c>
      <c r="AI1053" s="154">
        <v>0.75</v>
      </c>
      <c r="AJ1053" s="154">
        <v>0.75</v>
      </c>
      <c r="AK1053" s="154">
        <v>0.75</v>
      </c>
      <c r="AL1053" s="154" t="s">
        <v>424</v>
      </c>
      <c r="AM1053" cm="1">
        <f t="array" ref="AM1053">SUM(_xlfn.LET(_xlpm.r,((IFERROR(H1053:AL1053-H1052:AL1052,0))*24)/10,IF(_xlpm.r&gt;1,1,_xlpm.r)))</f>
        <v>29</v>
      </c>
      <c r="AO1053" cm="1">
        <f t="array" ref="AO1053">SUM(IFERROR(ROUND((_xlfn.LET(_xlpm.e,H1053:AL1053,_xlpm.s,H1052:AL1052,IF(_xlpm.e&lt;_xlpm.s,1,0)+_xlpm.e-_xlpm.s))*24-11,0),""))</f>
        <v>43</v>
      </c>
    </row>
    <row r="1054" spans="1:41" hidden="1" x14ac:dyDescent="0.25">
      <c r="A1054">
        <v>1053</v>
      </c>
      <c r="B1054">
        <v>2025</v>
      </c>
      <c r="C1054">
        <v>9</v>
      </c>
      <c r="D1054" t="s">
        <v>600</v>
      </c>
      <c r="E1054">
        <v>102</v>
      </c>
      <c r="F1054">
        <v>2</v>
      </c>
      <c r="G1054" t="s">
        <v>534</v>
      </c>
      <c r="H1054" s="154">
        <v>0.29166666666666669</v>
      </c>
      <c r="I1054" s="154">
        <v>0.29166666666666669</v>
      </c>
      <c r="J1054" s="154">
        <v>0.29166666666666669</v>
      </c>
      <c r="K1054" s="154">
        <v>0.29166666666666669</v>
      </c>
      <c r="L1054" s="154">
        <v>0.29166666666666669</v>
      </c>
      <c r="M1054" s="154">
        <v>0.29166666666666669</v>
      </c>
      <c r="N1054" s="154">
        <v>0.29166666666666669</v>
      </c>
      <c r="O1054" s="154" t="s">
        <v>424</v>
      </c>
      <c r="P1054" s="154">
        <v>0.29166666666666669</v>
      </c>
      <c r="Q1054" s="154">
        <v>0.29166666666666669</v>
      </c>
      <c r="R1054" s="154">
        <v>0.29166666666666669</v>
      </c>
      <c r="S1054" s="154">
        <v>0.29166666666666669</v>
      </c>
      <c r="T1054" s="154">
        <v>0.29166666666666669</v>
      </c>
      <c r="U1054" s="154">
        <v>0.29166666666666669</v>
      </c>
      <c r="V1054" s="154">
        <v>0.29166666666666669</v>
      </c>
      <c r="W1054" s="154">
        <v>0.29166666666666669</v>
      </c>
      <c r="X1054" s="154">
        <v>0.29166666666666669</v>
      </c>
      <c r="Y1054" s="154">
        <v>0.29166666666666669</v>
      </c>
      <c r="Z1054" s="154">
        <v>0.29166666666666669</v>
      </c>
      <c r="AA1054" s="154">
        <v>0.29166666666666669</v>
      </c>
      <c r="AB1054" s="154">
        <v>0.29166666666666669</v>
      </c>
      <c r="AC1054" s="154">
        <v>0.29166666666666669</v>
      </c>
      <c r="AD1054" s="154">
        <v>0.29166666666666669</v>
      </c>
      <c r="AE1054" s="154">
        <v>0.29166666666666669</v>
      </c>
      <c r="AF1054" s="154">
        <v>0.29166666666666669</v>
      </c>
      <c r="AG1054" s="154">
        <v>0.29166666666666669</v>
      </c>
      <c r="AH1054" s="154">
        <v>0.29166666666666669</v>
      </c>
      <c r="AI1054" s="154">
        <v>0.29166666666666669</v>
      </c>
      <c r="AJ1054" s="154">
        <v>0.29166666666666669</v>
      </c>
      <c r="AK1054" s="154">
        <v>0.29166666666666669</v>
      </c>
      <c r="AL1054" s="154" t="s">
        <v>424</v>
      </c>
    </row>
    <row r="1055" spans="1:41" hidden="1" x14ac:dyDescent="0.25">
      <c r="A1055">
        <v>1054</v>
      </c>
      <c r="B1055">
        <v>2025</v>
      </c>
      <c r="C1055">
        <v>9</v>
      </c>
      <c r="D1055" t="s">
        <v>600</v>
      </c>
      <c r="E1055">
        <v>102</v>
      </c>
      <c r="F1055">
        <v>2</v>
      </c>
      <c r="G1055" t="s">
        <v>535</v>
      </c>
      <c r="H1055" s="154">
        <v>0.75</v>
      </c>
      <c r="I1055" s="154">
        <v>0.75</v>
      </c>
      <c r="J1055" s="154">
        <v>0.75</v>
      </c>
      <c r="K1055" s="154">
        <v>0.75</v>
      </c>
      <c r="L1055" s="154">
        <v>0.95833333333333326</v>
      </c>
      <c r="M1055" s="154">
        <v>1.1666666666666667</v>
      </c>
      <c r="N1055" s="154">
        <v>0.95833333333333326</v>
      </c>
      <c r="O1055" s="154" t="s">
        <v>424</v>
      </c>
      <c r="P1055" s="154">
        <v>1.1666666666666667</v>
      </c>
      <c r="Q1055" s="154">
        <v>0.95833333333333326</v>
      </c>
      <c r="R1055" s="154">
        <v>0.75</v>
      </c>
      <c r="S1055" s="154">
        <v>0.75</v>
      </c>
      <c r="T1055" s="154">
        <v>0.75</v>
      </c>
      <c r="U1055" s="154">
        <v>0.75</v>
      </c>
      <c r="V1055" s="154">
        <v>0.75</v>
      </c>
      <c r="W1055" s="154">
        <v>0.95833333333333326</v>
      </c>
      <c r="X1055" s="154">
        <v>0.75</v>
      </c>
      <c r="Y1055" s="154">
        <v>0.75</v>
      </c>
      <c r="Z1055" s="154">
        <v>0.95833333333333326</v>
      </c>
      <c r="AA1055" s="154">
        <v>0.75</v>
      </c>
      <c r="AB1055" s="154">
        <v>0.95833333333333326</v>
      </c>
      <c r="AC1055" s="154">
        <v>0.95833333333333326</v>
      </c>
      <c r="AD1055" s="154">
        <v>0.95833333333333326</v>
      </c>
      <c r="AE1055" s="154">
        <v>0.75</v>
      </c>
      <c r="AF1055" s="154">
        <v>0.95833333333333326</v>
      </c>
      <c r="AG1055" s="154">
        <v>0.75</v>
      </c>
      <c r="AH1055" s="154">
        <v>0.75</v>
      </c>
      <c r="AI1055" s="154">
        <v>0.75</v>
      </c>
      <c r="AJ1055" s="154">
        <v>0.75</v>
      </c>
      <c r="AK1055" s="154">
        <v>0.75</v>
      </c>
      <c r="AL1055" s="154" t="s">
        <v>424</v>
      </c>
      <c r="AM1055" cm="1">
        <f t="array" ref="AM1055">SUM(_xlfn.LET(_xlpm.r,((IFERROR(H1055:AL1055-H1054:AL1054,0))*24)/10,IF(_xlpm.r&gt;1,1,_xlpm.r)))</f>
        <v>29</v>
      </c>
      <c r="AO1055" cm="1">
        <f t="array" ref="AO1055">SUM(IFERROR(ROUND((_xlfn.LET(_xlpm.e,H1055:AL1055,_xlpm.s,H1054:AL1054,IF(_xlpm.e&lt;_xlpm.s,1,0)+_xlpm.e-_xlpm.s))*24-11,0),""))</f>
        <v>65</v>
      </c>
    </row>
    <row r="1056" spans="1:41" hidden="1" x14ac:dyDescent="0.25">
      <c r="A1056">
        <v>1055</v>
      </c>
      <c r="B1056">
        <v>2025</v>
      </c>
      <c r="C1056">
        <v>10</v>
      </c>
      <c r="D1056" t="s">
        <v>616</v>
      </c>
      <c r="E1056">
        <v>102</v>
      </c>
      <c r="F1056">
        <v>3</v>
      </c>
      <c r="G1056" t="s">
        <v>534</v>
      </c>
      <c r="H1056" s="154">
        <v>0.29166666666666669</v>
      </c>
      <c r="I1056" s="154">
        <v>0.29166666666666669</v>
      </c>
      <c r="J1056" s="154">
        <v>0.29166666666666669</v>
      </c>
      <c r="K1056" s="154">
        <v>0.29166666666666669</v>
      </c>
      <c r="L1056" s="154">
        <v>0.29166666666666669</v>
      </c>
      <c r="M1056" s="154">
        <v>0.29166666666666669</v>
      </c>
      <c r="N1056" s="154">
        <v>0.29166666666666669</v>
      </c>
      <c r="O1056" s="154">
        <v>0.29166666666666669</v>
      </c>
      <c r="P1056" s="154">
        <v>0.29166666666666669</v>
      </c>
      <c r="Q1056" s="154">
        <v>0.29166666666666669</v>
      </c>
      <c r="R1056" s="154">
        <v>0.29166666666666669</v>
      </c>
      <c r="S1056" s="154">
        <v>0.29166666666666669</v>
      </c>
      <c r="T1056" s="154">
        <v>0.29166666666666669</v>
      </c>
      <c r="U1056" s="154">
        <v>0.29166666666666669</v>
      </c>
      <c r="V1056" s="154">
        <v>0.29166666666666669</v>
      </c>
      <c r="W1056" s="154">
        <v>0.29166666666666669</v>
      </c>
      <c r="X1056" s="154">
        <v>0.29166666666666669</v>
      </c>
      <c r="Y1056" s="154">
        <v>0.29166666666666669</v>
      </c>
      <c r="Z1056" s="154">
        <v>0.29166666666666669</v>
      </c>
      <c r="AA1056" s="154">
        <v>0.29166666666666669</v>
      </c>
      <c r="AB1056" s="154">
        <v>0.29166666666666669</v>
      </c>
      <c r="AC1056" s="154">
        <v>0.29166666666666669</v>
      </c>
      <c r="AD1056" s="154">
        <v>0.29166666666666669</v>
      </c>
      <c r="AE1056" s="154">
        <v>0.29166666666666669</v>
      </c>
      <c r="AF1056" s="154">
        <v>0.29166666666666669</v>
      </c>
      <c r="AG1056" s="154">
        <v>0.29166666666666669</v>
      </c>
      <c r="AH1056" s="154">
        <v>0.29166666666666669</v>
      </c>
      <c r="AI1056" s="154">
        <v>0.29166666666666669</v>
      </c>
      <c r="AJ1056" s="154">
        <v>0.29166666666666669</v>
      </c>
      <c r="AK1056" s="154">
        <v>0.29166666666666669</v>
      </c>
      <c r="AL1056" s="154">
        <v>0.29166666666666669</v>
      </c>
    </row>
    <row r="1057" spans="1:41" hidden="1" x14ac:dyDescent="0.25">
      <c r="A1057">
        <v>1056</v>
      </c>
      <c r="B1057">
        <v>2025</v>
      </c>
      <c r="C1057">
        <v>10</v>
      </c>
      <c r="D1057" t="s">
        <v>616</v>
      </c>
      <c r="E1057">
        <v>102</v>
      </c>
      <c r="F1057">
        <v>3</v>
      </c>
      <c r="G1057" t="s">
        <v>535</v>
      </c>
      <c r="H1057" s="154">
        <v>0.75</v>
      </c>
      <c r="I1057" s="154">
        <v>0.75</v>
      </c>
      <c r="J1057" s="154">
        <v>0.75</v>
      </c>
      <c r="K1057" s="154">
        <v>0.75</v>
      </c>
      <c r="L1057" s="154">
        <v>0.75</v>
      </c>
      <c r="M1057" s="154">
        <v>0.75</v>
      </c>
      <c r="N1057" s="154">
        <v>0.75</v>
      </c>
      <c r="O1057" s="154">
        <v>0.75</v>
      </c>
      <c r="P1057" s="154">
        <v>0.75</v>
      </c>
      <c r="Q1057" s="154">
        <v>0.75</v>
      </c>
      <c r="R1057" s="154">
        <v>0.75</v>
      </c>
      <c r="S1057" s="154">
        <v>0.75</v>
      </c>
      <c r="T1057" s="154">
        <v>0.75</v>
      </c>
      <c r="U1057" s="154">
        <v>0.75</v>
      </c>
      <c r="V1057" s="154">
        <v>0.75</v>
      </c>
      <c r="W1057" s="154">
        <v>0.75</v>
      </c>
      <c r="X1057" s="154">
        <v>0.75</v>
      </c>
      <c r="Y1057" s="154">
        <v>0.75</v>
      </c>
      <c r="Z1057" s="154">
        <v>0.75</v>
      </c>
      <c r="AA1057" s="154">
        <v>0.75</v>
      </c>
      <c r="AB1057" s="154">
        <v>0.75</v>
      </c>
      <c r="AC1057" s="154">
        <v>0.75</v>
      </c>
      <c r="AD1057" s="154">
        <v>0.75</v>
      </c>
      <c r="AE1057" s="154">
        <v>0.75</v>
      </c>
      <c r="AF1057" s="154">
        <v>0.75</v>
      </c>
      <c r="AG1057" s="154">
        <v>0.75</v>
      </c>
      <c r="AH1057" s="154">
        <v>0.75</v>
      </c>
      <c r="AI1057" s="154">
        <v>0.75</v>
      </c>
      <c r="AJ1057" s="154">
        <v>0.75</v>
      </c>
      <c r="AK1057" s="154">
        <v>0.75</v>
      </c>
      <c r="AL1057" s="154">
        <v>0.75</v>
      </c>
      <c r="AM1057" cm="1">
        <f t="array" ref="AM1057">SUM(_xlfn.LET(_xlpm.r,((IFERROR(H1057:AL1057-H1056:AL1056,0))*24)/10,IF(_xlpm.r&gt;1,1,_xlpm.r)))</f>
        <v>31</v>
      </c>
    </row>
    <row r="1058" spans="1:41" hidden="1" x14ac:dyDescent="0.25">
      <c r="A1058">
        <v>1057</v>
      </c>
      <c r="B1058">
        <v>2025</v>
      </c>
      <c r="C1058">
        <v>10</v>
      </c>
      <c r="D1058" t="s">
        <v>600</v>
      </c>
      <c r="E1058">
        <v>102</v>
      </c>
      <c r="F1058">
        <v>3</v>
      </c>
      <c r="G1058" t="s">
        <v>534</v>
      </c>
      <c r="H1058" s="154">
        <v>0.29166666666666669</v>
      </c>
      <c r="I1058" s="154">
        <v>0.29166666666666669</v>
      </c>
      <c r="J1058" s="154">
        <v>0.29166666666666669</v>
      </c>
      <c r="K1058" s="154">
        <v>0.29166666666666669</v>
      </c>
      <c r="L1058" s="154">
        <v>0.29166666666666669</v>
      </c>
      <c r="M1058" s="154">
        <v>0.29166666666666669</v>
      </c>
      <c r="N1058" s="154">
        <v>0.29166666666666669</v>
      </c>
      <c r="O1058" s="154">
        <v>0.29166666666666669</v>
      </c>
      <c r="P1058" s="154">
        <v>0.29166666666666669</v>
      </c>
      <c r="Q1058" s="154">
        <v>0.29166666666666669</v>
      </c>
      <c r="R1058" s="154">
        <v>0.29166666666666669</v>
      </c>
      <c r="S1058" s="154">
        <v>0.29166666666666669</v>
      </c>
      <c r="T1058" s="154">
        <v>0.29166666666666669</v>
      </c>
      <c r="U1058" s="154">
        <v>0.29166666666666669</v>
      </c>
      <c r="V1058" s="154">
        <v>0.29166666666666669</v>
      </c>
      <c r="W1058" s="154">
        <v>0.29166666666666669</v>
      </c>
      <c r="X1058" s="154">
        <v>0.29166666666666669</v>
      </c>
      <c r="Y1058" s="154">
        <v>0.29166666666666669</v>
      </c>
      <c r="Z1058" s="154">
        <v>0.29166666666666669</v>
      </c>
      <c r="AA1058" s="154">
        <v>0.29166666666666669</v>
      </c>
      <c r="AB1058" s="154">
        <v>0.29166666666666669</v>
      </c>
      <c r="AC1058" s="154">
        <v>0.29166666666666669</v>
      </c>
      <c r="AD1058" s="154">
        <v>0.29166666666666669</v>
      </c>
      <c r="AE1058" s="154">
        <v>0.29166666666666669</v>
      </c>
      <c r="AF1058" s="154">
        <v>0.29166666666666669</v>
      </c>
      <c r="AG1058" s="154">
        <v>0.29166666666666669</v>
      </c>
      <c r="AH1058" s="154">
        <v>0.29166666666666669</v>
      </c>
      <c r="AI1058" s="154">
        <v>0.29166666666666669</v>
      </c>
      <c r="AJ1058" s="154">
        <v>0.29166666666666669</v>
      </c>
      <c r="AK1058" s="154">
        <v>0.29166666666666669</v>
      </c>
      <c r="AL1058" s="154">
        <v>0.29166666666666669</v>
      </c>
    </row>
    <row r="1059" spans="1:41" hidden="1" x14ac:dyDescent="0.25">
      <c r="A1059">
        <v>1058</v>
      </c>
      <c r="B1059">
        <v>2025</v>
      </c>
      <c r="C1059">
        <v>10</v>
      </c>
      <c r="D1059" t="s">
        <v>600</v>
      </c>
      <c r="E1059">
        <v>102</v>
      </c>
      <c r="F1059">
        <v>3</v>
      </c>
      <c r="G1059" t="s">
        <v>535</v>
      </c>
      <c r="H1059" s="154">
        <v>0.75</v>
      </c>
      <c r="I1059" s="154">
        <v>0.95833333333333326</v>
      </c>
      <c r="J1059" s="154">
        <v>0.75</v>
      </c>
      <c r="K1059" s="154">
        <v>0.91666666666666674</v>
      </c>
      <c r="L1059" s="154">
        <v>0.75</v>
      </c>
      <c r="M1059" s="154">
        <v>1</v>
      </c>
      <c r="N1059" s="154">
        <v>0.875</v>
      </c>
      <c r="O1059" s="154">
        <v>0.75</v>
      </c>
      <c r="P1059" s="154">
        <v>0.83333333333333326</v>
      </c>
      <c r="Q1059" s="154">
        <v>0.95833333333333326</v>
      </c>
      <c r="R1059" s="154">
        <v>0.75</v>
      </c>
      <c r="S1059" s="154">
        <v>0.95833333333333326</v>
      </c>
      <c r="T1059" s="154">
        <v>0.75</v>
      </c>
      <c r="U1059" s="154">
        <v>0.875</v>
      </c>
      <c r="V1059" s="154">
        <v>0.95833333333333326</v>
      </c>
      <c r="W1059" s="154">
        <v>0.75</v>
      </c>
      <c r="X1059" s="154">
        <v>0.75</v>
      </c>
      <c r="Y1059" s="154">
        <v>0.75</v>
      </c>
      <c r="Z1059" s="154">
        <v>0.75</v>
      </c>
      <c r="AA1059" s="154">
        <v>0.75</v>
      </c>
      <c r="AB1059" s="154">
        <v>0.75</v>
      </c>
      <c r="AC1059" s="154">
        <v>0.875</v>
      </c>
      <c r="AD1059" s="154">
        <v>0.79166666666666674</v>
      </c>
      <c r="AE1059" s="154">
        <v>0.875</v>
      </c>
      <c r="AF1059" s="154">
        <v>0.875</v>
      </c>
      <c r="AG1059" s="154">
        <v>0.75</v>
      </c>
      <c r="AH1059" s="154">
        <v>0.75</v>
      </c>
      <c r="AI1059" s="154">
        <v>0.875</v>
      </c>
      <c r="AJ1059" s="154">
        <v>0.91666666666666674</v>
      </c>
      <c r="AK1059" s="154">
        <v>0.75</v>
      </c>
      <c r="AL1059" s="154">
        <v>0.75</v>
      </c>
      <c r="AM1059" cm="1">
        <f t="array" ref="AM1059">SUM(_xlfn.LET(_xlpm.r,((IFERROR(H1059:AL1059-H1058:AL1058,0))*24)/10,IF(_xlpm.r&gt;1,1,_xlpm.r)))</f>
        <v>31</v>
      </c>
      <c r="AO1059" cm="1">
        <f t="array" ref="AO1059">SUM(IFERROR(ROUND((_xlfn.LET(_xlpm.e,H1059:AL1059,_xlpm.s,H1058:AL1058,IF(_xlpm.e&lt;_xlpm.s,1,0)+_xlpm.e-_xlpm.s))*24-11,0),""))</f>
        <v>55</v>
      </c>
    </row>
    <row r="1060" spans="1:41" hidden="1" x14ac:dyDescent="0.25">
      <c r="A1060">
        <v>1059</v>
      </c>
      <c r="B1060">
        <v>2025</v>
      </c>
      <c r="C1060">
        <v>10</v>
      </c>
      <c r="D1060" t="s">
        <v>598</v>
      </c>
      <c r="E1060">
        <v>102</v>
      </c>
      <c r="F1060">
        <v>3</v>
      </c>
      <c r="G1060" t="s">
        <v>534</v>
      </c>
      <c r="H1060" s="154">
        <v>0.29166666666666669</v>
      </c>
      <c r="I1060" s="154">
        <v>0.29166666666666669</v>
      </c>
      <c r="J1060" s="154">
        <v>0.29166666666666669</v>
      </c>
      <c r="K1060" s="154">
        <v>0.29166666666666669</v>
      </c>
      <c r="L1060" s="154">
        <v>0.29166666666666669</v>
      </c>
      <c r="M1060" s="154">
        <v>0.29166666666666669</v>
      </c>
      <c r="N1060" s="154">
        <v>0.29166666666666669</v>
      </c>
      <c r="O1060" s="154">
        <v>0.29166666666666669</v>
      </c>
      <c r="P1060" s="154">
        <v>0.29166666666666669</v>
      </c>
      <c r="Q1060" s="154">
        <v>0.29166666666666669</v>
      </c>
      <c r="R1060" s="154">
        <v>0.29166666666666669</v>
      </c>
      <c r="S1060" s="154">
        <v>0.29166666666666669</v>
      </c>
      <c r="T1060" s="154">
        <v>0.29166666666666669</v>
      </c>
      <c r="U1060" s="154">
        <v>0.29166666666666669</v>
      </c>
      <c r="V1060" s="154">
        <v>0.29166666666666669</v>
      </c>
      <c r="W1060" s="154">
        <v>0.29166666666666669</v>
      </c>
      <c r="X1060" s="154">
        <v>0.29166666666666669</v>
      </c>
      <c r="Y1060" s="154">
        <v>0.29166666666666669</v>
      </c>
      <c r="Z1060" s="154">
        <v>0.29166666666666669</v>
      </c>
      <c r="AA1060" s="154">
        <v>0.29166666666666669</v>
      </c>
      <c r="AB1060" s="154">
        <v>0.29166666666666669</v>
      </c>
      <c r="AC1060" s="154">
        <v>0.29166666666666669</v>
      </c>
      <c r="AD1060" s="154">
        <v>0.29166666666666669</v>
      </c>
      <c r="AE1060" s="154">
        <v>0.29166666666666669</v>
      </c>
      <c r="AF1060" s="154">
        <v>0.29166666666666669</v>
      </c>
      <c r="AG1060" s="154">
        <v>0.29166666666666669</v>
      </c>
      <c r="AH1060" s="154">
        <v>0.29166666666666669</v>
      </c>
      <c r="AI1060" s="154">
        <v>0.29166666666666669</v>
      </c>
      <c r="AJ1060" s="154">
        <v>0.29166666666666669</v>
      </c>
      <c r="AK1060" s="154">
        <v>0.29166666666666669</v>
      </c>
      <c r="AL1060" s="154">
        <v>0.29166666666666669</v>
      </c>
    </row>
    <row r="1061" spans="1:41" hidden="1" x14ac:dyDescent="0.25">
      <c r="A1061">
        <v>1060</v>
      </c>
      <c r="B1061">
        <v>2025</v>
      </c>
      <c r="C1061">
        <v>10</v>
      </c>
      <c r="D1061" t="s">
        <v>598</v>
      </c>
      <c r="E1061">
        <v>102</v>
      </c>
      <c r="F1061">
        <v>3</v>
      </c>
      <c r="G1061" t="s">
        <v>535</v>
      </c>
      <c r="H1061" s="154">
        <v>0.75</v>
      </c>
      <c r="I1061" s="154">
        <v>0.75</v>
      </c>
      <c r="J1061" s="154">
        <v>0.75</v>
      </c>
      <c r="K1061" s="154">
        <v>0.75</v>
      </c>
      <c r="L1061" s="154">
        <v>0.75</v>
      </c>
      <c r="M1061" s="154">
        <v>0.75</v>
      </c>
      <c r="N1061" s="154">
        <v>0.75</v>
      </c>
      <c r="O1061" s="154">
        <v>0.75</v>
      </c>
      <c r="P1061" s="154">
        <v>0.75</v>
      </c>
      <c r="Q1061" s="154">
        <v>0.75</v>
      </c>
      <c r="R1061" s="154">
        <v>0.75</v>
      </c>
      <c r="S1061" s="154">
        <v>0.75</v>
      </c>
      <c r="T1061" s="154">
        <v>0.75</v>
      </c>
      <c r="U1061" s="154">
        <v>0.75</v>
      </c>
      <c r="V1061" s="154">
        <v>0.75</v>
      </c>
      <c r="W1061" s="154">
        <v>0.75</v>
      </c>
      <c r="X1061" s="154">
        <v>0.75</v>
      </c>
      <c r="Y1061" s="154">
        <v>0.75</v>
      </c>
      <c r="Z1061" s="154">
        <v>0.75</v>
      </c>
      <c r="AA1061" s="154">
        <v>0.75</v>
      </c>
      <c r="AB1061" s="154">
        <v>0.75</v>
      </c>
      <c r="AC1061" s="154">
        <v>0.75</v>
      </c>
      <c r="AD1061" s="154">
        <v>0.75</v>
      </c>
      <c r="AE1061" s="154">
        <v>0.75</v>
      </c>
      <c r="AF1061" s="154">
        <v>0.75</v>
      </c>
      <c r="AG1061" s="154">
        <v>0.75</v>
      </c>
      <c r="AH1061" s="154">
        <v>0.75</v>
      </c>
      <c r="AI1061" s="154">
        <v>0.75</v>
      </c>
      <c r="AJ1061" s="154">
        <v>0.75</v>
      </c>
      <c r="AK1061" s="154">
        <v>0.75</v>
      </c>
      <c r="AL1061" s="154">
        <v>0.75</v>
      </c>
      <c r="AM1061" cm="1">
        <f t="array" ref="AM1061">SUM(_xlfn.LET(_xlpm.r,((IFERROR(H1061:AL1061-H1060:AL1060,0))*24)/10,IF(_xlpm.r&gt;1,1,_xlpm.r)))</f>
        <v>31</v>
      </c>
      <c r="AO1061" cm="1">
        <f t="array" ref="AO1061">SUM(IFERROR(ROUND((_xlfn.LET(_xlpm.e,H1061:AL1061,_xlpm.s,H1060:AL1060,IF(_xlpm.e&lt;_xlpm.s,1,0)+_xlpm.e-_xlpm.s))*24-11,0),""))</f>
        <v>0</v>
      </c>
    </row>
    <row r="1062" spans="1:41" hidden="1" x14ac:dyDescent="0.25">
      <c r="A1062">
        <v>1061</v>
      </c>
      <c r="B1062">
        <v>2025</v>
      </c>
      <c r="C1062">
        <v>11</v>
      </c>
      <c r="D1062" t="s">
        <v>616</v>
      </c>
      <c r="E1062">
        <v>102</v>
      </c>
      <c r="F1062">
        <v>4</v>
      </c>
      <c r="G1062" t="s">
        <v>534</v>
      </c>
      <c r="H1062" s="154">
        <v>0.29166666666666669</v>
      </c>
      <c r="I1062" s="154">
        <v>0.29166666666666669</v>
      </c>
      <c r="J1062" s="154">
        <v>0.29166666666666669</v>
      </c>
      <c r="K1062" s="154">
        <v>0.29166666666666669</v>
      </c>
      <c r="L1062" s="154">
        <v>0.29166666666666669</v>
      </c>
      <c r="M1062" s="154">
        <v>0.29166666666666669</v>
      </c>
      <c r="N1062" s="154">
        <v>0.29166666666666669</v>
      </c>
      <c r="O1062" s="154">
        <v>0.29166666666666669</v>
      </c>
      <c r="P1062" s="154" t="s">
        <v>424</v>
      </c>
      <c r="Q1062" s="154" t="s">
        <v>424</v>
      </c>
      <c r="R1062" s="154">
        <v>0.29166666666666669</v>
      </c>
      <c r="S1062" s="154">
        <v>0.29166666666666669</v>
      </c>
      <c r="T1062" s="154">
        <v>0.29166666666666669</v>
      </c>
      <c r="U1062" s="154">
        <v>0.29166666666666669</v>
      </c>
      <c r="V1062" s="154">
        <v>0.29166666666666669</v>
      </c>
      <c r="W1062" s="154">
        <v>0.29166666666666669</v>
      </c>
      <c r="X1062" s="154">
        <v>0.29166666666666669</v>
      </c>
      <c r="Y1062" s="154">
        <v>0.29166666666666669</v>
      </c>
      <c r="Z1062" s="154">
        <v>0.29166666666666669</v>
      </c>
      <c r="AA1062" s="154">
        <v>0.29166666666666669</v>
      </c>
      <c r="AB1062" s="154">
        <v>0.29166666666666669</v>
      </c>
      <c r="AC1062" s="154" t="s">
        <v>424</v>
      </c>
      <c r="AD1062" s="154" t="s">
        <v>424</v>
      </c>
      <c r="AE1062" s="154" t="s">
        <v>424</v>
      </c>
      <c r="AF1062" s="154" t="s">
        <v>424</v>
      </c>
      <c r="AG1062" s="154" t="s">
        <v>424</v>
      </c>
      <c r="AH1062" s="154" t="s">
        <v>424</v>
      </c>
      <c r="AI1062" s="154" t="s">
        <v>424</v>
      </c>
      <c r="AJ1062" s="154" t="s">
        <v>424</v>
      </c>
      <c r="AK1062" s="154" t="s">
        <v>424</v>
      </c>
      <c r="AL1062" s="154" t="s">
        <v>424</v>
      </c>
    </row>
    <row r="1063" spans="1:41" hidden="1" x14ac:dyDescent="0.25">
      <c r="A1063">
        <v>1062</v>
      </c>
      <c r="B1063">
        <v>2025</v>
      </c>
      <c r="C1063">
        <v>11</v>
      </c>
      <c r="D1063" t="s">
        <v>616</v>
      </c>
      <c r="E1063">
        <v>102</v>
      </c>
      <c r="F1063">
        <v>4</v>
      </c>
      <c r="G1063" t="s">
        <v>535</v>
      </c>
      <c r="H1063" s="154">
        <v>0.75</v>
      </c>
      <c r="I1063" s="154">
        <v>0.75</v>
      </c>
      <c r="J1063" s="154">
        <v>0.75</v>
      </c>
      <c r="K1063" s="154">
        <v>0.75</v>
      </c>
      <c r="L1063" s="154">
        <v>0.75</v>
      </c>
      <c r="M1063" s="154">
        <v>0.75</v>
      </c>
      <c r="N1063" s="154">
        <v>0.75</v>
      </c>
      <c r="O1063" s="154">
        <v>0.75</v>
      </c>
      <c r="P1063" s="154" t="s">
        <v>424</v>
      </c>
      <c r="Q1063" s="154" t="s">
        <v>424</v>
      </c>
      <c r="R1063" s="154">
        <v>0.75</v>
      </c>
      <c r="S1063" s="154">
        <v>0.75</v>
      </c>
      <c r="T1063" s="154">
        <v>0.75</v>
      </c>
      <c r="U1063" s="154">
        <v>0.75</v>
      </c>
      <c r="V1063" s="154">
        <v>0.75</v>
      </c>
      <c r="W1063" s="154">
        <v>0.75</v>
      </c>
      <c r="X1063" s="154">
        <v>0.75</v>
      </c>
      <c r="Y1063" s="154">
        <v>0.75</v>
      </c>
      <c r="Z1063" s="154">
        <v>0.75</v>
      </c>
      <c r="AA1063" s="154">
        <v>0.75</v>
      </c>
      <c r="AB1063" s="154">
        <v>0.75</v>
      </c>
      <c r="AC1063" s="154" t="s">
        <v>424</v>
      </c>
      <c r="AD1063" s="154" t="s">
        <v>424</v>
      </c>
      <c r="AE1063" s="154" t="s">
        <v>424</v>
      </c>
      <c r="AF1063" s="154" t="s">
        <v>424</v>
      </c>
      <c r="AG1063" s="154" t="s">
        <v>424</v>
      </c>
      <c r="AH1063" s="154" t="s">
        <v>424</v>
      </c>
      <c r="AI1063" s="154" t="s">
        <v>424</v>
      </c>
      <c r="AJ1063" s="154" t="s">
        <v>424</v>
      </c>
      <c r="AK1063" s="154" t="s">
        <v>424</v>
      </c>
      <c r="AL1063" s="154" t="s">
        <v>424</v>
      </c>
      <c r="AM1063" cm="1">
        <f t="array" ref="AM1063">SUM(_xlfn.LET(_xlpm.r,((IFERROR(H1063:AL1063-H1062:AL1062,0))*24)/10,IF(_xlpm.r&gt;1,1,_xlpm.r)))</f>
        <v>19</v>
      </c>
    </row>
    <row r="1064" spans="1:41" hidden="1" x14ac:dyDescent="0.25">
      <c r="A1064">
        <v>1063</v>
      </c>
      <c r="B1064">
        <v>2025</v>
      </c>
      <c r="C1064">
        <v>11</v>
      </c>
      <c r="D1064" t="s">
        <v>600</v>
      </c>
      <c r="E1064">
        <v>102</v>
      </c>
      <c r="F1064">
        <v>4</v>
      </c>
      <c r="G1064" t="s">
        <v>534</v>
      </c>
      <c r="H1064" s="154">
        <v>0.29166666666666669</v>
      </c>
      <c r="I1064" s="154">
        <v>0.29166666666666669</v>
      </c>
      <c r="J1064" s="154">
        <v>0.29166666666666669</v>
      </c>
      <c r="K1064" s="154">
        <v>0.29166666666666669</v>
      </c>
      <c r="L1064" s="154">
        <v>0.29166666666666669</v>
      </c>
      <c r="M1064" s="154">
        <v>0.29166666666666669</v>
      </c>
      <c r="N1064" s="154">
        <v>0.29166666666666669</v>
      </c>
      <c r="O1064" s="154">
        <v>0.29166666666666669</v>
      </c>
      <c r="P1064" s="154" t="s">
        <v>424</v>
      </c>
      <c r="Q1064" s="154">
        <v>0.29166666666666669</v>
      </c>
      <c r="R1064" s="154">
        <v>0.29166666666666669</v>
      </c>
      <c r="S1064" s="154">
        <v>0.29166666666666669</v>
      </c>
      <c r="T1064" s="154">
        <v>0.29166666666666669</v>
      </c>
      <c r="U1064" s="154">
        <v>0.29166666666666669</v>
      </c>
      <c r="V1064" s="154">
        <v>0.29166666666666669</v>
      </c>
      <c r="W1064" s="154">
        <v>0.29166666666666669</v>
      </c>
      <c r="X1064" s="154">
        <v>0.29166666666666669</v>
      </c>
      <c r="Y1064" s="154">
        <v>0.29166666666666669</v>
      </c>
      <c r="Z1064" s="154">
        <v>0.29166666666666669</v>
      </c>
      <c r="AA1064" s="154">
        <v>0.29166666666666669</v>
      </c>
      <c r="AB1064" s="154">
        <v>0.29166666666666669</v>
      </c>
      <c r="AC1064" s="154">
        <v>0.29166666666666669</v>
      </c>
      <c r="AD1064" s="154">
        <v>0.29166666666666669</v>
      </c>
      <c r="AE1064" s="154">
        <v>0.29166666666666669</v>
      </c>
      <c r="AF1064" s="154">
        <v>0.29166666666666669</v>
      </c>
      <c r="AG1064" s="154">
        <v>0.29166666666666669</v>
      </c>
      <c r="AH1064" s="154">
        <v>0.29166666666666669</v>
      </c>
      <c r="AI1064" s="154">
        <v>0.29166666666666669</v>
      </c>
      <c r="AJ1064" s="154">
        <v>0.29166666666666669</v>
      </c>
      <c r="AK1064" s="154">
        <v>0.29166666666666669</v>
      </c>
      <c r="AL1064" s="154" t="s">
        <v>424</v>
      </c>
    </row>
    <row r="1065" spans="1:41" hidden="1" x14ac:dyDescent="0.25">
      <c r="A1065">
        <v>1064</v>
      </c>
      <c r="B1065">
        <v>2025</v>
      </c>
      <c r="C1065">
        <v>11</v>
      </c>
      <c r="D1065" t="s">
        <v>600</v>
      </c>
      <c r="E1065">
        <v>102</v>
      </c>
      <c r="F1065">
        <v>4</v>
      </c>
      <c r="G1065" t="s">
        <v>535</v>
      </c>
      <c r="H1065" s="154">
        <v>0.75</v>
      </c>
      <c r="I1065" s="154">
        <v>0.875</v>
      </c>
      <c r="J1065" s="154">
        <v>0.75</v>
      </c>
      <c r="K1065" s="154">
        <v>0.83333333333333326</v>
      </c>
      <c r="L1065" s="154">
        <v>0.75</v>
      </c>
      <c r="M1065" s="154">
        <v>0.83333333333333326</v>
      </c>
      <c r="N1065" s="154">
        <v>0.75</v>
      </c>
      <c r="O1065" s="154">
        <v>0.75</v>
      </c>
      <c r="P1065" s="154" t="s">
        <v>424</v>
      </c>
      <c r="Q1065" s="154">
        <v>0.75</v>
      </c>
      <c r="R1065" s="154">
        <v>0.75</v>
      </c>
      <c r="S1065" s="154">
        <v>0.91666666666666674</v>
      </c>
      <c r="T1065" s="154">
        <v>0.75</v>
      </c>
      <c r="U1065" s="154">
        <v>0.875</v>
      </c>
      <c r="V1065" s="154">
        <v>0.75</v>
      </c>
      <c r="W1065" s="154">
        <v>0.75</v>
      </c>
      <c r="X1065" s="154">
        <v>0.875</v>
      </c>
      <c r="Y1065" s="154">
        <v>0.75</v>
      </c>
      <c r="Z1065" s="154">
        <v>0.75</v>
      </c>
      <c r="AA1065" s="154">
        <v>0.83333333333333326</v>
      </c>
      <c r="AB1065" s="154">
        <v>0.75</v>
      </c>
      <c r="AC1065" s="154">
        <v>0.75</v>
      </c>
      <c r="AD1065" s="154">
        <v>0.875</v>
      </c>
      <c r="AE1065" s="154">
        <v>0.75</v>
      </c>
      <c r="AF1065" s="154">
        <v>0.83333333333333326</v>
      </c>
      <c r="AG1065" s="154">
        <v>0.75</v>
      </c>
      <c r="AH1065" s="154">
        <v>0.75</v>
      </c>
      <c r="AI1065" s="154">
        <v>0.91666666666666674</v>
      </c>
      <c r="AJ1065" s="154">
        <v>0.75</v>
      </c>
      <c r="AK1065" s="154">
        <v>0.75</v>
      </c>
      <c r="AL1065" s="154" t="s">
        <v>424</v>
      </c>
      <c r="AM1065" cm="1">
        <f t="array" ref="AM1065">SUM(_xlfn.LET(_xlpm.r,((IFERROR(H1065:AL1065-H1064:AL1064,0))*24)/10,IF(_xlpm.r&gt;1,1,_xlpm.r)))</f>
        <v>29</v>
      </c>
      <c r="AO1065" cm="1">
        <f t="array" ref="AO1065">SUM(IFERROR(ROUND((_xlfn.LET(_xlpm.e,H1065:AL1065,_xlpm.s,H1064:AL1064,IF(_xlpm.e&lt;_xlpm.s,1,0)+_xlpm.e-_xlpm.s))*24-11,0),""))</f>
        <v>28</v>
      </c>
    </row>
    <row r="1066" spans="1:41" hidden="1" x14ac:dyDescent="0.25">
      <c r="A1066">
        <v>1065</v>
      </c>
      <c r="B1066">
        <v>2025</v>
      </c>
      <c r="C1066">
        <v>11</v>
      </c>
      <c r="D1066" t="s">
        <v>598</v>
      </c>
      <c r="E1066">
        <v>102</v>
      </c>
      <c r="F1066">
        <v>4</v>
      </c>
      <c r="G1066" t="s">
        <v>534</v>
      </c>
      <c r="H1066" s="154">
        <v>0.29166666666666669</v>
      </c>
      <c r="I1066" s="154">
        <v>0.29166666666666669</v>
      </c>
      <c r="J1066" s="154">
        <v>0.29166666666666669</v>
      </c>
      <c r="K1066" s="154">
        <v>0.29166666666666669</v>
      </c>
      <c r="L1066" s="154">
        <v>0.29166666666666669</v>
      </c>
      <c r="M1066" s="154">
        <v>0.29166666666666669</v>
      </c>
      <c r="N1066" s="154">
        <v>0.29166666666666669</v>
      </c>
      <c r="O1066" s="154">
        <v>0.29166666666666669</v>
      </c>
      <c r="P1066" s="154" t="s">
        <v>424</v>
      </c>
      <c r="Q1066" s="154" t="s">
        <v>424</v>
      </c>
      <c r="R1066" s="154">
        <v>0.29166666666666669</v>
      </c>
      <c r="S1066" s="154">
        <v>0.29166666666666669</v>
      </c>
      <c r="T1066" s="154">
        <v>0.29166666666666669</v>
      </c>
      <c r="U1066" s="154">
        <v>0.29166666666666669</v>
      </c>
      <c r="V1066" s="154">
        <v>0.29166666666666669</v>
      </c>
      <c r="W1066" s="154">
        <v>0.29166666666666669</v>
      </c>
      <c r="X1066" s="154">
        <v>0.29166666666666669</v>
      </c>
      <c r="Y1066" s="154">
        <v>0.29166666666666669</v>
      </c>
      <c r="Z1066" s="154">
        <v>0.29166666666666669</v>
      </c>
      <c r="AA1066" s="154">
        <v>0.29166666666666669</v>
      </c>
      <c r="AB1066" s="154">
        <v>0.29166666666666669</v>
      </c>
      <c r="AC1066" s="154">
        <v>0.29166666666666669</v>
      </c>
      <c r="AD1066" s="154">
        <v>0.29166666666666669</v>
      </c>
      <c r="AE1066" s="154">
        <v>0.29166666666666669</v>
      </c>
      <c r="AF1066" s="154">
        <v>0.29166666666666669</v>
      </c>
      <c r="AG1066" s="154">
        <v>0.29166666666666669</v>
      </c>
      <c r="AH1066" s="154">
        <v>0.29166666666666669</v>
      </c>
      <c r="AI1066" s="154">
        <v>0.29166666666666669</v>
      </c>
      <c r="AJ1066" s="154">
        <v>0.29166666666666669</v>
      </c>
      <c r="AK1066" s="154">
        <v>0.29166666666666669</v>
      </c>
      <c r="AL1066" s="154" t="s">
        <v>424</v>
      </c>
    </row>
    <row r="1067" spans="1:41" hidden="1" x14ac:dyDescent="0.25">
      <c r="A1067">
        <v>1066</v>
      </c>
      <c r="B1067">
        <v>2025</v>
      </c>
      <c r="C1067">
        <v>11</v>
      </c>
      <c r="D1067" t="s">
        <v>598</v>
      </c>
      <c r="E1067">
        <v>102</v>
      </c>
      <c r="F1067">
        <v>4</v>
      </c>
      <c r="G1067" t="s">
        <v>535</v>
      </c>
      <c r="H1067" s="154">
        <v>0.75</v>
      </c>
      <c r="I1067" s="154">
        <v>0.75</v>
      </c>
      <c r="J1067" s="154">
        <v>0.75</v>
      </c>
      <c r="K1067" s="154">
        <v>0.75</v>
      </c>
      <c r="L1067" s="154">
        <v>0.75</v>
      </c>
      <c r="M1067" s="154">
        <v>0.75</v>
      </c>
      <c r="N1067" s="154">
        <v>0.75</v>
      </c>
      <c r="O1067" s="154">
        <v>0.75</v>
      </c>
      <c r="P1067" s="154" t="s">
        <v>424</v>
      </c>
      <c r="Q1067" s="154" t="s">
        <v>424</v>
      </c>
      <c r="R1067" s="154">
        <v>0.75</v>
      </c>
      <c r="S1067" s="154">
        <v>0.75</v>
      </c>
      <c r="T1067" s="154">
        <v>0.75</v>
      </c>
      <c r="U1067" s="154">
        <v>0.75</v>
      </c>
      <c r="V1067" s="154">
        <v>0.75</v>
      </c>
      <c r="W1067" s="154">
        <v>0.75</v>
      </c>
      <c r="X1067" s="154">
        <v>0.75</v>
      </c>
      <c r="Y1067" s="154">
        <v>0.75</v>
      </c>
      <c r="Z1067" s="154">
        <v>0.75</v>
      </c>
      <c r="AA1067" s="154">
        <v>0.75</v>
      </c>
      <c r="AB1067" s="154">
        <v>0.75</v>
      </c>
      <c r="AC1067" s="154">
        <v>0.75</v>
      </c>
      <c r="AD1067" s="154">
        <v>0.75</v>
      </c>
      <c r="AE1067" s="154">
        <v>0.75</v>
      </c>
      <c r="AF1067" s="154">
        <v>0.75</v>
      </c>
      <c r="AG1067" s="154">
        <v>0.75</v>
      </c>
      <c r="AH1067" s="154">
        <v>0.75</v>
      </c>
      <c r="AI1067" s="154">
        <v>0.75</v>
      </c>
      <c r="AJ1067" s="154">
        <v>0.75</v>
      </c>
      <c r="AK1067" s="154">
        <v>0.75</v>
      </c>
      <c r="AL1067" s="154" t="s">
        <v>424</v>
      </c>
      <c r="AM1067" cm="1">
        <f t="array" ref="AM1067">SUM(_xlfn.LET(_xlpm.r,((IFERROR(H1067:AL1067-H1066:AL1066,0))*24)/10,IF(_xlpm.r&gt;1,1,_xlpm.r)))</f>
        <v>28</v>
      </c>
      <c r="AO1067" cm="1">
        <f t="array" ref="AO1067">SUM(IFERROR(ROUND((_xlfn.LET(_xlpm.e,H1067:AL1067,_xlpm.s,H1066:AL1066,IF(_xlpm.e&lt;_xlpm.s,1,0)+_xlpm.e-_xlpm.s))*24-11,0),""))</f>
        <v>0</v>
      </c>
    </row>
    <row r="1068" spans="1:41" hidden="1" x14ac:dyDescent="0.25">
      <c r="A1068">
        <v>1067</v>
      </c>
      <c r="B1068">
        <v>2025</v>
      </c>
      <c r="C1068">
        <v>11</v>
      </c>
      <c r="D1068" t="s">
        <v>599</v>
      </c>
      <c r="E1068">
        <v>102</v>
      </c>
      <c r="F1068">
        <v>4</v>
      </c>
      <c r="G1068" t="s">
        <v>534</v>
      </c>
      <c r="H1068" s="154">
        <v>0.29166666666666669</v>
      </c>
      <c r="I1068" s="154">
        <v>0.29166666666666669</v>
      </c>
      <c r="J1068" s="154">
        <v>0.29166666666666669</v>
      </c>
      <c r="K1068" s="154">
        <v>0.29166666666666669</v>
      </c>
      <c r="L1068" s="154">
        <v>0.29166666666666669</v>
      </c>
      <c r="M1068" s="154" t="s">
        <v>424</v>
      </c>
      <c r="N1068" s="154" t="s">
        <v>424</v>
      </c>
      <c r="O1068" s="154" t="s">
        <v>424</v>
      </c>
      <c r="P1068" s="154" t="s">
        <v>424</v>
      </c>
      <c r="Q1068" s="154">
        <v>0.29166666666666669</v>
      </c>
      <c r="R1068" s="154">
        <v>0.29166666666666669</v>
      </c>
      <c r="S1068" s="154">
        <v>0.29166666666666669</v>
      </c>
      <c r="T1068" s="154">
        <v>0.29166666666666669</v>
      </c>
      <c r="U1068" s="154">
        <v>0.29166666666666669</v>
      </c>
      <c r="V1068" s="154">
        <v>0.29166666666666669</v>
      </c>
      <c r="W1068" s="154">
        <v>0.29166666666666669</v>
      </c>
      <c r="X1068" s="154">
        <v>0.29166666666666669</v>
      </c>
      <c r="Y1068" s="154">
        <v>0.29166666666666669</v>
      </c>
      <c r="Z1068" s="154">
        <v>0.29166666666666669</v>
      </c>
      <c r="AA1068" s="154">
        <v>0.29166666666666669</v>
      </c>
      <c r="AB1068" s="154">
        <v>0.29166666666666669</v>
      </c>
      <c r="AC1068" s="154">
        <v>0.29166666666666669</v>
      </c>
      <c r="AD1068" s="154">
        <v>0.29166666666666669</v>
      </c>
      <c r="AE1068" s="154">
        <v>0.29166666666666669</v>
      </c>
      <c r="AF1068" s="154">
        <v>0.29166666666666669</v>
      </c>
      <c r="AG1068" s="154">
        <v>0.29166666666666669</v>
      </c>
      <c r="AH1068" s="154">
        <v>0.29166666666666669</v>
      </c>
      <c r="AI1068" s="154">
        <v>0.29166666666666669</v>
      </c>
      <c r="AJ1068" s="154">
        <v>0.29166666666666669</v>
      </c>
      <c r="AK1068" s="154">
        <v>0.29166666666666669</v>
      </c>
      <c r="AL1068" s="154" t="s">
        <v>424</v>
      </c>
    </row>
    <row r="1069" spans="1:41" hidden="1" x14ac:dyDescent="0.25">
      <c r="A1069">
        <v>1068</v>
      </c>
      <c r="B1069">
        <v>2025</v>
      </c>
      <c r="C1069">
        <v>11</v>
      </c>
      <c r="D1069" t="s">
        <v>599</v>
      </c>
      <c r="E1069">
        <v>102</v>
      </c>
      <c r="F1069">
        <v>4</v>
      </c>
      <c r="G1069" t="s">
        <v>535</v>
      </c>
      <c r="H1069" s="154">
        <v>0.75</v>
      </c>
      <c r="I1069" s="154">
        <v>0.75</v>
      </c>
      <c r="J1069" s="154">
        <v>0.75</v>
      </c>
      <c r="K1069" s="154">
        <v>0.75</v>
      </c>
      <c r="L1069" s="154">
        <v>0.75</v>
      </c>
      <c r="M1069" s="154" t="s">
        <v>424</v>
      </c>
      <c r="N1069" s="154" t="s">
        <v>424</v>
      </c>
      <c r="O1069" s="154" t="s">
        <v>424</v>
      </c>
      <c r="P1069" s="154" t="s">
        <v>424</v>
      </c>
      <c r="Q1069" s="154">
        <v>0.75</v>
      </c>
      <c r="R1069" s="154">
        <v>0.75</v>
      </c>
      <c r="S1069" s="154">
        <v>0.75</v>
      </c>
      <c r="T1069" s="154">
        <v>0.75</v>
      </c>
      <c r="U1069" s="154">
        <v>0.75</v>
      </c>
      <c r="V1069" s="154">
        <v>0.75</v>
      </c>
      <c r="W1069" s="154">
        <v>0.75</v>
      </c>
      <c r="X1069" s="154">
        <v>0.75</v>
      </c>
      <c r="Y1069" s="154">
        <v>0.75</v>
      </c>
      <c r="Z1069" s="154">
        <v>0.75</v>
      </c>
      <c r="AA1069" s="154">
        <v>0.75</v>
      </c>
      <c r="AB1069" s="154">
        <v>0.75</v>
      </c>
      <c r="AC1069" s="154">
        <v>0.75</v>
      </c>
      <c r="AD1069" s="154">
        <v>0.75</v>
      </c>
      <c r="AE1069" s="154">
        <v>0.75</v>
      </c>
      <c r="AF1069" s="154">
        <v>0.75</v>
      </c>
      <c r="AG1069" s="154">
        <v>0.75</v>
      </c>
      <c r="AH1069" s="154">
        <v>0.75</v>
      </c>
      <c r="AI1069" s="154">
        <v>0.75</v>
      </c>
      <c r="AJ1069" s="154">
        <v>0.75</v>
      </c>
      <c r="AK1069" s="154">
        <v>0.75</v>
      </c>
      <c r="AL1069" s="154" t="s">
        <v>424</v>
      </c>
      <c r="AM1069" cm="1">
        <f t="array" ref="AM1069">SUM(_xlfn.LET(_xlpm.r,((IFERROR(H1069:AL1069-H1068:AL1068,0))*24)/10,IF(_xlpm.r&gt;1,1,_xlpm.r)))</f>
        <v>26</v>
      </c>
      <c r="AO1069" cm="1">
        <f t="array" ref="AO1069">SUM(IFERROR(ROUND((_xlfn.LET(_xlpm.e,H1069:AL1069,_xlpm.s,H1068:AL1068,IF(_xlpm.e&lt;_xlpm.s,1,0)+_xlpm.e-_xlpm.s))*24-11,0),""))</f>
        <v>0</v>
      </c>
    </row>
    <row r="1070" spans="1:41" hidden="1" x14ac:dyDescent="0.25">
      <c r="A1070">
        <v>1069</v>
      </c>
      <c r="B1070">
        <v>2025</v>
      </c>
      <c r="C1070">
        <v>8</v>
      </c>
      <c r="D1070" t="s">
        <v>632</v>
      </c>
      <c r="E1070">
        <v>110</v>
      </c>
      <c r="F1070">
        <v>1</v>
      </c>
      <c r="G1070" t="s">
        <v>534</v>
      </c>
      <c r="H1070" s="154" t="s">
        <v>424</v>
      </c>
      <c r="I1070" s="154" t="s">
        <v>424</v>
      </c>
      <c r="J1070" s="154" t="s">
        <v>424</v>
      </c>
      <c r="K1070" s="154" t="s">
        <v>424</v>
      </c>
      <c r="L1070" s="154" t="s">
        <v>424</v>
      </c>
      <c r="M1070" s="154" t="s">
        <v>424</v>
      </c>
      <c r="N1070" s="154" t="s">
        <v>424</v>
      </c>
      <c r="O1070" s="154" t="s">
        <v>424</v>
      </c>
      <c r="P1070" s="154" t="s">
        <v>424</v>
      </c>
      <c r="Q1070" s="154" t="s">
        <v>424</v>
      </c>
      <c r="R1070" s="154" t="s">
        <v>424</v>
      </c>
      <c r="S1070" s="154" t="s">
        <v>424</v>
      </c>
      <c r="T1070" s="154" t="s">
        <v>424</v>
      </c>
      <c r="U1070" s="154" t="s">
        <v>424</v>
      </c>
      <c r="V1070" s="154" t="s">
        <v>424</v>
      </c>
      <c r="W1070" s="154" t="s">
        <v>424</v>
      </c>
      <c r="X1070" s="154" t="s">
        <v>424</v>
      </c>
      <c r="Y1070" s="154" t="s">
        <v>424</v>
      </c>
      <c r="Z1070" s="154" t="s">
        <v>424</v>
      </c>
      <c r="AA1070" s="154" t="s">
        <v>424</v>
      </c>
      <c r="AB1070" s="154" t="s">
        <v>424</v>
      </c>
      <c r="AC1070" s="154" t="s">
        <v>424</v>
      </c>
      <c r="AD1070" s="154" t="s">
        <v>424</v>
      </c>
      <c r="AE1070" s="154" t="s">
        <v>424</v>
      </c>
      <c r="AF1070" s="154" t="s">
        <v>424</v>
      </c>
      <c r="AG1070" s="154">
        <v>0.33333333333333331</v>
      </c>
      <c r="AH1070" s="154">
        <v>0.33333333333333331</v>
      </c>
      <c r="AI1070" s="154">
        <v>0.33333333333333331</v>
      </c>
      <c r="AJ1070" s="154">
        <v>0.33333333333333331</v>
      </c>
      <c r="AK1070" s="154">
        <v>0.33333333333333331</v>
      </c>
      <c r="AL1070" s="154">
        <v>0.33333333333333331</v>
      </c>
    </row>
    <row r="1071" spans="1:41" hidden="1" x14ac:dyDescent="0.25">
      <c r="A1071">
        <v>1070</v>
      </c>
      <c r="B1071">
        <v>2025</v>
      </c>
      <c r="C1071">
        <v>8</v>
      </c>
      <c r="D1071" t="s">
        <v>632</v>
      </c>
      <c r="E1071">
        <v>110</v>
      </c>
      <c r="F1071">
        <v>1</v>
      </c>
      <c r="G1071" t="s">
        <v>535</v>
      </c>
      <c r="H1071" s="154" t="s">
        <v>424</v>
      </c>
      <c r="I1071" s="154" t="s">
        <v>424</v>
      </c>
      <c r="J1071" s="154" t="s">
        <v>424</v>
      </c>
      <c r="K1071" s="154" t="s">
        <v>424</v>
      </c>
      <c r="L1071" s="154" t="s">
        <v>424</v>
      </c>
      <c r="M1071" s="154" t="s">
        <v>424</v>
      </c>
      <c r="N1071" s="154" t="s">
        <v>424</v>
      </c>
      <c r="O1071" s="154" t="s">
        <v>424</v>
      </c>
      <c r="P1071" s="154" t="s">
        <v>424</v>
      </c>
      <c r="Q1071" s="154" t="s">
        <v>424</v>
      </c>
      <c r="R1071" s="154" t="s">
        <v>424</v>
      </c>
      <c r="S1071" s="154" t="s">
        <v>424</v>
      </c>
      <c r="T1071" s="154" t="s">
        <v>424</v>
      </c>
      <c r="U1071" s="154" t="s">
        <v>424</v>
      </c>
      <c r="V1071" s="154" t="s">
        <v>424</v>
      </c>
      <c r="W1071" s="154" t="s">
        <v>424</v>
      </c>
      <c r="X1071" s="154" t="s">
        <v>424</v>
      </c>
      <c r="Y1071" s="154" t="s">
        <v>424</v>
      </c>
      <c r="Z1071" s="154" t="s">
        <v>424</v>
      </c>
      <c r="AA1071" s="154" t="s">
        <v>424</v>
      </c>
      <c r="AB1071" s="154" t="s">
        <v>424</v>
      </c>
      <c r="AC1071" s="154" t="s">
        <v>424</v>
      </c>
      <c r="AD1071" s="154" t="s">
        <v>424</v>
      </c>
      <c r="AE1071" s="154" t="s">
        <v>424</v>
      </c>
      <c r="AF1071" s="154" t="s">
        <v>424</v>
      </c>
      <c r="AG1071" s="154">
        <v>0.75</v>
      </c>
      <c r="AH1071" s="154">
        <v>0.75</v>
      </c>
      <c r="AI1071" s="154">
        <v>0.75</v>
      </c>
      <c r="AJ1071" s="154">
        <v>0.75</v>
      </c>
      <c r="AK1071" s="154">
        <v>0.75</v>
      </c>
      <c r="AL1071" s="154">
        <v>0.75</v>
      </c>
      <c r="AM1071" cm="1">
        <f t="array" ref="AM1071">SUM(_xlfn.LET(_xlpm.r,((IFERROR(H1071:AL1071-H1070:AL1070,0))*24)/10,IF(_xlpm.r&gt;1,1,_xlpm.r)))</f>
        <v>6</v>
      </c>
      <c r="AO1071" cm="1">
        <f t="array" ref="AO1071">SUM(IFERROR(MOD((H1071:AL1071-H1070:AL1070)*24,10),""))</f>
        <v>0</v>
      </c>
    </row>
    <row r="1072" spans="1:41" hidden="1" x14ac:dyDescent="0.25">
      <c r="A1072">
        <v>1071</v>
      </c>
      <c r="B1072">
        <v>2025</v>
      </c>
      <c r="C1072">
        <v>9</v>
      </c>
      <c r="D1072" t="s">
        <v>632</v>
      </c>
      <c r="E1072">
        <v>110</v>
      </c>
      <c r="F1072">
        <v>2</v>
      </c>
      <c r="G1072" t="s">
        <v>534</v>
      </c>
      <c r="H1072" s="154">
        <v>0.29166666666666669</v>
      </c>
      <c r="I1072" s="154">
        <v>0.29166666666666669</v>
      </c>
      <c r="J1072" s="154">
        <v>0.29166666666666669</v>
      </c>
      <c r="K1072" s="154">
        <v>0.29166666666666669</v>
      </c>
      <c r="L1072" s="154">
        <v>0.29166666666666669</v>
      </c>
      <c r="M1072" s="154">
        <v>0.29166666666666669</v>
      </c>
      <c r="N1072" s="154">
        <v>0.29166666666666669</v>
      </c>
      <c r="O1072" s="154">
        <v>0.29166666666666669</v>
      </c>
      <c r="P1072" s="154">
        <v>0.29166666666666669</v>
      </c>
      <c r="Q1072" s="154">
        <v>0.29166666666666669</v>
      </c>
      <c r="R1072" s="154">
        <v>0.29166666666666669</v>
      </c>
      <c r="S1072" s="154">
        <v>0.29166666666666669</v>
      </c>
      <c r="T1072" s="154">
        <v>0.29166666666666669</v>
      </c>
      <c r="U1072" s="154" t="s">
        <v>424</v>
      </c>
      <c r="V1072" s="154">
        <v>0.29166666666666669</v>
      </c>
      <c r="W1072" s="154">
        <v>0.29166666666666669</v>
      </c>
      <c r="X1072" s="154">
        <v>0.29166666666666669</v>
      </c>
      <c r="Y1072" s="154">
        <v>0.29166666666666669</v>
      </c>
      <c r="Z1072" s="154">
        <v>0.29166666666666669</v>
      </c>
      <c r="AA1072" s="154">
        <v>0.29166666666666669</v>
      </c>
      <c r="AB1072" s="154">
        <v>0.29166666666666669</v>
      </c>
      <c r="AC1072" s="154">
        <v>0.29166666666666669</v>
      </c>
      <c r="AD1072" s="154">
        <v>0.29166666666666669</v>
      </c>
      <c r="AE1072" s="154">
        <v>0.29166666666666669</v>
      </c>
      <c r="AF1072" s="154">
        <v>0.29166666666666669</v>
      </c>
      <c r="AG1072" s="154" t="s">
        <v>424</v>
      </c>
      <c r="AH1072" s="154" t="s">
        <v>424</v>
      </c>
      <c r="AI1072" s="154" t="s">
        <v>424</v>
      </c>
      <c r="AJ1072" s="154">
        <v>0.29166666666666669</v>
      </c>
      <c r="AK1072" s="154">
        <v>0.29166666666666669</v>
      </c>
      <c r="AL1072" s="154" t="s">
        <v>424</v>
      </c>
    </row>
    <row r="1073" spans="1:41" hidden="1" x14ac:dyDescent="0.25">
      <c r="A1073">
        <v>1072</v>
      </c>
      <c r="B1073">
        <v>2025</v>
      </c>
      <c r="C1073">
        <v>9</v>
      </c>
      <c r="D1073" t="s">
        <v>632</v>
      </c>
      <c r="E1073">
        <v>110</v>
      </c>
      <c r="F1073">
        <v>2</v>
      </c>
      <c r="G1073" t="s">
        <v>535</v>
      </c>
      <c r="H1073" s="154">
        <v>0.75</v>
      </c>
      <c r="I1073" s="154">
        <v>0.75</v>
      </c>
      <c r="J1073" s="154">
        <v>0.75</v>
      </c>
      <c r="K1073" s="154">
        <v>0.75</v>
      </c>
      <c r="L1073" s="154">
        <v>0.75</v>
      </c>
      <c r="M1073" s="154">
        <v>0.75</v>
      </c>
      <c r="N1073" s="154">
        <v>0.75</v>
      </c>
      <c r="O1073" s="154">
        <v>0.75</v>
      </c>
      <c r="P1073" s="154">
        <v>0.75</v>
      </c>
      <c r="Q1073" s="154">
        <v>0.75</v>
      </c>
      <c r="R1073" s="154">
        <v>0.75</v>
      </c>
      <c r="S1073" s="154">
        <v>0.75</v>
      </c>
      <c r="T1073" s="154">
        <v>0.75</v>
      </c>
      <c r="U1073" s="154" t="s">
        <v>424</v>
      </c>
      <c r="V1073" s="154">
        <v>0.75</v>
      </c>
      <c r="W1073" s="154">
        <v>0.75</v>
      </c>
      <c r="X1073" s="154">
        <v>0.75</v>
      </c>
      <c r="Y1073" s="154">
        <v>0.75</v>
      </c>
      <c r="Z1073" s="154">
        <v>0.75</v>
      </c>
      <c r="AA1073" s="154">
        <v>0.75</v>
      </c>
      <c r="AB1073" s="154">
        <v>0.75</v>
      </c>
      <c r="AC1073" s="154">
        <v>0.75</v>
      </c>
      <c r="AD1073" s="154">
        <v>0.75</v>
      </c>
      <c r="AE1073" s="154">
        <v>0.75</v>
      </c>
      <c r="AF1073" s="154">
        <v>0.75</v>
      </c>
      <c r="AG1073" s="154" t="s">
        <v>424</v>
      </c>
      <c r="AH1073" s="154" t="s">
        <v>424</v>
      </c>
      <c r="AI1073" s="154" t="s">
        <v>424</v>
      </c>
      <c r="AJ1073" s="154">
        <v>0.75</v>
      </c>
      <c r="AK1073" s="154">
        <v>0.75</v>
      </c>
      <c r="AL1073" s="154" t="s">
        <v>424</v>
      </c>
      <c r="AM1073" cm="1">
        <f t="array" ref="AM1073">SUM(_xlfn.LET(_xlpm.r,((IFERROR(H1073:AL1073-H1072:AL1072,0))*24)/10,IF(_xlpm.r&gt;1,1,_xlpm.r)))</f>
        <v>26</v>
      </c>
      <c r="AO1073" cm="1">
        <f t="array" ref="AO1073">SUM(IFERROR(ROUND((_xlfn.LET(_xlpm.e,H1073:AL1073,_xlpm.s,H1072:AL1072,IF(_xlpm.e&lt;_xlpm.s,1,0)+_xlpm.e-_xlpm.s))*24-11,0),""))</f>
        <v>0</v>
      </c>
    </row>
    <row r="1074" spans="1:41" hidden="1" x14ac:dyDescent="0.25">
      <c r="A1074">
        <v>1073</v>
      </c>
      <c r="B1074">
        <v>2025</v>
      </c>
      <c r="C1074">
        <v>10</v>
      </c>
      <c r="D1074" t="s">
        <v>632</v>
      </c>
      <c r="E1074">
        <v>110</v>
      </c>
      <c r="F1074">
        <v>3</v>
      </c>
      <c r="G1074" t="s">
        <v>534</v>
      </c>
      <c r="H1074" s="154">
        <v>0.29166666666666669</v>
      </c>
      <c r="I1074" s="154">
        <v>0.29166666666666669</v>
      </c>
      <c r="J1074" s="154">
        <v>0.29166666666666669</v>
      </c>
      <c r="K1074" s="154">
        <v>0.29166666666666669</v>
      </c>
      <c r="L1074" s="154">
        <v>0.29166666666666669</v>
      </c>
      <c r="M1074" s="154">
        <v>0.29166666666666669</v>
      </c>
      <c r="N1074" s="154">
        <v>0.29166666666666669</v>
      </c>
      <c r="O1074" s="154">
        <v>0.29166666666666669</v>
      </c>
      <c r="P1074" s="154">
        <v>0.29166666666666669</v>
      </c>
      <c r="Q1074" s="154">
        <v>0.29166666666666669</v>
      </c>
      <c r="R1074" s="154">
        <v>0.29166666666666669</v>
      </c>
      <c r="S1074" s="154">
        <v>0.29166666666666669</v>
      </c>
      <c r="T1074" s="154">
        <v>0.29166666666666669</v>
      </c>
      <c r="U1074" s="154">
        <v>0.29166666666666669</v>
      </c>
      <c r="V1074" s="154">
        <v>0.29166666666666669</v>
      </c>
      <c r="W1074" s="154">
        <v>0.29166666666666669</v>
      </c>
      <c r="X1074" s="154">
        <v>0.29166666666666669</v>
      </c>
      <c r="Y1074" s="154">
        <v>0.29166666666666669</v>
      </c>
      <c r="Z1074" s="154">
        <v>0.29166666666666669</v>
      </c>
      <c r="AA1074" s="154">
        <v>0.29166666666666669</v>
      </c>
      <c r="AB1074" s="154">
        <v>0.29166666666666669</v>
      </c>
      <c r="AC1074" s="154">
        <v>0.29166666666666669</v>
      </c>
      <c r="AD1074" s="154">
        <v>0.29166666666666669</v>
      </c>
      <c r="AE1074" s="154">
        <v>0.29166666666666669</v>
      </c>
      <c r="AF1074" s="154">
        <v>0.29166666666666669</v>
      </c>
      <c r="AG1074" s="154" t="s">
        <v>424</v>
      </c>
      <c r="AH1074" s="154">
        <v>0.29166666666666669</v>
      </c>
      <c r="AI1074" s="154">
        <v>0.29166666666666669</v>
      </c>
      <c r="AJ1074" s="154">
        <v>0.29166666666666669</v>
      </c>
      <c r="AK1074" s="154">
        <v>0.29166666666666669</v>
      </c>
      <c r="AL1074" s="154">
        <v>0.29166666666666669</v>
      </c>
    </row>
    <row r="1075" spans="1:41" hidden="1" x14ac:dyDescent="0.25">
      <c r="A1075">
        <v>1074</v>
      </c>
      <c r="B1075">
        <v>2025</v>
      </c>
      <c r="C1075">
        <v>10</v>
      </c>
      <c r="D1075" t="s">
        <v>632</v>
      </c>
      <c r="E1075">
        <v>110</v>
      </c>
      <c r="F1075">
        <v>3</v>
      </c>
      <c r="G1075" t="s">
        <v>535</v>
      </c>
      <c r="H1075" s="154">
        <v>0.75</v>
      </c>
      <c r="I1075" s="154">
        <v>0.75</v>
      </c>
      <c r="J1075" s="154">
        <v>0.75</v>
      </c>
      <c r="K1075" s="154">
        <v>0.75</v>
      </c>
      <c r="L1075" s="154">
        <v>0.75</v>
      </c>
      <c r="M1075" s="154">
        <v>0.75</v>
      </c>
      <c r="N1075" s="154">
        <v>0.75</v>
      </c>
      <c r="O1075" s="154">
        <v>0.75</v>
      </c>
      <c r="P1075" s="154">
        <v>0.75</v>
      </c>
      <c r="Q1075" s="154">
        <v>0.75</v>
      </c>
      <c r="R1075" s="154">
        <v>0.75</v>
      </c>
      <c r="S1075" s="154">
        <v>0.75</v>
      </c>
      <c r="T1075" s="154">
        <v>0.75</v>
      </c>
      <c r="U1075" s="154">
        <v>0.75</v>
      </c>
      <c r="V1075" s="154">
        <v>0.75</v>
      </c>
      <c r="W1075" s="154">
        <v>0.75</v>
      </c>
      <c r="X1075" s="154">
        <v>0.75</v>
      </c>
      <c r="Y1075" s="154">
        <v>0.75</v>
      </c>
      <c r="Z1075" s="154">
        <v>0.75</v>
      </c>
      <c r="AA1075" s="154">
        <v>0.75</v>
      </c>
      <c r="AB1075" s="154">
        <v>0.75</v>
      </c>
      <c r="AC1075" s="154">
        <v>0.75</v>
      </c>
      <c r="AD1075" s="154">
        <v>0.75</v>
      </c>
      <c r="AE1075" s="154">
        <v>0.75</v>
      </c>
      <c r="AF1075" s="154">
        <v>0.75</v>
      </c>
      <c r="AG1075" s="154" t="s">
        <v>424</v>
      </c>
      <c r="AH1075" s="154">
        <v>0.75</v>
      </c>
      <c r="AI1075" s="154">
        <v>0.75</v>
      </c>
      <c r="AJ1075" s="154">
        <v>0.75</v>
      </c>
      <c r="AK1075" s="154">
        <v>0.75</v>
      </c>
      <c r="AL1075" s="154">
        <v>0.75</v>
      </c>
      <c r="AM1075" cm="1">
        <f t="array" ref="AM1075">SUM(_xlfn.LET(_xlpm.r,((IFERROR(H1075:AL1075-H1074:AL1074,0))*24)/10,IF(_xlpm.r&gt;1,1,_xlpm.r)))</f>
        <v>30</v>
      </c>
      <c r="AO1075" cm="1">
        <f t="array" ref="AO1075">SUM(IFERROR(ROUND((_xlfn.LET(_xlpm.e,H1075:AL1075,_xlpm.s,H1074:AL1074,IF(_xlpm.e&lt;_xlpm.s,1,0)+_xlpm.e-_xlpm.s))*24-11,0),""))</f>
        <v>0</v>
      </c>
    </row>
    <row r="1076" spans="1:41" hidden="1" x14ac:dyDescent="0.25">
      <c r="A1076">
        <v>1075</v>
      </c>
      <c r="B1076">
        <v>2025</v>
      </c>
      <c r="C1076">
        <v>11</v>
      </c>
      <c r="D1076" t="s">
        <v>632</v>
      </c>
      <c r="E1076">
        <v>110</v>
      </c>
      <c r="F1076">
        <v>4</v>
      </c>
      <c r="G1076" t="s">
        <v>534</v>
      </c>
      <c r="H1076" s="154">
        <v>0.29166666666666669</v>
      </c>
      <c r="I1076" s="154">
        <v>0.29166666666666669</v>
      </c>
      <c r="J1076" s="154">
        <v>0.29166666666666669</v>
      </c>
      <c r="K1076" s="154">
        <v>0.29166666666666669</v>
      </c>
      <c r="L1076" s="154">
        <v>0.29166666666666669</v>
      </c>
      <c r="M1076" s="154">
        <v>0.29166666666666669</v>
      </c>
      <c r="N1076" s="154">
        <v>0.29166666666666669</v>
      </c>
      <c r="O1076" s="154">
        <v>0.29166666666666669</v>
      </c>
      <c r="P1076" s="154" t="s">
        <v>424</v>
      </c>
      <c r="Q1076" s="154">
        <v>0.29166666666666669</v>
      </c>
      <c r="R1076" s="154">
        <v>0.29166666666666669</v>
      </c>
      <c r="S1076" s="154">
        <v>0.29166666666666669</v>
      </c>
      <c r="T1076" s="154">
        <v>0.29166666666666669</v>
      </c>
      <c r="U1076" s="154">
        <v>0.29166666666666669</v>
      </c>
      <c r="V1076" s="154">
        <v>0.29166666666666669</v>
      </c>
      <c r="W1076" s="154">
        <v>0.29166666666666669</v>
      </c>
      <c r="X1076" s="154">
        <v>0.29166666666666669</v>
      </c>
      <c r="Y1076" s="154">
        <v>0.29166666666666669</v>
      </c>
      <c r="Z1076" s="154">
        <v>0.29166666666666669</v>
      </c>
      <c r="AA1076" s="154">
        <v>0.29166666666666669</v>
      </c>
      <c r="AB1076" s="154">
        <v>0.29166666666666669</v>
      </c>
      <c r="AC1076" s="154">
        <v>0.29166666666666669</v>
      </c>
      <c r="AD1076" s="154">
        <v>0.29166666666666669</v>
      </c>
      <c r="AE1076" s="154">
        <v>0.29166666666666669</v>
      </c>
      <c r="AF1076" s="154">
        <v>0.29166666666666669</v>
      </c>
      <c r="AG1076" s="154">
        <v>0.29166666666666669</v>
      </c>
      <c r="AH1076" s="154">
        <v>0.29166666666666669</v>
      </c>
      <c r="AI1076" s="154">
        <v>0.29166666666666669</v>
      </c>
      <c r="AJ1076" s="154">
        <v>0.29166666666666669</v>
      </c>
      <c r="AK1076" s="154">
        <v>0.29166666666666669</v>
      </c>
      <c r="AL1076" s="154" t="s">
        <v>424</v>
      </c>
    </row>
    <row r="1077" spans="1:41" hidden="1" x14ac:dyDescent="0.25">
      <c r="A1077">
        <v>1076</v>
      </c>
      <c r="B1077">
        <v>2025</v>
      </c>
      <c r="C1077">
        <v>11</v>
      </c>
      <c r="D1077" t="s">
        <v>632</v>
      </c>
      <c r="E1077">
        <v>110</v>
      </c>
      <c r="F1077">
        <v>4</v>
      </c>
      <c r="G1077" t="s">
        <v>535</v>
      </c>
      <c r="H1077" s="154">
        <v>0.75</v>
      </c>
      <c r="I1077" s="154">
        <v>0.75</v>
      </c>
      <c r="J1077" s="154">
        <v>0.75</v>
      </c>
      <c r="K1077" s="154">
        <v>0.75</v>
      </c>
      <c r="L1077" s="154">
        <v>0.75</v>
      </c>
      <c r="M1077" s="154">
        <v>0.75</v>
      </c>
      <c r="N1077" s="154">
        <v>0.75</v>
      </c>
      <c r="O1077" s="154">
        <v>0.75</v>
      </c>
      <c r="P1077" s="154" t="s">
        <v>424</v>
      </c>
      <c r="Q1077" s="154">
        <v>0.75</v>
      </c>
      <c r="R1077" s="154">
        <v>0.75</v>
      </c>
      <c r="S1077" s="154">
        <v>0.75</v>
      </c>
      <c r="T1077" s="154">
        <v>0.75</v>
      </c>
      <c r="U1077" s="154">
        <v>0.75</v>
      </c>
      <c r="V1077" s="154">
        <v>0.75</v>
      </c>
      <c r="W1077" s="154">
        <v>0.75</v>
      </c>
      <c r="X1077" s="154">
        <v>0.75</v>
      </c>
      <c r="Y1077" s="154">
        <v>0.75</v>
      </c>
      <c r="Z1077" s="154">
        <v>0.75</v>
      </c>
      <c r="AA1077" s="154">
        <v>0.75</v>
      </c>
      <c r="AB1077" s="154">
        <v>0.75</v>
      </c>
      <c r="AC1077" s="154">
        <v>0.75</v>
      </c>
      <c r="AD1077" s="154">
        <v>0.75</v>
      </c>
      <c r="AE1077" s="154">
        <v>0.75</v>
      </c>
      <c r="AF1077" s="154">
        <v>0.75</v>
      </c>
      <c r="AG1077" s="154">
        <v>0.75</v>
      </c>
      <c r="AH1077" s="154">
        <v>0.75</v>
      </c>
      <c r="AI1077" s="154">
        <v>0.75</v>
      </c>
      <c r="AJ1077" s="154">
        <v>0.75</v>
      </c>
      <c r="AK1077" s="154">
        <v>0.75</v>
      </c>
      <c r="AL1077" s="154" t="s">
        <v>424</v>
      </c>
      <c r="AM1077" cm="1">
        <f t="array" ref="AM1077">SUM(_xlfn.LET(_xlpm.r,((IFERROR(H1077:AL1077-H1076:AL1076,0))*24)/10,IF(_xlpm.r&gt;1,1,_xlpm.r)))</f>
        <v>29</v>
      </c>
      <c r="AO1077" cm="1">
        <f t="array" ref="AO1077">SUM(IFERROR(ROUND((_xlfn.LET(_xlpm.e,H1077:AL1077,_xlpm.s,H1076:AL1076,IF(_xlpm.e&lt;_xlpm.s,1,0)+_xlpm.e-_xlpm.s))*24-11,0),""))</f>
        <v>0</v>
      </c>
    </row>
    <row r="1078" spans="1:41" hidden="1" x14ac:dyDescent="0.25">
      <c r="A1078">
        <v>1077</v>
      </c>
      <c r="B1078">
        <v>2025</v>
      </c>
      <c r="C1078">
        <v>10</v>
      </c>
      <c r="D1078" t="s">
        <v>637</v>
      </c>
      <c r="E1078">
        <v>121</v>
      </c>
      <c r="F1078">
        <v>1</v>
      </c>
      <c r="G1078" t="s">
        <v>534</v>
      </c>
      <c r="H1078" s="154" t="s">
        <v>424</v>
      </c>
      <c r="I1078" s="154" t="s">
        <v>424</v>
      </c>
      <c r="J1078" s="154">
        <v>0.29166666666666669</v>
      </c>
      <c r="K1078" s="154">
        <v>0.29166666666666669</v>
      </c>
      <c r="L1078" s="154">
        <v>0.29166666666666669</v>
      </c>
      <c r="M1078" s="154">
        <v>0.29166666666666669</v>
      </c>
      <c r="N1078" s="154">
        <v>0.29166666666666669</v>
      </c>
      <c r="O1078" s="154">
        <v>0.29166666666666669</v>
      </c>
      <c r="P1078" s="154">
        <v>0.29166666666666669</v>
      </c>
      <c r="Q1078" s="154">
        <v>0.29166666666666669</v>
      </c>
      <c r="R1078" s="154">
        <v>0.29166666666666669</v>
      </c>
      <c r="S1078" s="154" t="s">
        <v>424</v>
      </c>
      <c r="T1078" s="154">
        <v>0.29166666666666669</v>
      </c>
      <c r="U1078" s="154">
        <v>0.29166666666666669</v>
      </c>
      <c r="V1078" s="154">
        <v>0.29166666666666669</v>
      </c>
      <c r="W1078" s="154">
        <v>0.29166666666666669</v>
      </c>
      <c r="X1078" s="154">
        <v>0.29166666666666669</v>
      </c>
      <c r="Y1078" s="154">
        <v>0.29166666666666669</v>
      </c>
      <c r="Z1078" s="154">
        <v>0.29166666666666669</v>
      </c>
      <c r="AA1078" s="154">
        <v>0.29166666666666669</v>
      </c>
      <c r="AB1078" s="154">
        <v>0.29166666666666669</v>
      </c>
      <c r="AC1078" s="154">
        <v>0.29166666666666669</v>
      </c>
      <c r="AD1078" s="154">
        <v>0.29166666666666669</v>
      </c>
      <c r="AE1078" s="154">
        <v>0.29166666666666669</v>
      </c>
      <c r="AF1078" s="154">
        <v>0.29166666666666669</v>
      </c>
      <c r="AG1078" s="154">
        <v>0.29166666666666669</v>
      </c>
      <c r="AH1078" s="154">
        <v>0.29166666666666669</v>
      </c>
      <c r="AI1078" s="154">
        <v>0.29166666666666669</v>
      </c>
      <c r="AJ1078" s="154">
        <v>0.29166666666666669</v>
      </c>
      <c r="AK1078" s="154">
        <v>0.29166666666666669</v>
      </c>
      <c r="AL1078" s="154">
        <v>0.29166666666666669</v>
      </c>
    </row>
    <row r="1079" spans="1:41" hidden="1" x14ac:dyDescent="0.25">
      <c r="A1079">
        <v>1078</v>
      </c>
      <c r="B1079">
        <v>2025</v>
      </c>
      <c r="C1079">
        <v>10</v>
      </c>
      <c r="D1079" t="s">
        <v>637</v>
      </c>
      <c r="E1079">
        <v>121</v>
      </c>
      <c r="F1079">
        <v>1</v>
      </c>
      <c r="G1079" t="s">
        <v>535</v>
      </c>
      <c r="H1079" s="154" t="s">
        <v>424</v>
      </c>
      <c r="I1079" s="154" t="s">
        <v>424</v>
      </c>
      <c r="J1079" s="154">
        <v>0.75</v>
      </c>
      <c r="K1079" s="154">
        <v>0.75</v>
      </c>
      <c r="L1079" s="154">
        <v>0.75</v>
      </c>
      <c r="M1079" s="154">
        <v>0.83333333333333326</v>
      </c>
      <c r="N1079" s="154">
        <v>0.75</v>
      </c>
      <c r="O1079" s="154">
        <v>0.75</v>
      </c>
      <c r="P1079" s="154">
        <v>0.79166666666666674</v>
      </c>
      <c r="Q1079" s="154">
        <v>0.75</v>
      </c>
      <c r="R1079" s="154">
        <v>0.75</v>
      </c>
      <c r="S1079" s="154" t="s">
        <v>424</v>
      </c>
      <c r="T1079" s="154">
        <v>0.79166666666666674</v>
      </c>
      <c r="U1079" s="154">
        <v>0.75</v>
      </c>
      <c r="V1079" s="154">
        <v>0.75</v>
      </c>
      <c r="W1079" s="154">
        <v>0.75</v>
      </c>
      <c r="X1079" s="154">
        <v>0.79166666666666674</v>
      </c>
      <c r="Y1079" s="154">
        <v>0.75</v>
      </c>
      <c r="Z1079" s="154">
        <v>0.75</v>
      </c>
      <c r="AA1079" s="154">
        <v>0.79166666666666674</v>
      </c>
      <c r="AB1079" s="154">
        <v>0.75</v>
      </c>
      <c r="AC1079" s="154">
        <v>0.75</v>
      </c>
      <c r="AD1079" s="154">
        <v>0.79166666666666674</v>
      </c>
      <c r="AE1079" s="154">
        <v>0.75</v>
      </c>
      <c r="AF1079" s="154">
        <v>0.75</v>
      </c>
      <c r="AG1079" s="154">
        <v>0.75</v>
      </c>
      <c r="AH1079" s="154">
        <v>0.79166666666666674</v>
      </c>
      <c r="AI1079" s="154">
        <v>0.75</v>
      </c>
      <c r="AJ1079" s="154">
        <v>0.75</v>
      </c>
      <c r="AK1079" s="154">
        <v>0.75</v>
      </c>
      <c r="AL1079" s="154">
        <v>0.75</v>
      </c>
      <c r="AM1079" cm="1">
        <f t="array" ref="AM1079">SUM(_xlfn.LET(_xlpm.r,((IFERROR(H1079:AL1079-H1078:AL1078,0))*24)/10,IF(_xlpm.r&gt;1,1,_xlpm.r)))</f>
        <v>28</v>
      </c>
      <c r="AO1079" s="124" cm="1">
        <f t="array" ref="AO1079">SUM(
  IFERROR(
    ROUND(
      _xlfn.LET(
        _xlpm.e,H1079:AL1079,
        _xlpm.s,H1078:AL1078,
        _xlpm.r,(((_xlpm.e&lt;_xlpm.s)*1)+_xlpm.e-_xlpm.s)*24-11,
        IF(_xlpm.r&lt;=0,"",_xlpm.r)
      ),
      0
    ),
    ""
  )
)</f>
        <v>8</v>
      </c>
    </row>
    <row r="1080" spans="1:41" hidden="1" x14ac:dyDescent="0.25">
      <c r="A1080">
        <v>1079</v>
      </c>
      <c r="B1080">
        <v>2025</v>
      </c>
      <c r="C1080">
        <v>11</v>
      </c>
      <c r="D1080" t="s">
        <v>637</v>
      </c>
      <c r="E1080">
        <v>121</v>
      </c>
      <c r="F1080">
        <v>2</v>
      </c>
      <c r="G1080" t="s">
        <v>534</v>
      </c>
      <c r="H1080" s="154">
        <v>0.29166666666666669</v>
      </c>
      <c r="I1080" s="154">
        <v>0.29166666666666669</v>
      </c>
      <c r="J1080" s="154">
        <v>0.29166666666666669</v>
      </c>
      <c r="K1080" s="154">
        <v>0.29166666666666669</v>
      </c>
      <c r="L1080" s="154">
        <v>0.29166666666666669</v>
      </c>
      <c r="M1080" s="154">
        <v>0.29166666666666669</v>
      </c>
      <c r="N1080" s="154">
        <v>0.29166666666666669</v>
      </c>
      <c r="O1080" s="154">
        <v>0.29166666666666669</v>
      </c>
      <c r="P1080" s="154" t="s">
        <v>424</v>
      </c>
      <c r="Q1080" s="154">
        <v>0.29166666666666669</v>
      </c>
      <c r="R1080" s="154">
        <v>0.29166666666666669</v>
      </c>
      <c r="S1080" s="154">
        <v>0.29166666666666669</v>
      </c>
      <c r="T1080" s="154">
        <v>0.29166666666666669</v>
      </c>
      <c r="U1080" s="154">
        <v>0.29166666666666669</v>
      </c>
      <c r="V1080" s="154">
        <v>0.29166666666666669</v>
      </c>
      <c r="W1080" s="154">
        <v>0.29166666666666669</v>
      </c>
      <c r="X1080" s="154">
        <v>0.29166666666666669</v>
      </c>
      <c r="Y1080" s="154">
        <v>0.29166666666666669</v>
      </c>
      <c r="Z1080" s="154">
        <v>0.29166666666666669</v>
      </c>
      <c r="AA1080" s="154">
        <v>0.29166666666666669</v>
      </c>
      <c r="AB1080" s="154">
        <v>0.29166666666666669</v>
      </c>
      <c r="AC1080" s="154">
        <v>0.29166666666666669</v>
      </c>
      <c r="AD1080" s="154">
        <v>0.29166666666666669</v>
      </c>
      <c r="AE1080" s="154">
        <v>0.29166666666666669</v>
      </c>
      <c r="AF1080" s="154">
        <v>0.29166666666666669</v>
      </c>
      <c r="AG1080" s="154">
        <v>0.29166666666666669</v>
      </c>
      <c r="AH1080" s="154">
        <v>0.29166666666666669</v>
      </c>
      <c r="AI1080" s="154">
        <v>0.29166666666666669</v>
      </c>
      <c r="AJ1080" s="154">
        <v>0.29166666666666669</v>
      </c>
      <c r="AK1080" s="154">
        <v>0.29166666666666669</v>
      </c>
      <c r="AL1080" s="154" t="s">
        <v>424</v>
      </c>
    </row>
    <row r="1081" spans="1:41" hidden="1" x14ac:dyDescent="0.25">
      <c r="A1081">
        <v>1080</v>
      </c>
      <c r="B1081">
        <v>2025</v>
      </c>
      <c r="C1081">
        <v>11</v>
      </c>
      <c r="D1081" t="s">
        <v>637</v>
      </c>
      <c r="E1081">
        <v>121</v>
      </c>
      <c r="F1081">
        <v>2</v>
      </c>
      <c r="G1081" t="s">
        <v>535</v>
      </c>
      <c r="H1081" s="154">
        <v>0.75</v>
      </c>
      <c r="I1081" s="154">
        <v>0.75</v>
      </c>
      <c r="J1081" s="154">
        <v>0.75</v>
      </c>
      <c r="K1081" s="154">
        <v>0.75</v>
      </c>
      <c r="L1081" s="154">
        <v>0.75</v>
      </c>
      <c r="M1081" s="154">
        <v>0.83333333333333326</v>
      </c>
      <c r="N1081" s="154">
        <v>0.75</v>
      </c>
      <c r="O1081" s="154">
        <v>0.79166666666666674</v>
      </c>
      <c r="P1081" s="154" t="s">
        <v>424</v>
      </c>
      <c r="Q1081" s="154">
        <v>0.75</v>
      </c>
      <c r="R1081" s="154">
        <v>0.75</v>
      </c>
      <c r="S1081" s="154">
        <v>0.75</v>
      </c>
      <c r="T1081" s="154">
        <v>0.79166666666666674</v>
      </c>
      <c r="U1081" s="154">
        <v>0.75</v>
      </c>
      <c r="V1081" s="154">
        <v>0.75</v>
      </c>
      <c r="W1081" s="154">
        <v>0.75</v>
      </c>
      <c r="X1081" s="154">
        <v>0.79166666666666674</v>
      </c>
      <c r="Y1081" s="154">
        <v>0.75</v>
      </c>
      <c r="Z1081" s="154">
        <v>0.75</v>
      </c>
      <c r="AA1081" s="154">
        <v>0.79166666666666674</v>
      </c>
      <c r="AB1081" s="154">
        <v>0.75</v>
      </c>
      <c r="AC1081" s="154">
        <v>0.75</v>
      </c>
      <c r="AD1081" s="154">
        <v>0.79166666666666674</v>
      </c>
      <c r="AE1081" s="154">
        <v>0.75</v>
      </c>
      <c r="AF1081" s="154">
        <v>0.75</v>
      </c>
      <c r="AG1081" s="154">
        <v>0.75</v>
      </c>
      <c r="AH1081" s="154">
        <v>0.79166666666666674</v>
      </c>
      <c r="AI1081" s="154">
        <v>0.75</v>
      </c>
      <c r="AJ1081" s="154">
        <v>0.75</v>
      </c>
      <c r="AK1081" s="154">
        <v>0.75</v>
      </c>
      <c r="AL1081" s="154" t="s">
        <v>424</v>
      </c>
      <c r="AM1081" cm="1">
        <f t="array" ref="AM1081">SUM(_xlfn.LET(_xlpm.r,((IFERROR(H1081:AL1081-H1080:AL1080,0))*24)/10,IF(_xlpm.r&gt;1,1,_xlpm.r)))</f>
        <v>29</v>
      </c>
      <c r="AO1081" s="124" cm="1">
        <f t="array" ref="AO1081">SUM(
  IFERROR(
    ROUND(
      _xlfn.LET(
        _xlpm.e,H1081:AL1081,
        _xlpm.s,H1080:AL1080,
        _xlpm.r,(((_xlpm.e&lt;_xlpm.s)*1)+_xlpm.e-_xlpm.s)*24-11,
        IF(_xlpm.r&lt;=0,"",_xlpm.r)
      ),
      0
    ),
    ""
  )
)</f>
        <v>8</v>
      </c>
    </row>
    <row r="1082" spans="1:41" hidden="1" x14ac:dyDescent="0.25">
      <c r="A1082">
        <v>1081</v>
      </c>
      <c r="B1082">
        <v>2025</v>
      </c>
      <c r="C1082">
        <v>11</v>
      </c>
      <c r="D1082" t="s">
        <v>638</v>
      </c>
      <c r="E1082">
        <v>141</v>
      </c>
      <c r="F1082">
        <v>1</v>
      </c>
      <c r="G1082" t="s">
        <v>534</v>
      </c>
      <c r="H1082" s="154" t="s">
        <v>424</v>
      </c>
      <c r="I1082" s="154" t="s">
        <v>424</v>
      </c>
      <c r="J1082" s="154" t="s">
        <v>424</v>
      </c>
      <c r="K1082" s="154" t="s">
        <v>424</v>
      </c>
      <c r="L1082" s="154">
        <v>0.29166666666666669</v>
      </c>
      <c r="M1082" s="154">
        <v>0.29166666666666669</v>
      </c>
      <c r="N1082" s="154">
        <v>0.29166666666666669</v>
      </c>
      <c r="O1082" s="154">
        <v>0.29166666666666669</v>
      </c>
      <c r="P1082" s="154" t="s">
        <v>424</v>
      </c>
      <c r="Q1082" s="154">
        <v>0.29166666666666669</v>
      </c>
      <c r="R1082" s="154">
        <v>0.29166666666666669</v>
      </c>
      <c r="S1082" s="154">
        <v>0.29166666666666669</v>
      </c>
      <c r="T1082" s="154">
        <v>0.29166666666666669</v>
      </c>
      <c r="U1082" s="154">
        <v>0.29166666666666669</v>
      </c>
      <c r="V1082" s="154">
        <v>0.29166666666666669</v>
      </c>
      <c r="W1082" s="154">
        <v>0.29166666666666669</v>
      </c>
      <c r="X1082" s="154">
        <v>0.29166666666666669</v>
      </c>
      <c r="Y1082" s="154">
        <v>0.29166666666666669</v>
      </c>
      <c r="Z1082" s="154">
        <v>0.29166666666666669</v>
      </c>
      <c r="AA1082" s="154">
        <v>0.29166666666666669</v>
      </c>
      <c r="AB1082" s="154">
        <v>0.29166666666666669</v>
      </c>
      <c r="AC1082" s="154">
        <v>0.29166666666666669</v>
      </c>
      <c r="AD1082" s="154" t="s">
        <v>424</v>
      </c>
      <c r="AE1082" s="154">
        <v>0.29166666666666669</v>
      </c>
      <c r="AF1082" s="154">
        <v>0.29166666666666669</v>
      </c>
      <c r="AG1082" s="154">
        <v>0.29166666666666669</v>
      </c>
      <c r="AH1082" s="154">
        <v>0.29166666666666669</v>
      </c>
      <c r="AI1082" s="154">
        <v>0.29166666666666669</v>
      </c>
      <c r="AJ1082" s="154">
        <v>0.29166666666666669</v>
      </c>
      <c r="AK1082" s="154">
        <v>0.29166666666666669</v>
      </c>
      <c r="AL1082" s="154" t="s">
        <v>424</v>
      </c>
    </row>
    <row r="1083" spans="1:41" hidden="1" x14ac:dyDescent="0.25">
      <c r="A1083">
        <v>1082</v>
      </c>
      <c r="B1083">
        <v>2025</v>
      </c>
      <c r="C1083">
        <v>11</v>
      </c>
      <c r="D1083" t="s">
        <v>638</v>
      </c>
      <c r="E1083">
        <v>141</v>
      </c>
      <c r="F1083">
        <v>1</v>
      </c>
      <c r="G1083" t="s">
        <v>535</v>
      </c>
      <c r="H1083" s="154" t="s">
        <v>424</v>
      </c>
      <c r="I1083" s="154" t="s">
        <v>424</v>
      </c>
      <c r="J1083" s="154" t="s">
        <v>424</v>
      </c>
      <c r="K1083" s="154" t="s">
        <v>424</v>
      </c>
      <c r="L1083" s="154">
        <v>0.75</v>
      </c>
      <c r="M1083" s="154">
        <v>0.75</v>
      </c>
      <c r="N1083" s="154">
        <v>0.79166666666666674</v>
      </c>
      <c r="O1083" s="154">
        <v>0.79166666666666674</v>
      </c>
      <c r="P1083" s="154" t="s">
        <v>424</v>
      </c>
      <c r="Q1083" s="154">
        <v>0.79166666666666674</v>
      </c>
      <c r="R1083" s="154">
        <v>0.79166666666666674</v>
      </c>
      <c r="S1083" s="154">
        <v>0.75</v>
      </c>
      <c r="T1083" s="154">
        <v>0.75</v>
      </c>
      <c r="U1083" s="154">
        <v>0.79166666666666674</v>
      </c>
      <c r="V1083" s="154">
        <v>0.875</v>
      </c>
      <c r="W1083" s="154">
        <v>0.83333333333333326</v>
      </c>
      <c r="X1083" s="154">
        <v>0.79166666666666674</v>
      </c>
      <c r="Y1083" s="154">
        <v>0.79166666666666674</v>
      </c>
      <c r="Z1083" s="154">
        <v>0.75</v>
      </c>
      <c r="AA1083" s="154">
        <v>0.875</v>
      </c>
      <c r="AB1083" s="154">
        <v>0.79166666666666674</v>
      </c>
      <c r="AC1083" s="154">
        <v>0.875</v>
      </c>
      <c r="AD1083" s="154" t="s">
        <v>424</v>
      </c>
      <c r="AE1083" s="154">
        <v>0.83333333333333326</v>
      </c>
      <c r="AF1083" s="154">
        <v>0.79166666666666674</v>
      </c>
      <c r="AG1083" s="154">
        <v>0.75</v>
      </c>
      <c r="AH1083" s="154">
        <v>0.79166666666666674</v>
      </c>
      <c r="AI1083" s="154">
        <v>0.75</v>
      </c>
      <c r="AJ1083" s="154">
        <v>0.79166666666666674</v>
      </c>
      <c r="AK1083" s="154">
        <v>0.75</v>
      </c>
      <c r="AL1083" s="154" t="s">
        <v>424</v>
      </c>
      <c r="AM1083" cm="1">
        <f t="array" ref="AM1083">SUM(_xlfn.LET(_xlpm.r,((IFERROR(H1083:AL1083-H1082:AL1082,0))*24)/10,IF(_xlpm.r&gt;1,1,_xlpm.r)))</f>
        <v>24</v>
      </c>
      <c r="AO1083" s="124" cm="1">
        <f t="array" ref="AO1083">SUM(
  IFERROR(
    ROUND(
      _xlfn.LET(
        _xlpm.e,H1083:AL1083,
        _xlpm.s,H1082:AL1082,
        _xlpm.r,(((_xlpm.e&lt;_xlpm.s)*1)+_xlpm.e-_xlpm.s)*24-11,
        IF(_xlpm.r&lt;=0,"",_xlpm.r)
      ),
      0
    ),
    ""
  )
)</f>
        <v>24</v>
      </c>
    </row>
    <row r="1084" spans="1:41" hidden="1" x14ac:dyDescent="0.25">
      <c r="A1084">
        <v>1083</v>
      </c>
      <c r="B1084">
        <v>2025</v>
      </c>
      <c r="C1084">
        <v>12</v>
      </c>
      <c r="D1084" t="s">
        <v>608</v>
      </c>
      <c r="E1084">
        <v>98</v>
      </c>
      <c r="F1084">
        <v>6</v>
      </c>
      <c r="G1084" t="s">
        <v>534</v>
      </c>
      <c r="H1084" s="154">
        <v>0.29166666666666669</v>
      </c>
      <c r="J1084" s="154">
        <v>0.29166666666666669</v>
      </c>
      <c r="K1084" s="154">
        <v>0.29166666666666669</v>
      </c>
      <c r="L1084" s="154">
        <v>0.29166666666666669</v>
      </c>
      <c r="M1084" s="154">
        <v>0.29166666666666669</v>
      </c>
      <c r="N1084" s="154">
        <v>0.29166666666666669</v>
      </c>
      <c r="O1084" s="154">
        <v>0.29166666666666669</v>
      </c>
      <c r="P1084" s="154">
        <v>0.29166666666666669</v>
      </c>
      <c r="Q1084" s="154">
        <v>0.29166666666666669</v>
      </c>
      <c r="R1084" s="154">
        <v>0.29166666666666669</v>
      </c>
      <c r="S1084" s="154">
        <v>0.29166666666666669</v>
      </c>
      <c r="T1084" s="154">
        <v>0.29166666666666669</v>
      </c>
      <c r="V1084" s="154">
        <v>0.29166666666666669</v>
      </c>
      <c r="W1084" s="154">
        <v>0.29166666666666669</v>
      </c>
      <c r="X1084" s="154">
        <v>0.29166666666666669</v>
      </c>
      <c r="Z1084" s="154">
        <v>0.29166666666666669</v>
      </c>
      <c r="AA1084" s="154">
        <v>0.29166666666666669</v>
      </c>
      <c r="AB1084" s="154">
        <v>0.29166666666666669</v>
      </c>
      <c r="AC1084" s="154">
        <v>0.29166666666666669</v>
      </c>
      <c r="AD1084" s="154">
        <v>0.29166666666666669</v>
      </c>
      <c r="AE1084" s="154">
        <v>0.29166666666666669</v>
      </c>
      <c r="AF1084" s="154">
        <v>0.29166666666666669</v>
      </c>
      <c r="AG1084" s="154">
        <v>0.29166666666666669</v>
      </c>
      <c r="AH1084" s="154">
        <v>0.29166666666666669</v>
      </c>
      <c r="AI1084" s="154">
        <v>0.29166666666666669</v>
      </c>
      <c r="AJ1084" s="154">
        <v>0.29166666666666669</v>
      </c>
      <c r="AK1084" s="154">
        <v>0.29166666666666669</v>
      </c>
    </row>
    <row r="1085" spans="1:41" hidden="1" x14ac:dyDescent="0.25">
      <c r="A1085">
        <v>1084</v>
      </c>
      <c r="B1085">
        <v>2025</v>
      </c>
      <c r="C1085">
        <v>12</v>
      </c>
      <c r="D1085" t="s">
        <v>608</v>
      </c>
      <c r="E1085">
        <v>98</v>
      </c>
      <c r="F1085">
        <v>6</v>
      </c>
      <c r="G1085" t="s">
        <v>535</v>
      </c>
      <c r="H1085" s="154">
        <v>0.75</v>
      </c>
      <c r="J1085" s="154">
        <v>0.75</v>
      </c>
      <c r="K1085" s="154">
        <v>0.75</v>
      </c>
      <c r="L1085" s="154">
        <v>0.75</v>
      </c>
      <c r="M1085" s="154">
        <v>0.75</v>
      </c>
      <c r="N1085" s="154">
        <v>0.75</v>
      </c>
      <c r="O1085" s="154">
        <v>0.75</v>
      </c>
      <c r="P1085" s="154">
        <v>0.75</v>
      </c>
      <c r="Q1085" s="154">
        <v>0.75</v>
      </c>
      <c r="R1085" s="154">
        <v>0.75</v>
      </c>
      <c r="S1085" s="154">
        <v>0.75</v>
      </c>
      <c r="T1085" s="154">
        <v>0.75</v>
      </c>
      <c r="V1085" s="154">
        <v>0.75</v>
      </c>
      <c r="W1085" s="154">
        <v>0.75</v>
      </c>
      <c r="X1085" s="154">
        <v>0.75</v>
      </c>
      <c r="Z1085" s="154">
        <v>0.75</v>
      </c>
      <c r="AA1085" s="154">
        <v>0.75</v>
      </c>
      <c r="AB1085" s="154">
        <v>0.75</v>
      </c>
      <c r="AC1085" s="154">
        <v>0.75</v>
      </c>
      <c r="AD1085" s="154">
        <v>0.75</v>
      </c>
      <c r="AE1085" s="154">
        <v>0.75</v>
      </c>
      <c r="AF1085" s="154">
        <v>0.75</v>
      </c>
      <c r="AG1085" s="154">
        <v>0.75</v>
      </c>
      <c r="AH1085" s="154">
        <v>0.75</v>
      </c>
      <c r="AI1085" s="154">
        <v>0.75</v>
      </c>
      <c r="AJ1085" s="154">
        <v>0.75</v>
      </c>
      <c r="AK1085" s="154">
        <v>0.75</v>
      </c>
      <c r="AM1085" cm="1">
        <f t="array" ref="AM1085">SUM(_xlfn.LET(_xlpm.r,((IFERROR(H1085:AL1085-H1084:AL1084,0))*24)/11,IF(_xlpm.r&gt;1,1,_xlpm.r)))</f>
        <v>27</v>
      </c>
      <c r="AO1085" cm="1">
        <f t="array" ref="AO1085">SUM(IFERROR(MOD((H1085:AL1085-H1084:AL1084)*24,11),""))</f>
        <v>0</v>
      </c>
    </row>
    <row r="1086" spans="1:41" hidden="1" x14ac:dyDescent="0.25">
      <c r="A1086">
        <v>1085</v>
      </c>
      <c r="B1086">
        <v>2025</v>
      </c>
      <c r="C1086">
        <v>12</v>
      </c>
      <c r="D1086" t="s">
        <v>632</v>
      </c>
      <c r="E1086">
        <v>110</v>
      </c>
      <c r="F1086">
        <v>5</v>
      </c>
      <c r="G1086" t="s">
        <v>534</v>
      </c>
      <c r="H1086" s="154">
        <v>0.29166666666666669</v>
      </c>
      <c r="I1086" s="154">
        <v>0.29166666666666669</v>
      </c>
      <c r="J1086" s="154">
        <v>0.29166666666666669</v>
      </c>
      <c r="K1086" s="154">
        <v>0.29166666666666669</v>
      </c>
      <c r="L1086" s="154">
        <v>0.29166666666666669</v>
      </c>
      <c r="M1086" s="154">
        <v>0.29166666666666669</v>
      </c>
      <c r="N1086" s="154">
        <v>0.29166666666666669</v>
      </c>
      <c r="O1086" s="154">
        <v>0.29166666666666669</v>
      </c>
      <c r="P1086" s="154">
        <v>0.29166666666666669</v>
      </c>
      <c r="Q1086" s="154">
        <v>0.29166666666666669</v>
      </c>
      <c r="W1086" s="154">
        <v>0.29166666666666669</v>
      </c>
      <c r="X1086" s="154">
        <v>0.29166666666666669</v>
      </c>
      <c r="Y1086" s="154">
        <v>0.29166666666666669</v>
      </c>
      <c r="Z1086" s="154">
        <v>0.29166666666666669</v>
      </c>
      <c r="AA1086" s="154">
        <v>0.29166666666666669</v>
      </c>
      <c r="AB1086" s="154">
        <v>0.29166666666666669</v>
      </c>
      <c r="AC1086" s="154">
        <v>0.29166666666666669</v>
      </c>
      <c r="AD1086" s="154">
        <v>0.29166666666666669</v>
      </c>
      <c r="AE1086" s="154">
        <v>0.29166666666666669</v>
      </c>
      <c r="AF1086" s="154">
        <v>0.29166666666666669</v>
      </c>
      <c r="AG1086" s="154">
        <v>0.29166666666666669</v>
      </c>
      <c r="AH1086" s="154">
        <v>0.29166666666666669</v>
      </c>
      <c r="AI1086" s="154">
        <v>0.29166666666666669</v>
      </c>
      <c r="AJ1086" s="154">
        <v>0.29166666666666669</v>
      </c>
      <c r="AK1086" s="154">
        <v>0.29166666666666669</v>
      </c>
    </row>
    <row r="1087" spans="1:41" hidden="1" x14ac:dyDescent="0.25">
      <c r="A1087">
        <v>1086</v>
      </c>
      <c r="B1087">
        <v>2025</v>
      </c>
      <c r="C1087">
        <v>12</v>
      </c>
      <c r="D1087" t="s">
        <v>632</v>
      </c>
      <c r="E1087">
        <v>110</v>
      </c>
      <c r="F1087">
        <v>5</v>
      </c>
      <c r="G1087" t="s">
        <v>535</v>
      </c>
      <c r="H1087" s="154">
        <v>0.75</v>
      </c>
      <c r="I1087" s="154">
        <v>0.75</v>
      </c>
      <c r="J1087" s="154">
        <v>0.75</v>
      </c>
      <c r="K1087" s="154">
        <v>0.75</v>
      </c>
      <c r="L1087" s="154">
        <v>0.75</v>
      </c>
      <c r="M1087" s="154">
        <v>0.75</v>
      </c>
      <c r="N1087" s="154">
        <v>0.75</v>
      </c>
      <c r="O1087" s="154">
        <v>0.75</v>
      </c>
      <c r="P1087" s="154">
        <v>0.75</v>
      </c>
      <c r="Q1087" s="154">
        <v>0.75</v>
      </c>
      <c r="W1087" s="154">
        <v>0.75</v>
      </c>
      <c r="X1087" s="154">
        <v>0.75</v>
      </c>
      <c r="Y1087" s="154">
        <v>0.75</v>
      </c>
      <c r="Z1087" s="154">
        <v>0.75</v>
      </c>
      <c r="AA1087" s="154">
        <v>0.75</v>
      </c>
      <c r="AB1087" s="154">
        <v>0.75</v>
      </c>
      <c r="AC1087" s="154">
        <v>0.75</v>
      </c>
      <c r="AD1087" s="154">
        <v>0.75</v>
      </c>
      <c r="AE1087" s="154">
        <v>0.75</v>
      </c>
      <c r="AF1087" s="154">
        <v>0.75</v>
      </c>
      <c r="AG1087" s="154">
        <v>0.75</v>
      </c>
      <c r="AH1087" s="154">
        <v>0.75</v>
      </c>
      <c r="AI1087" s="154">
        <v>0.75</v>
      </c>
      <c r="AJ1087" s="154">
        <v>0.75</v>
      </c>
      <c r="AK1087" s="154">
        <v>0.75</v>
      </c>
      <c r="AM1087" cm="1">
        <f t="array" ref="AM1087">SUM(_xlfn.LET(_xlpm.r,((IFERROR(H1087:AL1087-H1086:AL1086,0))*24)/10,IF(_xlpm.r&gt;1,1,_xlpm.r)))</f>
        <v>25</v>
      </c>
      <c r="AO1087" s="124" cm="1">
        <f t="array" ref="AO1087">SUM(
  IFERROR(
    ROUND(
      _xlfn.LET(
        _xlpm.e,H1087:AL1087,
        _xlpm.s,H1086:AL1086,
        _xlpm.r,(((_xlpm.e&lt;_xlpm.s)*1)+_xlpm.e-_xlpm.s)*24-11,
        IF(_xlpm.r&lt;=0,"",_xlpm.r)
      ),
      0
    ),
    ""
  )
)</f>
        <v>0</v>
      </c>
    </row>
    <row r="1088" spans="1:41" hidden="1" x14ac:dyDescent="0.25">
      <c r="A1088">
        <v>1087</v>
      </c>
      <c r="B1088">
        <v>2025</v>
      </c>
      <c r="C1088">
        <v>12</v>
      </c>
      <c r="D1088" t="s">
        <v>637</v>
      </c>
      <c r="E1088">
        <v>121</v>
      </c>
      <c r="F1088">
        <v>3</v>
      </c>
      <c r="G1088" t="s">
        <v>534</v>
      </c>
      <c r="H1088" s="154">
        <v>0.29166666666666669</v>
      </c>
      <c r="I1088" s="154">
        <v>0.29166666666666669</v>
      </c>
      <c r="J1088" s="154">
        <v>0.29166666666666669</v>
      </c>
      <c r="K1088" s="154">
        <v>0.29166666666666669</v>
      </c>
      <c r="L1088" s="154">
        <v>0.29166666666666669</v>
      </c>
      <c r="M1088" s="154">
        <v>0.29166666666666669</v>
      </c>
      <c r="O1088" s="154">
        <v>0.29166666666666669</v>
      </c>
      <c r="P1088" s="154">
        <v>0.29166666666666669</v>
      </c>
      <c r="Q1088" s="154">
        <v>0.29166666666666669</v>
      </c>
      <c r="R1088" s="154">
        <v>0.29166666666666669</v>
      </c>
      <c r="S1088" s="154">
        <v>0.29166666666666669</v>
      </c>
      <c r="T1088" s="154">
        <v>0.29166666666666669</v>
      </c>
      <c r="V1088" s="154">
        <v>0.29166666666666669</v>
      </c>
      <c r="W1088" s="154">
        <v>0.29166666666666669</v>
      </c>
      <c r="X1088" s="154">
        <v>0.29166666666666669</v>
      </c>
      <c r="Y1088" s="154">
        <v>0.29166666666666669</v>
      </c>
      <c r="Z1088" s="154">
        <v>0.29166666666666669</v>
      </c>
      <c r="AA1088" s="154">
        <v>0.29166666666666669</v>
      </c>
      <c r="AB1088" s="154">
        <v>0.29166666666666669</v>
      </c>
      <c r="AC1088" s="154">
        <v>0.29166666666666669</v>
      </c>
      <c r="AD1088" s="154">
        <v>0.29166666666666669</v>
      </c>
      <c r="AE1088" s="154">
        <v>0.29166666666666669</v>
      </c>
      <c r="AF1088" s="154">
        <v>0.29166666666666669</v>
      </c>
      <c r="AG1088" s="154">
        <v>0.29166666666666669</v>
      </c>
      <c r="AH1088" s="154">
        <v>0.29166666666666669</v>
      </c>
      <c r="AI1088" s="154">
        <v>0.29166666666666669</v>
      </c>
      <c r="AJ1088" s="154">
        <v>0.29166666666666669</v>
      </c>
      <c r="AK1088" s="154">
        <v>0.29166666666666669</v>
      </c>
    </row>
    <row r="1089" spans="1:41" hidden="1" x14ac:dyDescent="0.25">
      <c r="A1089">
        <v>1088</v>
      </c>
      <c r="B1089">
        <v>2025</v>
      </c>
      <c r="C1089">
        <v>12</v>
      </c>
      <c r="D1089" t="s">
        <v>637</v>
      </c>
      <c r="E1089">
        <v>121</v>
      </c>
      <c r="F1089">
        <v>3</v>
      </c>
      <c r="G1089" t="s">
        <v>535</v>
      </c>
      <c r="H1089" s="154">
        <v>0.75</v>
      </c>
      <c r="I1089" s="154">
        <v>0.75</v>
      </c>
      <c r="J1089" s="154">
        <v>0.75</v>
      </c>
      <c r="K1089" s="154">
        <v>0.75</v>
      </c>
      <c r="L1089" s="154">
        <v>0.75</v>
      </c>
      <c r="M1089" s="154">
        <v>0.75</v>
      </c>
      <c r="O1089" s="154">
        <v>0.75</v>
      </c>
      <c r="P1089" s="154">
        <v>0.75</v>
      </c>
      <c r="Q1089" s="154">
        <v>0.75</v>
      </c>
      <c r="R1089" s="154">
        <v>0.75</v>
      </c>
      <c r="S1089" s="154">
        <v>0.75</v>
      </c>
      <c r="T1089" s="154">
        <v>0.75</v>
      </c>
      <c r="V1089" s="154">
        <v>0.75</v>
      </c>
      <c r="W1089" s="154">
        <v>0.75</v>
      </c>
      <c r="X1089" s="154">
        <v>0.75</v>
      </c>
      <c r="Y1089" s="154">
        <v>0.75</v>
      </c>
      <c r="Z1089" s="154">
        <v>0.75</v>
      </c>
      <c r="AA1089" s="154">
        <v>0.75</v>
      </c>
      <c r="AB1089" s="154">
        <v>0.75</v>
      </c>
      <c r="AC1089" s="154">
        <v>0.75</v>
      </c>
      <c r="AD1089" s="154">
        <v>0.75</v>
      </c>
      <c r="AE1089" s="154">
        <v>0.75</v>
      </c>
      <c r="AF1089" s="154">
        <v>0.75</v>
      </c>
      <c r="AG1089" s="154">
        <v>0.75</v>
      </c>
      <c r="AH1089" s="154">
        <v>0.75</v>
      </c>
      <c r="AI1089" s="154">
        <v>0.75</v>
      </c>
      <c r="AJ1089" s="154">
        <v>0.75</v>
      </c>
      <c r="AK1089" s="154">
        <v>0.75</v>
      </c>
      <c r="AM1089" cm="1">
        <f t="array" ref="AM1089">SUM(_xlfn.LET(_xlpm.r,((IFERROR(H1089:AL1089-H1088:AL1088,0))*24)/10,IF(_xlpm.r&gt;1,1,_xlpm.r)))</f>
        <v>28</v>
      </c>
      <c r="AO1089" s="124" cm="1">
        <f t="array" ref="AO1089">SUM(
  IFERROR(
    ROUND(
      _xlfn.LET(
        _xlpm.e,H1089:AL1089,
        _xlpm.s,H1088:AL1088,
        _xlpm.r,(((_xlpm.e&lt;_xlpm.s)*1)+_xlpm.e-_xlpm.s)*24-11,
        IF(_xlpm.r&lt;=0,"",_xlpm.r)
      ),
      0
    ),
    ""
  )
)</f>
        <v>0</v>
      </c>
    </row>
    <row r="1090" spans="1:41" hidden="1" x14ac:dyDescent="0.25">
      <c r="A1090">
        <v>1089</v>
      </c>
      <c r="B1090">
        <v>2025</v>
      </c>
      <c r="C1090">
        <v>12</v>
      </c>
      <c r="D1090" t="s">
        <v>638</v>
      </c>
      <c r="E1090">
        <v>141</v>
      </c>
      <c r="F1090">
        <v>2</v>
      </c>
      <c r="G1090" t="s">
        <v>534</v>
      </c>
      <c r="H1090" s="154">
        <v>0.29166666666666669</v>
      </c>
      <c r="I1090" s="154">
        <v>0.29166666666666669</v>
      </c>
      <c r="J1090" s="154">
        <v>0.29166666666666669</v>
      </c>
      <c r="K1090" s="154">
        <v>0.29166666666666669</v>
      </c>
      <c r="L1090" s="154">
        <v>0.29166666666666669</v>
      </c>
      <c r="M1090" s="154">
        <v>0.29166666666666669</v>
      </c>
      <c r="O1090" s="154">
        <v>0.29166666666666669</v>
      </c>
      <c r="P1090" s="154">
        <v>0.29166666666666669</v>
      </c>
      <c r="Q1090" s="154">
        <v>0.29166666666666669</v>
      </c>
      <c r="R1090" s="154">
        <v>0.29166666666666669</v>
      </c>
      <c r="S1090" s="154">
        <v>0.29166666666666669</v>
      </c>
      <c r="T1090" s="154">
        <v>0.29166666666666669</v>
      </c>
      <c r="V1090" s="154">
        <v>0.29166666666666669</v>
      </c>
      <c r="W1090" s="154">
        <v>0.29166666666666669</v>
      </c>
      <c r="X1090" s="154">
        <v>0.29166666666666669</v>
      </c>
      <c r="Y1090" s="154">
        <v>0.29166666666666669</v>
      </c>
      <c r="Z1090" s="154">
        <v>0.29166666666666669</v>
      </c>
      <c r="AA1090" s="154">
        <v>0.29166666666666669</v>
      </c>
      <c r="AB1090" s="154">
        <v>0.29166666666666669</v>
      </c>
      <c r="AC1090" s="154">
        <v>0.29166666666666669</v>
      </c>
      <c r="AD1090" s="154">
        <v>0.29166666666666669</v>
      </c>
      <c r="AE1090" s="154">
        <v>0.29166666666666669</v>
      </c>
      <c r="AF1090" s="154">
        <v>0.29166666666666669</v>
      </c>
      <c r="AG1090" s="154">
        <v>0.29166666666666669</v>
      </c>
      <c r="AH1090" s="154">
        <v>0.29166666666666669</v>
      </c>
      <c r="AI1090" s="154">
        <v>0.29166666666666669</v>
      </c>
      <c r="AJ1090" s="154">
        <v>0.29166666666666669</v>
      </c>
      <c r="AK1090" s="154">
        <v>0.29166666666666669</v>
      </c>
    </row>
    <row r="1091" spans="1:41" hidden="1" x14ac:dyDescent="0.25">
      <c r="A1091">
        <v>1090</v>
      </c>
      <c r="B1091">
        <v>2025</v>
      </c>
      <c r="C1091">
        <v>12</v>
      </c>
      <c r="D1091" t="s">
        <v>638</v>
      </c>
      <c r="E1091">
        <v>141</v>
      </c>
      <c r="F1091">
        <v>2</v>
      </c>
      <c r="G1091" t="s">
        <v>535</v>
      </c>
      <c r="H1091" s="154">
        <f>21/24</f>
        <v>0.875</v>
      </c>
      <c r="I1091" s="154">
        <v>0.75</v>
      </c>
      <c r="J1091" s="154">
        <f>21/24</f>
        <v>0.875</v>
      </c>
      <c r="K1091" s="154">
        <v>0.75</v>
      </c>
      <c r="L1091" s="154">
        <f>21/24</f>
        <v>0.875</v>
      </c>
      <c r="M1091" s="154">
        <f>19/24</f>
        <v>0.79166666666666663</v>
      </c>
      <c r="O1091" s="154">
        <v>0.75</v>
      </c>
      <c r="P1091" s="154">
        <v>0.75</v>
      </c>
      <c r="Q1091" s="154">
        <v>0.75</v>
      </c>
      <c r="R1091" s="154">
        <v>0.75</v>
      </c>
      <c r="S1091" s="154">
        <v>0.75</v>
      </c>
      <c r="T1091" s="154">
        <v>0.75</v>
      </c>
      <c r="V1091" s="154">
        <v>0.75</v>
      </c>
      <c r="W1091" s="154">
        <v>0.75</v>
      </c>
      <c r="X1091" s="154">
        <v>0.75</v>
      </c>
      <c r="Y1091" s="154">
        <v>0.75</v>
      </c>
      <c r="Z1091" s="154">
        <v>0.75</v>
      </c>
      <c r="AA1091" s="154">
        <v>0.75</v>
      </c>
      <c r="AB1091" s="154">
        <v>0.75</v>
      </c>
      <c r="AC1091" s="154">
        <v>0.75</v>
      </c>
      <c r="AD1091" s="154">
        <v>0.75</v>
      </c>
      <c r="AE1091" s="154">
        <v>0.75</v>
      </c>
      <c r="AF1091" s="154">
        <v>0.75</v>
      </c>
      <c r="AG1091" s="154">
        <v>0.75</v>
      </c>
      <c r="AH1091" s="154">
        <v>0.75</v>
      </c>
      <c r="AI1091" s="154">
        <v>0.75</v>
      </c>
      <c r="AJ1091" s="154">
        <v>0.75</v>
      </c>
      <c r="AK1091" s="154">
        <v>0.75</v>
      </c>
      <c r="AM1091" cm="1">
        <f t="array" ref="AM1091">SUM(_xlfn.LET(_xlpm.r,((IFERROR(H1091:AL1091-H1090:AL1090,0))*24)/10,IF(_xlpm.r&gt;1,1,_xlpm.r)))</f>
        <v>28</v>
      </c>
      <c r="AO1091" s="124" cm="1">
        <f t="array" ref="AO1091">SUM(
  IFERROR(
    ROUND(
      _xlfn.LET(
        _xlpm.e,H1091:AL1091,
        _xlpm.s,H1090:AL1090,
        _xlpm.r,(((_xlpm.e&lt;_xlpm.s)*1)+_xlpm.e-_xlpm.s)*24-11,
        IF(_xlpm.r&lt;=0,"",_xlpm.r)
      ),
      0
    ),
    ""
  )
)</f>
        <v>10</v>
      </c>
    </row>
    <row r="1092" spans="1:41" hidden="1" x14ac:dyDescent="0.25">
      <c r="A1092">
        <v>1091</v>
      </c>
      <c r="B1092">
        <v>2025</v>
      </c>
      <c r="C1092">
        <v>12</v>
      </c>
      <c r="D1092" t="s">
        <v>584</v>
      </c>
      <c r="E1092">
        <v>65</v>
      </c>
      <c r="F1092">
        <v>8</v>
      </c>
      <c r="G1092" t="s">
        <v>534</v>
      </c>
      <c r="H1092" s="154">
        <v>0.29166666666666669</v>
      </c>
      <c r="I1092" s="154">
        <v>0.29166666666666669</v>
      </c>
      <c r="J1092" s="154">
        <v>0.29166666666666669</v>
      </c>
      <c r="K1092" s="154">
        <v>0.29166666666666669</v>
      </c>
      <c r="L1092" s="154">
        <v>0.29166666666666669</v>
      </c>
      <c r="M1092" s="154">
        <v>0.29166666666666669</v>
      </c>
      <c r="O1092" s="154">
        <v>0.29166666666666669</v>
      </c>
      <c r="P1092" s="154">
        <v>0.29166666666666669</v>
      </c>
      <c r="Q1092" s="154">
        <v>0.29166666666666669</v>
      </c>
      <c r="R1092" s="154">
        <v>0.29166666666666669</v>
      </c>
      <c r="S1092" s="154">
        <v>0.29166666666666669</v>
      </c>
      <c r="T1092" s="154">
        <v>0.29166666666666669</v>
      </c>
      <c r="V1092" s="154">
        <v>0.29166666666666669</v>
      </c>
      <c r="W1092" s="154">
        <v>0.29166666666666669</v>
      </c>
      <c r="X1092" s="154">
        <v>0.29166666666666669</v>
      </c>
      <c r="Y1092" s="154">
        <v>0.29166666666666669</v>
      </c>
      <c r="Z1092" s="154">
        <v>0.29166666666666669</v>
      </c>
      <c r="AA1092" s="154">
        <v>0.29166666666666669</v>
      </c>
      <c r="AB1092" s="154">
        <v>0.29166666666666669</v>
      </c>
      <c r="AC1092" s="154">
        <v>0.29166666666666669</v>
      </c>
      <c r="AD1092" s="154">
        <v>0.29166666666666669</v>
      </c>
      <c r="AE1092" s="154">
        <v>0.29166666666666669</v>
      </c>
      <c r="AF1092" s="154">
        <v>0.29166666666666669</v>
      </c>
      <c r="AG1092" s="154">
        <v>0.29166666666666669</v>
      </c>
      <c r="AH1092" s="154">
        <v>0.29166666666666669</v>
      </c>
      <c r="AI1092" s="154">
        <v>0.29166666666666669</v>
      </c>
      <c r="AJ1092" s="154">
        <v>0.29166666666666669</v>
      </c>
      <c r="AK1092" s="154">
        <v>0.29166666666666669</v>
      </c>
    </row>
    <row r="1093" spans="1:41" hidden="1" x14ac:dyDescent="0.25">
      <c r="A1093">
        <v>1092</v>
      </c>
      <c r="B1093">
        <v>2025</v>
      </c>
      <c r="C1093">
        <v>12</v>
      </c>
      <c r="D1093" t="s">
        <v>584</v>
      </c>
      <c r="E1093">
        <v>65</v>
      </c>
      <c r="F1093">
        <v>8</v>
      </c>
      <c r="G1093" t="s">
        <v>535</v>
      </c>
      <c r="H1093" s="154">
        <f>21/24</f>
        <v>0.875</v>
      </c>
      <c r="I1093" s="154">
        <v>0.75</v>
      </c>
      <c r="J1093" s="154">
        <f>21/24</f>
        <v>0.875</v>
      </c>
      <c r="K1093" s="154">
        <v>0.75</v>
      </c>
      <c r="L1093" s="154">
        <f>21/24</f>
        <v>0.875</v>
      </c>
      <c r="M1093" s="154">
        <f>19/24</f>
        <v>0.79166666666666663</v>
      </c>
      <c r="O1093" s="154">
        <v>0.75</v>
      </c>
      <c r="P1093" s="154">
        <v>0.75</v>
      </c>
      <c r="Q1093" s="154">
        <v>0.75</v>
      </c>
      <c r="R1093" s="154">
        <v>0.75</v>
      </c>
      <c r="S1093" s="154">
        <v>0.75</v>
      </c>
      <c r="T1093" s="154">
        <v>0.75</v>
      </c>
      <c r="V1093" s="154">
        <v>0.75</v>
      </c>
      <c r="W1093" s="154">
        <v>0.75</v>
      </c>
      <c r="X1093" s="154">
        <v>0.75</v>
      </c>
      <c r="Y1093" s="154">
        <v>0.75</v>
      </c>
      <c r="Z1093" s="154">
        <v>0.75</v>
      </c>
      <c r="AA1093" s="154">
        <v>0.75</v>
      </c>
      <c r="AB1093" s="154">
        <v>0.75</v>
      </c>
      <c r="AC1093" s="154">
        <v>0.75</v>
      </c>
      <c r="AD1093" s="154">
        <v>0.75</v>
      </c>
      <c r="AE1093" s="154">
        <v>0.75</v>
      </c>
      <c r="AF1093" s="154">
        <v>0.75</v>
      </c>
      <c r="AG1093" s="154">
        <v>0.75</v>
      </c>
      <c r="AH1093" s="154">
        <v>0.75</v>
      </c>
      <c r="AI1093" s="154">
        <v>0.75</v>
      </c>
      <c r="AJ1093" s="154">
        <v>0.75</v>
      </c>
      <c r="AK1093" s="154">
        <v>0.75</v>
      </c>
      <c r="AM1093" cm="1">
        <f t="array" ref="AM1093">SUM(_xlfn.LET(_xlpm.r,((IFERROR(H1093:AL1093-H1092:AL1092,0))*24)/10,IF(_xlpm.r&gt;1,1,_xlpm.r)))</f>
        <v>28</v>
      </c>
      <c r="AO1093" s="124"/>
    </row>
    <row r="1094" spans="1:41" hidden="1" x14ac:dyDescent="0.25">
      <c r="A1094">
        <v>1093</v>
      </c>
      <c r="B1094">
        <v>2025</v>
      </c>
      <c r="C1094">
        <v>12</v>
      </c>
      <c r="D1094" t="s">
        <v>417</v>
      </c>
      <c r="E1094">
        <v>46</v>
      </c>
      <c r="F1094">
        <v>8</v>
      </c>
      <c r="G1094" t="s">
        <v>534</v>
      </c>
      <c r="H1094" s="154">
        <v>0.29166666666666669</v>
      </c>
      <c r="I1094" s="154">
        <v>0.29166666666666669</v>
      </c>
      <c r="J1094" s="154">
        <v>0.29166666666666669</v>
      </c>
      <c r="K1094" s="154">
        <v>0.29166666666666669</v>
      </c>
      <c r="L1094" s="154">
        <v>0.29166666666666669</v>
      </c>
      <c r="M1094" s="154">
        <v>0.29166666666666669</v>
      </c>
      <c r="O1094" s="154">
        <v>0.29166666666666669</v>
      </c>
      <c r="P1094" s="154">
        <v>0.29166666666666669</v>
      </c>
      <c r="Q1094" s="154">
        <v>0.29166666666666669</v>
      </c>
    </row>
    <row r="1095" spans="1:41" hidden="1" x14ac:dyDescent="0.25">
      <c r="A1095">
        <v>1094</v>
      </c>
      <c r="B1095">
        <v>2025</v>
      </c>
      <c r="C1095">
        <v>12</v>
      </c>
      <c r="D1095" t="s">
        <v>417</v>
      </c>
      <c r="E1095">
        <v>46</v>
      </c>
      <c r="F1095">
        <v>8</v>
      </c>
      <c r="G1095" t="s">
        <v>535</v>
      </c>
      <c r="H1095" s="154">
        <v>0.75</v>
      </c>
      <c r="I1095" s="154">
        <v>0.75</v>
      </c>
      <c r="J1095" s="154">
        <v>0.75</v>
      </c>
      <c r="K1095" s="154">
        <v>0.75</v>
      </c>
      <c r="L1095" s="154">
        <v>0.75</v>
      </c>
      <c r="M1095" s="154">
        <v>0.75</v>
      </c>
      <c r="O1095" s="154">
        <v>0.75</v>
      </c>
      <c r="P1095" s="154">
        <v>0.75</v>
      </c>
      <c r="Q1095" s="154">
        <v>0.75</v>
      </c>
      <c r="AM1095" cm="1">
        <f t="array" ref="AM1095">SUM(_xlfn.LET(_xlpm.r,((IFERROR(H1095:AL1095-H1094:AL1094,0))*24)/10,IF(_xlpm.r&gt;1,1,_xlpm.r)))</f>
        <v>9</v>
      </c>
      <c r="AO1095" cm="1">
        <f t="array" ref="AO1095">SUM(IFERROR(MOD((H1095:AL1095-H1094:AL1094)*24,11),""))</f>
        <v>0</v>
      </c>
    </row>
    <row r="1096" spans="1:41" x14ac:dyDescent="0.25">
      <c r="A1096">
        <v>1095</v>
      </c>
      <c r="B1096">
        <v>2025</v>
      </c>
      <c r="C1096">
        <v>12</v>
      </c>
      <c r="D1096" t="s">
        <v>567</v>
      </c>
      <c r="E1096">
        <v>50</v>
      </c>
      <c r="F1096">
        <v>7</v>
      </c>
      <c r="G1096" t="s">
        <v>534</v>
      </c>
      <c r="H1096" s="154">
        <v>0.29166666666666669</v>
      </c>
      <c r="I1096" s="154">
        <v>0.29166666666666669</v>
      </c>
      <c r="J1096" s="154">
        <v>0.29166666666666669</v>
      </c>
      <c r="K1096" s="154">
        <v>0.29166666666666669</v>
      </c>
      <c r="L1096" s="154">
        <v>0.29166666666666669</v>
      </c>
      <c r="M1096" s="154">
        <v>0.29166666666666669</v>
      </c>
      <c r="O1096" s="154">
        <v>0.29166666666666669</v>
      </c>
      <c r="P1096" s="154">
        <v>0.29166666666666669</v>
      </c>
      <c r="Q1096" s="154">
        <v>0.29166666666666669</v>
      </c>
      <c r="R1096" s="154">
        <v>0.29166666666666669</v>
      </c>
      <c r="S1096" s="154">
        <v>0.29166666666666669</v>
      </c>
      <c r="T1096" s="154">
        <v>0.29166666666666669</v>
      </c>
      <c r="V1096" s="154">
        <v>0.29166666666666669</v>
      </c>
      <c r="W1096" s="154">
        <v>0.29166666666666669</v>
      </c>
      <c r="X1096" s="154">
        <v>0.29166666666666669</v>
      </c>
      <c r="Y1096" s="154">
        <v>0.29166666666666669</v>
      </c>
      <c r="Z1096" s="154">
        <v>0.29166666666666669</v>
      </c>
      <c r="AA1096" s="154">
        <v>0.29166666666666669</v>
      </c>
      <c r="AB1096" s="154">
        <v>0.29166666666666669</v>
      </c>
      <c r="AC1096" s="154">
        <v>0.29166666666666669</v>
      </c>
      <c r="AD1096" s="154">
        <v>0.29166666666666669</v>
      </c>
      <c r="AE1096" s="154">
        <v>0.29166666666666669</v>
      </c>
      <c r="AF1096" s="154">
        <v>0.29166666666666669</v>
      </c>
      <c r="AG1096" s="154">
        <v>0.29166666666666669</v>
      </c>
      <c r="AH1096" s="154">
        <v>0.29166666666666669</v>
      </c>
      <c r="AI1096" s="154">
        <v>0.29166666666666669</v>
      </c>
      <c r="AJ1096" s="154">
        <v>0.29166666666666669</v>
      </c>
      <c r="AK1096" s="154">
        <v>0.29166666666666669</v>
      </c>
    </row>
    <row r="1097" spans="1:41" x14ac:dyDescent="0.25">
      <c r="A1097">
        <v>1096</v>
      </c>
      <c r="B1097">
        <v>2025</v>
      </c>
      <c r="C1097">
        <v>12</v>
      </c>
      <c r="D1097" t="s">
        <v>567</v>
      </c>
      <c r="E1097">
        <v>50</v>
      </c>
      <c r="F1097">
        <v>7</v>
      </c>
      <c r="G1097" t="s">
        <v>535</v>
      </c>
      <c r="H1097" s="154">
        <v>0.75</v>
      </c>
      <c r="I1097" s="154">
        <v>0.75</v>
      </c>
      <c r="J1097" s="154">
        <v>0.75</v>
      </c>
      <c r="K1097" s="154">
        <v>0.75</v>
      </c>
      <c r="L1097" s="154">
        <v>0.75</v>
      </c>
      <c r="M1097" s="154">
        <v>0.75</v>
      </c>
      <c r="O1097" s="154">
        <v>0.75</v>
      </c>
      <c r="P1097" s="154">
        <v>0.75</v>
      </c>
      <c r="Q1097" s="154">
        <v>0.75</v>
      </c>
      <c r="R1097" s="154">
        <v>0.75</v>
      </c>
      <c r="S1097" s="154">
        <v>0.75</v>
      </c>
      <c r="T1097" s="154">
        <v>0.75</v>
      </c>
      <c r="V1097" s="154">
        <v>0.75</v>
      </c>
      <c r="W1097" s="154">
        <v>0.75</v>
      </c>
      <c r="X1097" s="154">
        <v>0.75</v>
      </c>
      <c r="Y1097" s="154">
        <v>0.75</v>
      </c>
      <c r="Z1097" s="154">
        <v>0.75</v>
      </c>
      <c r="AA1097" s="154">
        <v>0.75</v>
      </c>
      <c r="AB1097" s="154">
        <v>0.75</v>
      </c>
      <c r="AC1097" s="154">
        <v>0.75</v>
      </c>
      <c r="AD1097" s="154">
        <v>0.75</v>
      </c>
      <c r="AE1097" s="154">
        <v>0.75</v>
      </c>
      <c r="AF1097" s="154">
        <v>0.75</v>
      </c>
      <c r="AG1097" s="154">
        <v>0.75</v>
      </c>
      <c r="AH1097" s="154">
        <v>0.75</v>
      </c>
      <c r="AI1097" s="154">
        <v>0.75</v>
      </c>
      <c r="AJ1097" s="154">
        <v>0.75</v>
      </c>
      <c r="AK1097" s="154">
        <v>0.75</v>
      </c>
      <c r="AM1097" cm="1">
        <f t="array" ref="AM1097">SUM(_xlfn.LET(_xlpm.r,((IFERROR(H1097:AL1097-H1096:AL1096,0))*24)/10,IF(_xlpm.r&gt;1,1,_xlpm.r)))</f>
        <v>28</v>
      </c>
      <c r="AO1097" cm="1">
        <f t="array" ref="AO1097">SUM(IFERROR(MOD((H1097:AL1097-H1096:AL1096)*24,11),""))</f>
        <v>0</v>
      </c>
    </row>
  </sheetData>
  <autoFilter ref="A1:AT1095" xr:uid="{31D98463-92B2-469F-A8A2-4052CBCFB091}">
    <filterColumn colId="4">
      <filters>
        <filter val="50"/>
      </filters>
    </filterColumn>
  </autoFilter>
  <conditionalFormatting sqref="H1:AL1048576">
    <cfRule type="expression" dxfId="2" priority="1">
      <formula>LEFT($G1,4)="time"</formula>
    </cfRule>
  </conditionalFormatting>
  <pageMargins left="0.7" right="0.7" top="0.75" bottom="0.75" header="0.3" footer="0.3"/>
  <pageSetup paperSize="9" scale="4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CC3C6-C9E9-415D-917A-812D0B016842}">
  <sheetPr codeName="Sheet5" filterMode="1"/>
  <dimension ref="A1:K165"/>
  <sheetViews>
    <sheetView workbookViewId="0">
      <pane ySplit="1" topLeftCell="A4" activePane="bottomLeft" state="frozen"/>
      <selection pane="bottomLeft" activeCell="E170" sqref="E170"/>
    </sheetView>
  </sheetViews>
  <sheetFormatPr defaultRowHeight="15" x14ac:dyDescent="0.25"/>
  <cols>
    <col min="1" max="1" width="4" bestFit="1" customWidth="1"/>
    <col min="2" max="2" width="7.140625" bestFit="1" customWidth="1"/>
    <col min="3" max="3" width="10.7109375" bestFit="1" customWidth="1"/>
    <col min="4" max="4" width="3.28515625" customWidth="1"/>
    <col min="5" max="5" width="8.42578125" bestFit="1" customWidth="1"/>
    <col min="6" max="6" width="8.42578125" customWidth="1"/>
    <col min="7" max="7" width="37.7109375" bestFit="1" customWidth="1"/>
    <col min="8" max="8" width="11.7109375" style="167" customWidth="1"/>
    <col min="9" max="9" width="11.28515625" bestFit="1" customWidth="1"/>
    <col min="11" max="11" width="11.5703125" style="167" bestFit="1" customWidth="1"/>
  </cols>
  <sheetData>
    <row r="1" spans="1:11" x14ac:dyDescent="0.25">
      <c r="A1" s="205" t="s">
        <v>168</v>
      </c>
      <c r="B1" s="205" t="s">
        <v>167</v>
      </c>
      <c r="C1" s="205" t="s">
        <v>175</v>
      </c>
      <c r="D1" s="205" t="s">
        <v>177</v>
      </c>
      <c r="E1" s="205" t="s">
        <v>176</v>
      </c>
      <c r="F1" s="205" t="s">
        <v>652</v>
      </c>
      <c r="G1" s="205" t="s">
        <v>643</v>
      </c>
      <c r="H1" s="206" t="s">
        <v>644</v>
      </c>
      <c r="I1" s="205" t="s">
        <v>645</v>
      </c>
      <c r="J1" s="205" t="s">
        <v>727</v>
      </c>
      <c r="K1" s="206" t="s">
        <v>728</v>
      </c>
    </row>
    <row r="2" spans="1:11" hidden="1" x14ac:dyDescent="0.25">
      <c r="A2" cm="1">
        <f t="array" ref="A2:A143">_xlfn.SEQUENCE(COUNTA(B:B)-1)</f>
        <v>1</v>
      </c>
      <c r="B2" t="str" cm="1">
        <f t="array" ref="B2:B143">_xlfn.DROP(_xlfn.UNIQUE(TEXT(_xlfn._TRO_TRAILING(quantities!D:D),"000")&amp;"-"&amp;TEXT(_xlfn._TRO_TRAILING(quantities!E:E),"000")),1)</f>
        <v>033-004</v>
      </c>
      <c r="C2" cm="1">
        <f t="array" ref="C2:C143">_xlfn.NUMBERVALUE(LEFT(_xlfn.ANCHORARRAY(B2),FIND("-",_xlfn.ANCHORARRAY(B2))-1))</f>
        <v>33</v>
      </c>
      <c r="D2" cm="1">
        <f t="array" ref="D2:D143">_xlfn.NUMBERVALUE(MID(_xlfn.ANCHORARRAY(B2),FIND("-",_xlfn.ANCHORARRAY(B2))+1,4))</f>
        <v>4</v>
      </c>
      <c r="E2" s="123">
        <v>45536</v>
      </c>
      <c r="F2" s="123">
        <v>45657</v>
      </c>
      <c r="G2" t="str" cm="1">
        <f t="array" ref="G2:G143">_xlfn.XLOOKUP(_xlfn.ANCHORARRAY(C2),log_contracts!B:B,log_contracts!E:E,,0)</f>
        <v>AKKOL HAZIR YEMEK SAN. TIC. AS</v>
      </c>
      <c r="H2" s="167" t="e" cm="1">
        <f t="array" aca="1" ref="H2" ca="1">SUM(_xlfn._xlws.FILTER(_xlfn._TRO_TRAILING(quantities!L:L),(_xlfn._TRO_TRAILING(quantities!D:D)=C2)*(_xlfn._TRO_TRAILING(quantities!E:E)=D2)))</f>
        <v>#VALUE!</v>
      </c>
      <c r="I2" s="167"/>
      <c r="J2" t="e">
        <f ca="1">SUMIFS(
INDIRECT("'[S2 Subcon IPC Log.xlsx]Subcon IPC Log'!"&amp;"$O:$O"),
INDIRECT("'[S2 Subcon IPC Log.xlsx]Subcon IPC Log'!"&amp;"$C:$C"),
"KLN-SPP2-"&amp;_xlfn.XLOOKUP(C2,log_contracts!B:B,log_contracts!C:C)&amp;"-"&amp;TEXT(C2,"000"),
INDIRECT("'[S2 Subcon IPC Log.xlsx]Subcon IPC Log'!"&amp;"$D:$D"),
D2)</f>
        <v>#REF!</v>
      </c>
      <c r="K2" s="167" t="e" cm="1">
        <f t="array" aca="1" ref="K2:K139" ca="1">_xlfn.DROP(_xlfn._TRO_TRAILING(H:H)-_xlfn._TRO_TRAILING(J:J),1)</f>
        <v>#VALUE!</v>
      </c>
    </row>
    <row r="3" spans="1:11" hidden="1" x14ac:dyDescent="0.25">
      <c r="A3">
        <v>2</v>
      </c>
      <c r="B3" t="str">
        <v>011-001</v>
      </c>
      <c r="C3">
        <v>11</v>
      </c>
      <c r="D3">
        <v>1</v>
      </c>
      <c r="E3" s="123">
        <v>45646</v>
      </c>
      <c r="F3" s="123">
        <v>45322</v>
      </c>
      <c r="G3" t="str">
        <v>CASPIAN ENGINEERING SOLUTIONS MMC</v>
      </c>
      <c r="H3" s="167" cm="1">
        <f t="array" aca="1" ref="H3" ca="1">SUM(_xlfn._xlws.FILTER(_xlfn._TRO_TRAILING(quantities!L:L),(_xlfn._TRO_TRAILING(quantities!D:D)=C3)*(_xlfn._TRO_TRAILING(quantities!E:E)=D3)))</f>
        <v>8300</v>
      </c>
      <c r="I3" s="167"/>
      <c r="J3" t="e">
        <f ca="1">SUMIFS(
INDIRECT("'[S2 Subcon IPC Log.xlsx]Subcon IPC Log'!"&amp;"$O:$O"),
INDIRECT("'[S2 Subcon IPC Log.xlsx]Subcon IPC Log'!"&amp;"$C:$C"),
"KLN-SPP2-"&amp;_xlfn.XLOOKUP(C3,log_contracts!B:B,log_contracts!C:C)&amp;"-"&amp;TEXT(C3,"000"),
INDIRECT("'[S2 Subcon IPC Log.xlsx]Subcon IPC Log'!"&amp;"$D:$D"),
D3)</f>
        <v>#REF!</v>
      </c>
      <c r="K3" s="167" t="e">
        <f ca="1"/>
        <v>#REF!</v>
      </c>
    </row>
    <row r="4" spans="1:11" hidden="1" x14ac:dyDescent="0.25">
      <c r="A4">
        <v>3</v>
      </c>
      <c r="B4" t="str">
        <v>014-001</v>
      </c>
      <c r="C4">
        <v>14</v>
      </c>
      <c r="D4">
        <v>1</v>
      </c>
      <c r="E4" s="123">
        <v>45652</v>
      </c>
      <c r="F4" s="123">
        <v>45688</v>
      </c>
      <c r="G4" t="str">
        <v>HİLAL LTD</v>
      </c>
      <c r="H4" s="167" cm="1">
        <f t="array" aca="1" ref="H4" ca="1">SUM(_xlfn._xlws.FILTER(_xlfn._TRO_TRAILING(quantities!L:L),(_xlfn._TRO_TRAILING(quantities!D:D)=C4)*(_xlfn._TRO_TRAILING(quantities!E:E)=D4)))</f>
        <v>6658.833333333333</v>
      </c>
      <c r="I4" s="167"/>
      <c r="J4" t="e">
        <f ca="1">SUMIFS(
INDIRECT("'[S2 Subcon IPC Log.xlsx]Subcon IPC Log'!"&amp;"$O:$O"),
INDIRECT("'[S2 Subcon IPC Log.xlsx]Subcon IPC Log'!"&amp;"$C:$C"),
"KLN-SPP2-"&amp;_xlfn.XLOOKUP(C4,log_contracts!B:B,log_contracts!C:C)&amp;"-"&amp;TEXT(C4,"000"),
INDIRECT("'[S2 Subcon IPC Log.xlsx]Subcon IPC Log'!"&amp;"$D:$D"),
D4)</f>
        <v>#REF!</v>
      </c>
      <c r="K4" s="167" t="e">
        <f ca="1"/>
        <v>#REF!</v>
      </c>
    </row>
    <row r="5" spans="1:11" hidden="1" x14ac:dyDescent="0.25">
      <c r="A5">
        <v>4</v>
      </c>
      <c r="B5" t="str">
        <v>030-001</v>
      </c>
      <c r="C5">
        <v>30</v>
      </c>
      <c r="D5">
        <v>1</v>
      </c>
      <c r="E5" s="123">
        <v>45658</v>
      </c>
      <c r="F5" s="123">
        <v>45688</v>
      </c>
      <c r="G5" t="str">
        <v>NAR TRANSPORT SERVICES MMC</v>
      </c>
      <c r="H5" s="167" cm="1">
        <f t="array" aca="1" ref="H5" ca="1">SUM(_xlfn._xlws.FILTER(_xlfn._TRO_TRAILING(quantities!L:L),(_xlfn._TRO_TRAILING(quantities!D:D)=C5)*(_xlfn._TRO_TRAILING(quantities!E:E)=D5)))</f>
        <v>1833.3333333333335</v>
      </c>
      <c r="I5" s="167"/>
      <c r="J5" t="e">
        <f ca="1">SUMIFS(
INDIRECT("'[S2 Subcon IPC Log.xlsx]Subcon IPC Log'!"&amp;"$O:$O"),
INDIRECT("'[S2 Subcon IPC Log.xlsx]Subcon IPC Log'!"&amp;"$C:$C"),
"KLN-SPP2-"&amp;_xlfn.XLOOKUP(C5,log_contracts!B:B,log_contracts!C:C)&amp;"-"&amp;TEXT(C5,"000"),
INDIRECT("'[S2 Subcon IPC Log.xlsx]Subcon IPC Log'!"&amp;"$D:$D"),
D5)</f>
        <v>#REF!</v>
      </c>
      <c r="K5" s="167" t="e">
        <f ca="1"/>
        <v>#REF!</v>
      </c>
    </row>
    <row r="6" spans="1:11" hidden="1" x14ac:dyDescent="0.25">
      <c r="A6">
        <v>5</v>
      </c>
      <c r="B6" t="str">
        <v>031-001</v>
      </c>
      <c r="C6">
        <v>31</v>
      </c>
      <c r="D6">
        <v>1</v>
      </c>
      <c r="E6" s="123">
        <v>45693</v>
      </c>
      <c r="F6" s="123">
        <v>45716</v>
      </c>
      <c r="G6" t="str">
        <v>NAR TRANSPORT SERVICES MMC</v>
      </c>
      <c r="H6" s="167" cm="1">
        <f t="array" aca="1" ref="H6" ca="1">SUM(_xlfn._xlws.FILTER(_xlfn._TRO_TRAILING(quantities!L:L),(_xlfn._TRO_TRAILING(quantities!D:D)=C6)*(_xlfn._TRO_TRAILING(quantities!E:E)=D6)))</f>
        <v>11283.421999999997</v>
      </c>
      <c r="I6" s="167"/>
      <c r="J6" t="e">
        <f ca="1">SUMIFS(
INDIRECT("'[S2 Subcon IPC Log.xlsx]Subcon IPC Log'!"&amp;"$O:$O"),
INDIRECT("'[S2 Subcon IPC Log.xlsx]Subcon IPC Log'!"&amp;"$C:$C"),
"KLN-SPP2-"&amp;_xlfn.XLOOKUP(C6,log_contracts!B:B,log_contracts!C:C)&amp;"-"&amp;TEXT(C6,"000"),
INDIRECT("'[S2 Subcon IPC Log.xlsx]Subcon IPC Log'!"&amp;"$D:$D"),
D6)</f>
        <v>#REF!</v>
      </c>
      <c r="K6" s="167" t="e">
        <f ca="1"/>
        <v>#REF!</v>
      </c>
    </row>
    <row r="7" spans="1:11" hidden="1" x14ac:dyDescent="0.25">
      <c r="A7">
        <v>6</v>
      </c>
      <c r="B7" t="str">
        <v>033-005</v>
      </c>
      <c r="C7">
        <v>33</v>
      </c>
      <c r="D7">
        <v>5</v>
      </c>
      <c r="E7" s="123">
        <v>45658</v>
      </c>
      <c r="F7" s="123">
        <v>45688</v>
      </c>
      <c r="G7" t="str">
        <v>AKKOL HAZIR YEMEK SAN. TIC. AS</v>
      </c>
      <c r="H7" s="167" t="e" cm="1">
        <f t="array" aca="1" ref="H7" ca="1">SUM(_xlfn._xlws.FILTER(_xlfn._TRO_TRAILING(quantities!L:L),(_xlfn._TRO_TRAILING(quantities!D:D)=C7)*(_xlfn._TRO_TRAILING(quantities!E:E)=D7)))</f>
        <v>#VALUE!</v>
      </c>
      <c r="I7" s="167"/>
      <c r="J7" t="e">
        <f ca="1">SUMIFS(
INDIRECT("'[S2 Subcon IPC Log.xlsx]Subcon IPC Log'!"&amp;"$O:$O"),
INDIRECT("'[S2 Subcon IPC Log.xlsx]Subcon IPC Log'!"&amp;"$C:$C"),
"KLN-SPP2-"&amp;_xlfn.XLOOKUP(C7,log_contracts!B:B,log_contracts!C:C)&amp;"-"&amp;TEXT(C7,"000"),
INDIRECT("'[S2 Subcon IPC Log.xlsx]Subcon IPC Log'!"&amp;"$D:$D"),
D7)</f>
        <v>#REF!</v>
      </c>
      <c r="K7" s="167" t="e">
        <f ca="1"/>
        <v>#VALUE!</v>
      </c>
    </row>
    <row r="8" spans="1:11" hidden="1" x14ac:dyDescent="0.25">
      <c r="A8">
        <v>7</v>
      </c>
      <c r="B8" t="str">
        <v>011-002</v>
      </c>
      <c r="C8">
        <v>11</v>
      </c>
      <c r="D8">
        <v>2</v>
      </c>
      <c r="E8" s="123">
        <v>45689</v>
      </c>
      <c r="F8" s="123">
        <v>45716</v>
      </c>
      <c r="G8" t="str">
        <v>CASPIAN ENGINEERING SOLUTIONS MMC</v>
      </c>
      <c r="H8" s="167" cm="1">
        <f t="array" aca="1" ref="H8" ca="1">SUM(_xlfn._xlws.FILTER(_xlfn._TRO_TRAILING(quantities!L:L),(_xlfn._TRO_TRAILING(quantities!D:D)=C8)*(_xlfn._TRO_TRAILING(quantities!E:E)=D8)))</f>
        <v>8760</v>
      </c>
      <c r="I8" s="167"/>
      <c r="J8" t="e">
        <f ca="1">SUMIFS(
INDIRECT("'[S2 Subcon IPC Log.xlsx]Subcon IPC Log'!"&amp;"$O:$O"),
INDIRECT("'[S2 Subcon IPC Log.xlsx]Subcon IPC Log'!"&amp;"$C:$C"),
"KLN-SPP2-"&amp;_xlfn.XLOOKUP(C8,log_contracts!B:B,log_contracts!C:C)&amp;"-"&amp;TEXT(C8,"000"),
INDIRECT("'[S2 Subcon IPC Log.xlsx]Subcon IPC Log'!"&amp;"$D:$D"),
D8)</f>
        <v>#REF!</v>
      </c>
      <c r="K8" s="167" t="e">
        <f ca="1"/>
        <v>#REF!</v>
      </c>
    </row>
    <row r="9" spans="1:11" hidden="1" x14ac:dyDescent="0.25">
      <c r="A9">
        <v>8</v>
      </c>
      <c r="B9" t="str">
        <v>014-002</v>
      </c>
      <c r="C9">
        <v>14</v>
      </c>
      <c r="D9">
        <v>2</v>
      </c>
      <c r="E9" s="123">
        <v>45689</v>
      </c>
      <c r="F9" s="123">
        <v>45716</v>
      </c>
      <c r="G9" t="str">
        <v>HİLAL LTD</v>
      </c>
      <c r="H9" s="167" cm="1">
        <f t="array" aca="1" ref="H9" ca="1">SUM(_xlfn._xlws.FILTER(_xlfn._TRO_TRAILING(quantities!L:L),(_xlfn._TRO_TRAILING(quantities!D:D)=C9)*(_xlfn._TRO_TRAILING(quantities!E:E)=D9)))</f>
        <v>6106.0000000000009</v>
      </c>
      <c r="I9" s="167"/>
      <c r="J9" t="e">
        <f ca="1">SUMIFS(
INDIRECT("'[S2 Subcon IPC Log.xlsx]Subcon IPC Log'!"&amp;"$O:$O"),
INDIRECT("'[S2 Subcon IPC Log.xlsx]Subcon IPC Log'!"&amp;"$C:$C"),
"KLN-SPP2-"&amp;_xlfn.XLOOKUP(C9,log_contracts!B:B,log_contracts!C:C)&amp;"-"&amp;TEXT(C9,"000"),
INDIRECT("'[S2 Subcon IPC Log.xlsx]Subcon IPC Log'!"&amp;"$D:$D"),
D9)</f>
        <v>#REF!</v>
      </c>
      <c r="K9" s="167" t="e">
        <f ca="1"/>
        <v>#REF!</v>
      </c>
    </row>
    <row r="10" spans="1:11" hidden="1" x14ac:dyDescent="0.25">
      <c r="A10">
        <v>9</v>
      </c>
      <c r="B10" t="str">
        <v>030-002</v>
      </c>
      <c r="C10">
        <v>30</v>
      </c>
      <c r="D10">
        <v>2</v>
      </c>
      <c r="E10" s="123">
        <v>45689</v>
      </c>
      <c r="F10" s="123">
        <v>45716</v>
      </c>
      <c r="G10" t="str">
        <v>NAR TRANSPORT SERVICES MMC</v>
      </c>
      <c r="H10" s="167" cm="1">
        <f t="array" aca="1" ref="H10" ca="1">SUM(_xlfn._xlws.FILTER(_xlfn._TRO_TRAILING(quantities!L:L),(_xlfn._TRO_TRAILING(quantities!D:D)=C10)*(_xlfn._TRO_TRAILING(quantities!E:E)=D10)))</f>
        <v>11000</v>
      </c>
      <c r="I10" s="167"/>
      <c r="J10" t="e">
        <f ca="1">SUMIFS(
INDIRECT("'[S2 Subcon IPC Log.xlsx]Subcon IPC Log'!"&amp;"$O:$O"),
INDIRECT("'[S2 Subcon IPC Log.xlsx]Subcon IPC Log'!"&amp;"$C:$C"),
"KLN-SPP2-"&amp;_xlfn.XLOOKUP(C10,log_contracts!B:B,log_contracts!C:C)&amp;"-"&amp;TEXT(C10,"000"),
INDIRECT("'[S2 Subcon IPC Log.xlsx]Subcon IPC Log'!"&amp;"$D:$D"),
D10)</f>
        <v>#REF!</v>
      </c>
      <c r="K10" s="167" t="e">
        <f ca="1"/>
        <v>#REF!</v>
      </c>
    </row>
    <row r="11" spans="1:11" hidden="1" x14ac:dyDescent="0.25">
      <c r="A11">
        <v>10</v>
      </c>
      <c r="B11" t="str">
        <v>033-006</v>
      </c>
      <c r="C11">
        <v>33</v>
      </c>
      <c r="D11">
        <v>6</v>
      </c>
      <c r="E11" s="123">
        <v>45689</v>
      </c>
      <c r="F11" s="123">
        <v>45716</v>
      </c>
      <c r="G11" t="str">
        <v>AKKOL HAZIR YEMEK SAN. TIC. AS</v>
      </c>
      <c r="H11" s="167" cm="1">
        <f t="array" aca="1" ref="H11" ca="1">SUM(_xlfn._xlws.FILTER(_xlfn._TRO_TRAILING(quantities!L:L),(_xlfn._TRO_TRAILING(quantities!D:D)=C11)*(_xlfn._TRO_TRAILING(quantities!E:E)=D11)))</f>
        <v>189498.75000000003</v>
      </c>
      <c r="I11" s="167"/>
      <c r="J11" t="e">
        <f ca="1">SUMIFS(
INDIRECT("'[S2 Subcon IPC Log.xlsx]Subcon IPC Log'!"&amp;"$O:$O"),
INDIRECT("'[S2 Subcon IPC Log.xlsx]Subcon IPC Log'!"&amp;"$C:$C"),
"KLN-SPP2-"&amp;_xlfn.XLOOKUP(C11,log_contracts!B:B,log_contracts!C:C)&amp;"-"&amp;TEXT(C11,"000"),
INDIRECT("'[S2 Subcon IPC Log.xlsx]Subcon IPC Log'!"&amp;"$D:$D"),
D11)</f>
        <v>#REF!</v>
      </c>
      <c r="K11" s="167" t="e">
        <f ca="1"/>
        <v>#REF!</v>
      </c>
    </row>
    <row r="12" spans="1:11" hidden="1" x14ac:dyDescent="0.25">
      <c r="A12">
        <v>11</v>
      </c>
      <c r="B12" t="str">
        <v>011-003</v>
      </c>
      <c r="C12">
        <v>11</v>
      </c>
      <c r="D12">
        <v>3</v>
      </c>
      <c r="E12" s="123">
        <v>45717</v>
      </c>
      <c r="F12" s="123">
        <v>45747</v>
      </c>
      <c r="G12" t="str">
        <v>CASPIAN ENGINEERING SOLUTIONS MMC</v>
      </c>
      <c r="H12" s="167" cm="1">
        <f t="array" aca="1" ref="H12" ca="1">SUM(_xlfn._xlws.FILTER(_xlfn._TRO_TRAILING(quantities!L:L),(_xlfn._TRO_TRAILING(quantities!D:D)=C12)*(_xlfn._TRO_TRAILING(quantities!E:E)=D12)))</f>
        <v>10940</v>
      </c>
      <c r="I12" s="167"/>
      <c r="J12" t="e">
        <f ca="1">SUMIFS(
INDIRECT("'[S2 Subcon IPC Log.xlsx]Subcon IPC Log'!"&amp;"$O:$O"),
INDIRECT("'[S2 Subcon IPC Log.xlsx]Subcon IPC Log'!"&amp;"$C:$C"),
"KLN-SPP2-"&amp;_xlfn.XLOOKUP(C12,log_contracts!B:B,log_contracts!C:C)&amp;"-"&amp;TEXT(C12,"000"),
INDIRECT("'[S2 Subcon IPC Log.xlsx]Subcon IPC Log'!"&amp;"$D:$D"),
D12)</f>
        <v>#REF!</v>
      </c>
      <c r="K12" s="167" t="e">
        <f ca="1"/>
        <v>#REF!</v>
      </c>
    </row>
    <row r="13" spans="1:11" hidden="1" x14ac:dyDescent="0.25">
      <c r="A13">
        <v>12</v>
      </c>
      <c r="B13" t="str">
        <v>014-003</v>
      </c>
      <c r="C13">
        <v>14</v>
      </c>
      <c r="D13">
        <v>3</v>
      </c>
      <c r="E13" s="123">
        <v>45717</v>
      </c>
      <c r="F13" s="123">
        <v>45747</v>
      </c>
      <c r="G13" t="str">
        <v>HİLAL LTD</v>
      </c>
      <c r="H13" s="167" cm="1">
        <f t="array" aca="1" ref="H13" ca="1">SUM(_xlfn._xlws.FILTER(_xlfn._TRO_TRAILING(quantities!L:L),(_xlfn._TRO_TRAILING(quantities!D:D)=C13)*(_xlfn._TRO_TRAILING(quantities!E:E)=D13)))</f>
        <v>10223.5</v>
      </c>
      <c r="I13" s="167"/>
      <c r="J13" t="e">
        <f ca="1">SUMIFS(
INDIRECT("'[S2 Subcon IPC Log.xlsx]Subcon IPC Log'!"&amp;"$O:$O"),
INDIRECT("'[S2 Subcon IPC Log.xlsx]Subcon IPC Log'!"&amp;"$C:$C"),
"KLN-SPP2-"&amp;_xlfn.XLOOKUP(C13,log_contracts!B:B,log_contracts!C:C)&amp;"-"&amp;TEXT(C13,"000"),
INDIRECT("'[S2 Subcon IPC Log.xlsx]Subcon IPC Log'!"&amp;"$D:$D"),
D13)</f>
        <v>#REF!</v>
      </c>
      <c r="K13" s="167" t="e">
        <f ca="1"/>
        <v>#REF!</v>
      </c>
    </row>
    <row r="14" spans="1:11" hidden="1" x14ac:dyDescent="0.25">
      <c r="A14">
        <v>13</v>
      </c>
      <c r="B14" t="str">
        <v>030-003</v>
      </c>
      <c r="C14">
        <v>30</v>
      </c>
      <c r="D14">
        <v>3</v>
      </c>
      <c r="E14" s="123">
        <v>45717</v>
      </c>
      <c r="F14" s="123">
        <v>45747</v>
      </c>
      <c r="G14" t="str">
        <v>NAR TRANSPORT SERVICES MMC</v>
      </c>
      <c r="H14" s="167" cm="1">
        <f t="array" aca="1" ref="H14" ca="1">SUM(_xlfn._xlws.FILTER(_xlfn._TRO_TRAILING(quantities!L:L),(_xlfn._TRO_TRAILING(quantities!D:D)=C14)*(_xlfn._TRO_TRAILING(quantities!E:E)=D14)))</f>
        <v>11000</v>
      </c>
      <c r="I14" s="167"/>
      <c r="J14" t="e">
        <f ca="1">SUMIFS(
INDIRECT("'[S2 Subcon IPC Log.xlsx]Subcon IPC Log'!"&amp;"$O:$O"),
INDIRECT("'[S2 Subcon IPC Log.xlsx]Subcon IPC Log'!"&amp;"$C:$C"),
"KLN-SPP2-"&amp;_xlfn.XLOOKUP(C14,log_contracts!B:B,log_contracts!C:C)&amp;"-"&amp;TEXT(C14,"000"),
INDIRECT("'[S2 Subcon IPC Log.xlsx]Subcon IPC Log'!"&amp;"$D:$D"),
D14)</f>
        <v>#REF!</v>
      </c>
      <c r="K14" s="167" t="e">
        <f ca="1"/>
        <v>#REF!</v>
      </c>
    </row>
    <row r="15" spans="1:11" hidden="1" x14ac:dyDescent="0.25">
      <c r="A15">
        <v>14</v>
      </c>
      <c r="B15" t="str">
        <v>031-002</v>
      </c>
      <c r="C15">
        <v>31</v>
      </c>
      <c r="D15">
        <v>2</v>
      </c>
      <c r="E15" s="123">
        <v>45717</v>
      </c>
      <c r="F15" s="123">
        <v>45747</v>
      </c>
      <c r="G15" t="str">
        <v>NAR TRANSPORT SERVICES MMC</v>
      </c>
      <c r="H15" s="167" cm="1">
        <f t="array" aca="1" ref="H15" ca="1">SUM(_xlfn._xlws.FILTER(_xlfn._TRO_TRAILING(quantities!L:L),(_xlfn._TRO_TRAILING(quantities!D:D)=C15)*(_xlfn._TRO_TRAILING(quantities!E:E)=D15)))</f>
        <v>38935.163000000022</v>
      </c>
      <c r="I15" s="167"/>
      <c r="J15" t="e">
        <f ca="1">SUMIFS(
INDIRECT("'[S2 Subcon IPC Log.xlsx]Subcon IPC Log'!"&amp;"$O:$O"),
INDIRECT("'[S2 Subcon IPC Log.xlsx]Subcon IPC Log'!"&amp;"$C:$C"),
"KLN-SPP2-"&amp;_xlfn.XLOOKUP(C15,log_contracts!B:B,log_contracts!C:C)&amp;"-"&amp;TEXT(C15,"000"),
INDIRECT("'[S2 Subcon IPC Log.xlsx]Subcon IPC Log'!"&amp;"$D:$D"),
D15)</f>
        <v>#REF!</v>
      </c>
      <c r="K15" s="167" t="e">
        <f ca="1"/>
        <v>#REF!</v>
      </c>
    </row>
    <row r="16" spans="1:11" hidden="1" x14ac:dyDescent="0.25">
      <c r="A16">
        <v>15</v>
      </c>
      <c r="B16" t="str">
        <v>033-007</v>
      </c>
      <c r="C16">
        <v>33</v>
      </c>
      <c r="D16">
        <v>7</v>
      </c>
      <c r="E16" s="123">
        <v>45717</v>
      </c>
      <c r="F16" s="123">
        <v>45747</v>
      </c>
      <c r="G16" t="str">
        <v>AKKOL HAZIR YEMEK SAN. TIC. AS</v>
      </c>
      <c r="H16" s="167" cm="1">
        <f t="array" aca="1" ref="H16" ca="1">SUM(_xlfn._xlws.FILTER(_xlfn._TRO_TRAILING(quantities!L:L),(_xlfn._TRO_TRAILING(quantities!D:D)=C16)*(_xlfn._TRO_TRAILING(quantities!E:E)=D16)))</f>
        <v>243907.20000000001</v>
      </c>
      <c r="I16" s="167"/>
      <c r="J16" t="e">
        <f ca="1">SUMIFS(
INDIRECT("'[S2 Subcon IPC Log.xlsx]Subcon IPC Log'!"&amp;"$O:$O"),
INDIRECT("'[S2 Subcon IPC Log.xlsx]Subcon IPC Log'!"&amp;"$C:$C"),
"KLN-SPP2-"&amp;_xlfn.XLOOKUP(C16,log_contracts!B:B,log_contracts!C:C)&amp;"-"&amp;TEXT(C16,"000"),
INDIRECT("'[S2 Subcon IPC Log.xlsx]Subcon IPC Log'!"&amp;"$D:$D"),
D16)</f>
        <v>#REF!</v>
      </c>
      <c r="K16" s="167" t="e">
        <f ca="1"/>
        <v>#REF!</v>
      </c>
    </row>
    <row r="17" spans="1:11" hidden="1" x14ac:dyDescent="0.25">
      <c r="A17">
        <v>16</v>
      </c>
      <c r="B17" t="str">
        <v>011-004</v>
      </c>
      <c r="C17">
        <v>11</v>
      </c>
      <c r="D17">
        <v>4</v>
      </c>
      <c r="E17" s="123">
        <v>45748</v>
      </c>
      <c r="F17" s="123">
        <v>45777</v>
      </c>
      <c r="G17" t="str">
        <v>CASPIAN ENGINEERING SOLUTIONS MMC</v>
      </c>
      <c r="H17" s="167" cm="1">
        <f t="array" aca="1" ref="H17" ca="1">SUM(_xlfn._xlws.FILTER(_xlfn._TRO_TRAILING(quantities!L:L),(_xlfn._TRO_TRAILING(quantities!D:D)=C17)*(_xlfn._TRO_TRAILING(quantities!E:E)=D17)))</f>
        <v>7500</v>
      </c>
      <c r="I17" s="167"/>
      <c r="J17" t="e">
        <f ca="1">SUMIFS(
INDIRECT("'[S2 Subcon IPC Log.xlsx]Subcon IPC Log'!"&amp;"$O:$O"),
INDIRECT("'[S2 Subcon IPC Log.xlsx]Subcon IPC Log'!"&amp;"$C:$C"),
"KLN-SPP2-"&amp;_xlfn.XLOOKUP(C17,log_contracts!B:B,log_contracts!C:C)&amp;"-"&amp;TEXT(C17,"000"),
INDIRECT("'[S2 Subcon IPC Log.xlsx]Subcon IPC Log'!"&amp;"$D:$D"),
D17)</f>
        <v>#REF!</v>
      </c>
      <c r="K17" s="167" t="e">
        <f ca="1"/>
        <v>#REF!</v>
      </c>
    </row>
    <row r="18" spans="1:11" hidden="1" x14ac:dyDescent="0.25">
      <c r="A18">
        <v>17</v>
      </c>
      <c r="B18" t="str">
        <v>014-004</v>
      </c>
      <c r="C18">
        <v>14</v>
      </c>
      <c r="D18">
        <v>4</v>
      </c>
      <c r="E18" s="123">
        <v>45748</v>
      </c>
      <c r="F18" s="123">
        <v>45777</v>
      </c>
      <c r="G18" t="str">
        <v>HİLAL LTD</v>
      </c>
      <c r="H18" s="167" cm="1">
        <f t="array" aca="1" ref="H18" ca="1">SUM(_xlfn._xlws.FILTER(_xlfn._TRO_TRAILING(quantities!L:L),(_xlfn._TRO_TRAILING(quantities!D:D)=C18)*(_xlfn._TRO_TRAILING(quantities!E:E)=D18)))</f>
        <v>14336</v>
      </c>
      <c r="I18" s="167"/>
      <c r="J18" t="e">
        <f ca="1">SUMIFS(
INDIRECT("'[S2 Subcon IPC Log.xlsx]Subcon IPC Log'!"&amp;"$O:$O"),
INDIRECT("'[S2 Subcon IPC Log.xlsx]Subcon IPC Log'!"&amp;"$C:$C"),
"KLN-SPP2-"&amp;_xlfn.XLOOKUP(C18,log_contracts!B:B,log_contracts!C:C)&amp;"-"&amp;TEXT(C18,"000"),
INDIRECT("'[S2 Subcon IPC Log.xlsx]Subcon IPC Log'!"&amp;"$D:$D"),
D18)</f>
        <v>#REF!</v>
      </c>
      <c r="K18" s="167" t="e">
        <f ca="1"/>
        <v>#REF!</v>
      </c>
    </row>
    <row r="19" spans="1:11" hidden="1" x14ac:dyDescent="0.25">
      <c r="A19">
        <v>18</v>
      </c>
      <c r="B19" t="str">
        <v>030-004</v>
      </c>
      <c r="C19">
        <v>30</v>
      </c>
      <c r="D19">
        <v>4</v>
      </c>
      <c r="E19" s="123">
        <v>45748</v>
      </c>
      <c r="F19" s="123">
        <v>45777</v>
      </c>
      <c r="G19" t="str">
        <v>NAR TRANSPORT SERVICES MMC</v>
      </c>
      <c r="H19" s="167" cm="1">
        <f t="array" aca="1" ref="H19" ca="1">SUM(_xlfn._xlws.FILTER(_xlfn._TRO_TRAILING(quantities!L:L),(_xlfn._TRO_TRAILING(quantities!D:D)=C19)*(_xlfn._TRO_TRAILING(quantities!E:E)=D19)))</f>
        <v>11000</v>
      </c>
      <c r="I19" s="167"/>
      <c r="J19" t="e">
        <f ca="1">SUMIFS(
INDIRECT("'[S2 Subcon IPC Log.xlsx]Subcon IPC Log'!"&amp;"$O:$O"),
INDIRECT("'[S2 Subcon IPC Log.xlsx]Subcon IPC Log'!"&amp;"$C:$C"),
"KLN-SPP2-"&amp;_xlfn.XLOOKUP(C19,log_contracts!B:B,log_contracts!C:C)&amp;"-"&amp;TEXT(C19,"000"),
INDIRECT("'[S2 Subcon IPC Log.xlsx]Subcon IPC Log'!"&amp;"$D:$D"),
D19)</f>
        <v>#REF!</v>
      </c>
      <c r="K19" s="167" t="e">
        <f ca="1"/>
        <v>#REF!</v>
      </c>
    </row>
    <row r="20" spans="1:11" hidden="1" x14ac:dyDescent="0.25">
      <c r="A20">
        <v>19</v>
      </c>
      <c r="B20" t="str">
        <v>031-003</v>
      </c>
      <c r="C20">
        <v>31</v>
      </c>
      <c r="D20">
        <v>3</v>
      </c>
      <c r="E20" s="123">
        <v>45748</v>
      </c>
      <c r="F20" s="123">
        <v>45777</v>
      </c>
      <c r="G20" t="str">
        <v>NAR TRANSPORT SERVICES MMC</v>
      </c>
      <c r="H20" s="167" cm="1">
        <f t="array" aca="1" ref="H20" ca="1">SUM(_xlfn._xlws.FILTER(_xlfn._TRO_TRAILING(quantities!L:L),(_xlfn._TRO_TRAILING(quantities!D:D)=C20)*(_xlfn._TRO_TRAILING(quantities!E:E)=D20)))</f>
        <v>33512.075649999992</v>
      </c>
      <c r="I20" s="167"/>
      <c r="J20" t="e">
        <f ca="1">SUMIFS(
INDIRECT("'[S2 Subcon IPC Log.xlsx]Subcon IPC Log'!"&amp;"$O:$O"),
INDIRECT("'[S2 Subcon IPC Log.xlsx]Subcon IPC Log'!"&amp;"$C:$C"),
"KLN-SPP2-"&amp;_xlfn.XLOOKUP(C20,log_contracts!B:B,log_contracts!C:C)&amp;"-"&amp;TEXT(C20,"000"),
INDIRECT("'[S2 Subcon IPC Log.xlsx]Subcon IPC Log'!"&amp;"$D:$D"),
D20)</f>
        <v>#REF!</v>
      </c>
      <c r="K20" s="167" t="e">
        <f ca="1"/>
        <v>#REF!</v>
      </c>
    </row>
    <row r="21" spans="1:11" hidden="1" x14ac:dyDescent="0.25">
      <c r="A21">
        <v>20</v>
      </c>
      <c r="B21" t="str">
        <v>033-008</v>
      </c>
      <c r="C21">
        <v>33</v>
      </c>
      <c r="D21">
        <v>8</v>
      </c>
      <c r="E21" s="123">
        <v>45748</v>
      </c>
      <c r="F21" s="123">
        <v>45777</v>
      </c>
      <c r="G21" t="str">
        <v>AKKOL HAZIR YEMEK SAN. TIC. AS</v>
      </c>
      <c r="H21" s="167" cm="1">
        <f t="array" aca="1" ref="H21" ca="1">SUM(_xlfn._xlws.FILTER(_xlfn._TRO_TRAILING(quantities!L:L),(_xlfn._TRO_TRAILING(quantities!D:D)=C21)*(_xlfn._TRO_TRAILING(quantities!E:E)=D21)))</f>
        <v>332920.15000000002</v>
      </c>
      <c r="I21" s="167"/>
      <c r="J21" t="e">
        <f ca="1">SUMIFS(
INDIRECT("'[S2 Subcon IPC Log.xlsx]Subcon IPC Log'!"&amp;"$O:$O"),
INDIRECT("'[S2 Subcon IPC Log.xlsx]Subcon IPC Log'!"&amp;"$C:$C"),
"KLN-SPP2-"&amp;_xlfn.XLOOKUP(C21,log_contracts!B:B,log_contracts!C:C)&amp;"-"&amp;TEXT(C21,"000"),
INDIRECT("'[S2 Subcon IPC Log.xlsx]Subcon IPC Log'!"&amp;"$D:$D"),
D21)</f>
        <v>#REF!</v>
      </c>
      <c r="K21" s="167" t="e">
        <f ca="1"/>
        <v>#REF!</v>
      </c>
    </row>
    <row r="22" spans="1:11" hidden="1" x14ac:dyDescent="0.25">
      <c r="A22">
        <v>21</v>
      </c>
      <c r="B22" t="str">
        <v>052-001</v>
      </c>
      <c r="C22">
        <v>52</v>
      </c>
      <c r="D22">
        <v>1</v>
      </c>
      <c r="E22" s="123">
        <v>45762</v>
      </c>
      <c r="F22" s="123">
        <v>45777</v>
      </c>
      <c r="G22" t="str">
        <v>DTS MMC</v>
      </c>
      <c r="H22" s="167" cm="1">
        <f t="array" aca="1" ref="H22" ca="1">SUM(_xlfn._xlws.FILTER(_xlfn._TRO_TRAILING(quantities!L:L),(_xlfn._TRO_TRAILING(quantities!D:D)=C22)*(_xlfn._TRO_TRAILING(quantities!E:E)=D22)))</f>
        <v>6262.5</v>
      </c>
      <c r="I22" s="167"/>
      <c r="J22" t="e">
        <f ca="1">SUMIFS(
INDIRECT("'[S2 Subcon IPC Log.xlsx]Subcon IPC Log'!"&amp;"$O:$O"),
INDIRECT("'[S2 Subcon IPC Log.xlsx]Subcon IPC Log'!"&amp;"$C:$C"),
"KLN-SPP2-"&amp;_xlfn.XLOOKUP(C22,log_contracts!B:B,log_contracts!C:C)&amp;"-"&amp;TEXT(C22,"000"),
INDIRECT("'[S2 Subcon IPC Log.xlsx]Subcon IPC Log'!"&amp;"$D:$D"),
D22)</f>
        <v>#REF!</v>
      </c>
      <c r="K22" s="167" t="e">
        <f ca="1"/>
        <v>#REF!</v>
      </c>
    </row>
    <row r="23" spans="1:11" hidden="1" x14ac:dyDescent="0.25">
      <c r="A23">
        <v>22</v>
      </c>
      <c r="B23" t="str">
        <v>011-005</v>
      </c>
      <c r="C23">
        <v>11</v>
      </c>
      <c r="D23">
        <v>5</v>
      </c>
      <c r="E23" s="123">
        <v>45778</v>
      </c>
      <c r="F23" s="123">
        <v>45808</v>
      </c>
      <c r="G23" t="str">
        <v>CASPIAN ENGINEERING SOLUTIONS MMC</v>
      </c>
      <c r="H23" s="167" cm="1">
        <f t="array" aca="1" ref="H23" ca="1">SUM(_xlfn._xlws.FILTER(_xlfn._TRO_TRAILING(quantities!L:L),(_xlfn._TRO_TRAILING(quantities!D:D)=C23)*(_xlfn._TRO_TRAILING(quantities!E:E)=D23)))</f>
        <v>10014</v>
      </c>
      <c r="I23" s="167"/>
      <c r="J23" t="e">
        <f ca="1">SUMIFS(
INDIRECT("'[S2 Subcon IPC Log.xlsx]Subcon IPC Log'!"&amp;"$O:$O"),
INDIRECT("'[S2 Subcon IPC Log.xlsx]Subcon IPC Log'!"&amp;"$C:$C"),
"KLN-SPP2-"&amp;_xlfn.XLOOKUP(C23,log_contracts!B:B,log_contracts!C:C)&amp;"-"&amp;TEXT(C23,"000"),
INDIRECT("'[S2 Subcon IPC Log.xlsx]Subcon IPC Log'!"&amp;"$D:$D"),
D23)</f>
        <v>#REF!</v>
      </c>
      <c r="K23" s="167" t="e">
        <f ca="1"/>
        <v>#REF!</v>
      </c>
    </row>
    <row r="24" spans="1:11" hidden="1" x14ac:dyDescent="0.25">
      <c r="A24">
        <v>23</v>
      </c>
      <c r="B24" t="str">
        <v>030-005</v>
      </c>
      <c r="C24">
        <v>30</v>
      </c>
      <c r="D24">
        <v>5</v>
      </c>
      <c r="E24" s="123">
        <v>45778</v>
      </c>
      <c r="F24" s="123">
        <v>45808</v>
      </c>
      <c r="G24" t="str">
        <v>NAR TRANSPORT SERVICES MMC</v>
      </c>
      <c r="H24" s="167" cm="1">
        <f t="array" aca="1" ref="H24" ca="1">SUM(_xlfn._xlws.FILTER(_xlfn._TRO_TRAILING(quantities!L:L),(_xlfn._TRO_TRAILING(quantities!D:D)=C24)*(_xlfn._TRO_TRAILING(quantities!E:E)=D24)))</f>
        <v>5500</v>
      </c>
      <c r="I24" s="167"/>
      <c r="J24" t="e">
        <f ca="1">SUMIFS(
INDIRECT("'[S2 Subcon IPC Log.xlsx]Subcon IPC Log'!"&amp;"$O:$O"),
INDIRECT("'[S2 Subcon IPC Log.xlsx]Subcon IPC Log'!"&amp;"$C:$C"),
"KLN-SPP2-"&amp;_xlfn.XLOOKUP(C24,log_contracts!B:B,log_contracts!C:C)&amp;"-"&amp;TEXT(C24,"000"),
INDIRECT("'[S2 Subcon IPC Log.xlsx]Subcon IPC Log'!"&amp;"$D:$D"),
D24)</f>
        <v>#REF!</v>
      </c>
      <c r="K24" s="167" t="e">
        <f ca="1"/>
        <v>#REF!</v>
      </c>
    </row>
    <row r="25" spans="1:11" hidden="1" x14ac:dyDescent="0.25">
      <c r="A25">
        <v>24</v>
      </c>
      <c r="B25" t="str">
        <v>031-004</v>
      </c>
      <c r="C25">
        <v>31</v>
      </c>
      <c r="D25">
        <v>4</v>
      </c>
      <c r="E25" s="123">
        <v>45778</v>
      </c>
      <c r="F25" s="123">
        <v>45808</v>
      </c>
      <c r="G25" t="str">
        <v>NAR TRANSPORT SERVICES MMC</v>
      </c>
      <c r="H25" s="167" cm="1">
        <f t="array" aca="1" ref="H25" ca="1">SUM(_xlfn._xlws.FILTER(_xlfn._TRO_TRAILING(quantities!L:L),(_xlfn._TRO_TRAILING(quantities!D:D)=C25)*(_xlfn._TRO_TRAILING(quantities!E:E)=D25)))</f>
        <v>33566.19049999999</v>
      </c>
      <c r="I25" s="167"/>
      <c r="J25" t="e">
        <f ca="1">SUMIFS(
INDIRECT("'[S2 Subcon IPC Log.xlsx]Subcon IPC Log'!"&amp;"$O:$O"),
INDIRECT("'[S2 Subcon IPC Log.xlsx]Subcon IPC Log'!"&amp;"$C:$C"),
"KLN-SPP2-"&amp;_xlfn.XLOOKUP(C25,log_contracts!B:B,log_contracts!C:C)&amp;"-"&amp;TEXT(C25,"000"),
INDIRECT("'[S2 Subcon IPC Log.xlsx]Subcon IPC Log'!"&amp;"$D:$D"),
D25)</f>
        <v>#REF!</v>
      </c>
      <c r="K25" s="167" t="e">
        <f ca="1"/>
        <v>#REF!</v>
      </c>
    </row>
    <row r="26" spans="1:11" hidden="1" x14ac:dyDescent="0.25">
      <c r="A26">
        <v>25</v>
      </c>
      <c r="B26" t="str">
        <v>033-009</v>
      </c>
      <c r="C26">
        <v>33</v>
      </c>
      <c r="D26">
        <v>9</v>
      </c>
      <c r="E26" s="123">
        <v>45778</v>
      </c>
      <c r="F26" s="123">
        <v>45808</v>
      </c>
      <c r="G26" t="str">
        <v>AKKOL HAZIR YEMEK SAN. TIC. AS</v>
      </c>
      <c r="H26" s="167" t="e" cm="1">
        <f t="array" aca="1" ref="H26" ca="1">SUM(_xlfn._xlws.FILTER(_xlfn._TRO_TRAILING(quantities!L:L),(_xlfn._TRO_TRAILING(quantities!D:D)=C26)*(_xlfn._TRO_TRAILING(quantities!E:E)=D26)))</f>
        <v>#VALUE!</v>
      </c>
      <c r="I26" s="167"/>
      <c r="J26" t="e">
        <f ca="1">SUMIFS(
INDIRECT("'[S2 Subcon IPC Log.xlsx]Subcon IPC Log'!"&amp;"$O:$O"),
INDIRECT("'[S2 Subcon IPC Log.xlsx]Subcon IPC Log'!"&amp;"$C:$C"),
"KLN-SPP2-"&amp;_xlfn.XLOOKUP(C26,log_contracts!B:B,log_contracts!C:C)&amp;"-"&amp;TEXT(C26,"000"),
INDIRECT("'[S2 Subcon IPC Log.xlsx]Subcon IPC Log'!"&amp;"$D:$D"),
D26)</f>
        <v>#REF!</v>
      </c>
      <c r="K26" s="167" t="e">
        <f ca="1"/>
        <v>#VALUE!</v>
      </c>
    </row>
    <row r="27" spans="1:11" hidden="1" x14ac:dyDescent="0.25">
      <c r="A27">
        <v>26</v>
      </c>
      <c r="B27" t="str">
        <v>046-001</v>
      </c>
      <c r="C27">
        <v>46</v>
      </c>
      <c r="D27">
        <v>1</v>
      </c>
      <c r="E27" s="123">
        <v>45778</v>
      </c>
      <c r="F27" s="123">
        <v>45808</v>
      </c>
      <c r="G27" t="str">
        <v>HARDCORE CE MMC</v>
      </c>
      <c r="H27" s="167" cm="1">
        <f t="array" aca="1" ref="H27" ca="1">SUM(_xlfn._xlws.FILTER(_xlfn._TRO_TRAILING(quantities!L:L),(_xlfn._TRO_TRAILING(quantities!D:D)=C27)*(_xlfn._TRO_TRAILING(quantities!E:E)=D27)))</f>
        <v>1714.2857142857142</v>
      </c>
      <c r="I27" s="167"/>
      <c r="J27" t="e">
        <f ca="1">SUMIFS(
INDIRECT("'[S2 Subcon IPC Log.xlsx]Subcon IPC Log'!"&amp;"$O:$O"),
INDIRECT("'[S2 Subcon IPC Log.xlsx]Subcon IPC Log'!"&amp;"$C:$C"),
"KLN-SPP2-"&amp;_xlfn.XLOOKUP(C27,log_contracts!B:B,log_contracts!C:C)&amp;"-"&amp;TEXT(C27,"000"),
INDIRECT("'[S2 Subcon IPC Log.xlsx]Subcon IPC Log'!"&amp;"$D:$D"),
D27)</f>
        <v>#REF!</v>
      </c>
      <c r="K27" s="167" t="e">
        <f ca="1"/>
        <v>#REF!</v>
      </c>
    </row>
    <row r="28" spans="1:11" hidden="1" x14ac:dyDescent="0.25">
      <c r="A28">
        <v>27</v>
      </c>
      <c r="B28" t="str">
        <v>052-002</v>
      </c>
      <c r="C28">
        <v>52</v>
      </c>
      <c r="D28">
        <v>2</v>
      </c>
      <c r="E28" s="123">
        <v>45778</v>
      </c>
      <c r="F28" s="123">
        <v>45808</v>
      </c>
      <c r="G28" t="str">
        <v>DTS MMC</v>
      </c>
      <c r="H28" s="167" cm="1">
        <f t="array" aca="1" ref="H28" ca="1">SUM(_xlfn._xlws.FILTER(_xlfn._TRO_TRAILING(quantities!L:L),(_xlfn._TRO_TRAILING(quantities!D:D)=C28)*(_xlfn._TRO_TRAILING(quantities!E:E)=D28)))</f>
        <v>15178.54</v>
      </c>
      <c r="I28" s="167"/>
      <c r="J28" t="e">
        <f ca="1">SUMIFS(
INDIRECT("'[S2 Subcon IPC Log.xlsx]Subcon IPC Log'!"&amp;"$O:$O"),
INDIRECT("'[S2 Subcon IPC Log.xlsx]Subcon IPC Log'!"&amp;"$C:$C"),
"KLN-SPP2-"&amp;_xlfn.XLOOKUP(C28,log_contracts!B:B,log_contracts!C:C)&amp;"-"&amp;TEXT(C28,"000"),
INDIRECT("'[S2 Subcon IPC Log.xlsx]Subcon IPC Log'!"&amp;"$D:$D"),
D28)</f>
        <v>#REF!</v>
      </c>
      <c r="K28" s="167" t="e">
        <f ca="1"/>
        <v>#REF!</v>
      </c>
    </row>
    <row r="29" spans="1:11" hidden="1" x14ac:dyDescent="0.25">
      <c r="A29">
        <v>28</v>
      </c>
      <c r="B29" t="str">
        <v>052-003</v>
      </c>
      <c r="C29">
        <v>52</v>
      </c>
      <c r="D29">
        <v>3</v>
      </c>
      <c r="E29" s="123">
        <v>45809</v>
      </c>
      <c r="F29" s="123">
        <v>45838</v>
      </c>
      <c r="G29" t="str">
        <v>DTS MMC</v>
      </c>
      <c r="H29" s="167" cm="1">
        <f t="array" aca="1" ref="H29" ca="1">SUM(_xlfn._xlws.FILTER(_xlfn._TRO_TRAILING(quantities!L:L),(_xlfn._TRO_TRAILING(quantities!D:D)=C29)*(_xlfn._TRO_TRAILING(quantities!E:E)=D29)))</f>
        <v>16580.28</v>
      </c>
      <c r="I29" s="167"/>
      <c r="J29" t="e">
        <f ca="1">SUMIFS(
INDIRECT("'[S2 Subcon IPC Log.xlsx]Subcon IPC Log'!"&amp;"$O:$O"),
INDIRECT("'[S2 Subcon IPC Log.xlsx]Subcon IPC Log'!"&amp;"$C:$C"),
"KLN-SPP2-"&amp;_xlfn.XLOOKUP(C29,log_contracts!B:B,log_contracts!C:C)&amp;"-"&amp;TEXT(C29,"000"),
INDIRECT("'[S2 Subcon IPC Log.xlsx]Subcon IPC Log'!"&amp;"$D:$D"),
D29)</f>
        <v>#REF!</v>
      </c>
      <c r="K29" s="167" t="e">
        <f ca="1"/>
        <v>#REF!</v>
      </c>
    </row>
    <row r="30" spans="1:11" hidden="1" x14ac:dyDescent="0.25">
      <c r="A30">
        <v>29</v>
      </c>
      <c r="B30" t="str">
        <v>065-001</v>
      </c>
      <c r="C30">
        <v>65</v>
      </c>
      <c r="D30">
        <v>1</v>
      </c>
      <c r="E30" s="123">
        <v>45778</v>
      </c>
      <c r="F30" s="123">
        <v>45808</v>
      </c>
      <c r="G30" t="str">
        <v>ETIBAR MAMMADOV</v>
      </c>
      <c r="H30" s="167" cm="1">
        <f t="array" aca="1" ref="H30" ca="1">SUM(_xlfn._xlws.FILTER(_xlfn._TRO_TRAILING(quantities!L:L),(_xlfn._TRO_TRAILING(quantities!D:D)=C30)*(_xlfn._TRO_TRAILING(quantities!E:E)=D30)))</f>
        <v>8446.3342857142852</v>
      </c>
      <c r="I30" s="167"/>
      <c r="J30" t="e">
        <f ca="1">SUMIFS(
INDIRECT("'[S2 Subcon IPC Log.xlsx]Subcon IPC Log'!"&amp;"$O:$O"),
INDIRECT("'[S2 Subcon IPC Log.xlsx]Subcon IPC Log'!"&amp;"$C:$C"),
"KLN-SPP2-"&amp;_xlfn.XLOOKUP(C30,log_contracts!B:B,log_contracts!C:C)&amp;"-"&amp;TEXT(C30,"000"),
INDIRECT("'[S2 Subcon IPC Log.xlsx]Subcon IPC Log'!"&amp;"$D:$D"),
D30)</f>
        <v>#REF!</v>
      </c>
      <c r="K30" s="167" t="e">
        <f ca="1"/>
        <v>#REF!</v>
      </c>
    </row>
    <row r="31" spans="1:11" hidden="1" x14ac:dyDescent="0.25">
      <c r="A31">
        <v>30</v>
      </c>
      <c r="B31" t="str">
        <v>011-006</v>
      </c>
      <c r="C31">
        <v>11</v>
      </c>
      <c r="D31">
        <v>6</v>
      </c>
      <c r="E31" s="123">
        <v>45809</v>
      </c>
      <c r="F31" s="123">
        <v>45838</v>
      </c>
      <c r="G31" t="str">
        <v>CASPIAN ENGINEERING SOLUTIONS MMC</v>
      </c>
      <c r="H31" s="167" cm="1">
        <f t="array" aca="1" ref="H31" ca="1">SUM(_xlfn._xlws.FILTER(_xlfn._TRO_TRAILING(quantities!L:L),(_xlfn._TRO_TRAILING(quantities!D:D)=C31)*(_xlfn._TRO_TRAILING(quantities!E:E)=D31)))</f>
        <v>9245</v>
      </c>
      <c r="I31" s="167"/>
      <c r="J31" t="e">
        <f ca="1">SUMIFS(
INDIRECT("'[S2 Subcon IPC Log.xlsx]Subcon IPC Log'!"&amp;"$O:$O"),
INDIRECT("'[S2 Subcon IPC Log.xlsx]Subcon IPC Log'!"&amp;"$C:$C"),
"KLN-SPP2-"&amp;_xlfn.XLOOKUP(C31,log_contracts!B:B,log_contracts!C:C)&amp;"-"&amp;TEXT(C31,"000"),
INDIRECT("'[S2 Subcon IPC Log.xlsx]Subcon IPC Log'!"&amp;"$D:$D"),
D31)</f>
        <v>#REF!</v>
      </c>
      <c r="K31" s="167" t="e">
        <f ca="1"/>
        <v>#REF!</v>
      </c>
    </row>
    <row r="32" spans="1:11" hidden="1" x14ac:dyDescent="0.25">
      <c r="A32">
        <v>31</v>
      </c>
      <c r="B32" t="str">
        <v>030-006</v>
      </c>
      <c r="C32">
        <v>30</v>
      </c>
      <c r="D32">
        <v>6</v>
      </c>
      <c r="E32" s="123">
        <v>45809</v>
      </c>
      <c r="F32" s="123">
        <v>45838</v>
      </c>
      <c r="G32" t="str">
        <v>NAR TRANSPORT SERVICES MMC</v>
      </c>
      <c r="H32" s="167" cm="1">
        <f t="array" aca="1" ref="H32" ca="1">SUM(_xlfn._xlws.FILTER(_xlfn._TRO_TRAILING(quantities!L:L),(_xlfn._TRO_TRAILING(quantities!D:D)=C32)*(_xlfn._TRO_TRAILING(quantities!E:E)=D32)))</f>
        <v>5500</v>
      </c>
      <c r="I32" s="167"/>
      <c r="J32" t="e">
        <f ca="1">SUMIFS(
INDIRECT("'[S2 Subcon IPC Log.xlsx]Subcon IPC Log'!"&amp;"$O:$O"),
INDIRECT("'[S2 Subcon IPC Log.xlsx]Subcon IPC Log'!"&amp;"$C:$C"),
"KLN-SPP2-"&amp;_xlfn.XLOOKUP(C32,log_contracts!B:B,log_contracts!C:C)&amp;"-"&amp;TEXT(C32,"000"),
INDIRECT("'[S2 Subcon IPC Log.xlsx]Subcon IPC Log'!"&amp;"$D:$D"),
D32)</f>
        <v>#REF!</v>
      </c>
      <c r="K32" s="167" t="e">
        <f ca="1"/>
        <v>#REF!</v>
      </c>
    </row>
    <row r="33" spans="1:11" hidden="1" x14ac:dyDescent="0.25">
      <c r="A33">
        <v>32</v>
      </c>
      <c r="B33" t="str">
        <v>031-005</v>
      </c>
      <c r="C33">
        <v>31</v>
      </c>
      <c r="D33">
        <v>5</v>
      </c>
      <c r="E33" s="123">
        <v>45809</v>
      </c>
      <c r="F33" s="123">
        <v>45838</v>
      </c>
      <c r="G33" t="str">
        <v>NAR TRANSPORT SERVICES MMC</v>
      </c>
      <c r="H33" s="167" cm="1">
        <f t="array" aca="1" ref="H33" ca="1">SUM(_xlfn._xlws.FILTER(_xlfn._TRO_TRAILING(quantities!L:L),(_xlfn._TRO_TRAILING(quantities!D:D)=C33)*(_xlfn._TRO_TRAILING(quantities!E:E)=D33)))</f>
        <v>36829.730499999998</v>
      </c>
      <c r="I33" s="167"/>
      <c r="J33" t="e">
        <f ca="1">SUMIFS(
INDIRECT("'[S2 Subcon IPC Log.xlsx]Subcon IPC Log'!"&amp;"$O:$O"),
INDIRECT("'[S2 Subcon IPC Log.xlsx]Subcon IPC Log'!"&amp;"$C:$C"),
"KLN-SPP2-"&amp;_xlfn.XLOOKUP(C33,log_contracts!B:B,log_contracts!C:C)&amp;"-"&amp;TEXT(C33,"000"),
INDIRECT("'[S2 Subcon IPC Log.xlsx]Subcon IPC Log'!"&amp;"$D:$D"),
D33)</f>
        <v>#REF!</v>
      </c>
      <c r="K33" s="167" t="e">
        <f ca="1"/>
        <v>#REF!</v>
      </c>
    </row>
    <row r="34" spans="1:11" hidden="1" x14ac:dyDescent="0.25">
      <c r="A34">
        <v>33</v>
      </c>
      <c r="B34" t="str">
        <v>033-010</v>
      </c>
      <c r="C34">
        <v>33</v>
      </c>
      <c r="D34">
        <v>10</v>
      </c>
      <c r="E34" s="123">
        <v>45809</v>
      </c>
      <c r="F34" s="123">
        <v>45838</v>
      </c>
      <c r="G34" t="str">
        <v>AKKOL HAZIR YEMEK SAN. TIC. AS</v>
      </c>
      <c r="H34" s="167" cm="1">
        <f t="array" aca="1" ref="H34" ca="1">SUM(_xlfn._xlws.FILTER(_xlfn._TRO_TRAILING(quantities!L:L),(_xlfn._TRO_TRAILING(quantities!D:D)=C34)*(_xlfn._TRO_TRAILING(quantities!E:E)=D34)))</f>
        <v>358514.76999999996</v>
      </c>
      <c r="I34" s="167"/>
      <c r="J34" t="e">
        <f ca="1">SUMIFS(
INDIRECT("'[S2 Subcon IPC Log.xlsx]Subcon IPC Log'!"&amp;"$O:$O"),
INDIRECT("'[S2 Subcon IPC Log.xlsx]Subcon IPC Log'!"&amp;"$C:$C"),
"KLN-SPP2-"&amp;_xlfn.XLOOKUP(C34,log_contracts!B:B,log_contracts!C:C)&amp;"-"&amp;TEXT(C34,"000"),
INDIRECT("'[S2 Subcon IPC Log.xlsx]Subcon IPC Log'!"&amp;"$D:$D"),
D34)</f>
        <v>#REF!</v>
      </c>
      <c r="K34" s="167" t="e">
        <f ca="1"/>
        <v>#REF!</v>
      </c>
    </row>
    <row r="35" spans="1:11" hidden="1" x14ac:dyDescent="0.25">
      <c r="A35">
        <v>34</v>
      </c>
      <c r="B35" t="str">
        <v>046-002</v>
      </c>
      <c r="C35">
        <v>46</v>
      </c>
      <c r="D35">
        <v>2</v>
      </c>
      <c r="E35" s="123">
        <v>45809</v>
      </c>
      <c r="F35" s="123">
        <v>45838</v>
      </c>
      <c r="G35" t="str">
        <v>HARDCORE CE MMC</v>
      </c>
      <c r="H35" s="167" cm="1">
        <f t="array" aca="1" ref="H35" ca="1">SUM(_xlfn._xlws.FILTER(_xlfn._TRO_TRAILING(quantities!L:L),(_xlfn._TRO_TRAILING(quantities!D:D)=C35)*(_xlfn._TRO_TRAILING(quantities!E:E)=D35)))</f>
        <v>17839.285714285714</v>
      </c>
      <c r="I35" s="167"/>
      <c r="J35" t="e">
        <f ca="1">SUMIFS(
INDIRECT("'[S2 Subcon IPC Log.xlsx]Subcon IPC Log'!"&amp;"$O:$O"),
INDIRECT("'[S2 Subcon IPC Log.xlsx]Subcon IPC Log'!"&amp;"$C:$C"),
"KLN-SPP2-"&amp;_xlfn.XLOOKUP(C35,log_contracts!B:B,log_contracts!C:C)&amp;"-"&amp;TEXT(C35,"000"),
INDIRECT("'[S2 Subcon IPC Log.xlsx]Subcon IPC Log'!"&amp;"$D:$D"),
D35)</f>
        <v>#REF!</v>
      </c>
      <c r="K35" s="167" t="e">
        <f ca="1"/>
        <v>#REF!</v>
      </c>
    </row>
    <row r="36" spans="1:11" hidden="1" x14ac:dyDescent="0.25">
      <c r="A36">
        <v>35</v>
      </c>
      <c r="B36" t="str">
        <v>050-001</v>
      </c>
      <c r="C36">
        <v>50</v>
      </c>
      <c r="D36">
        <v>1</v>
      </c>
      <c r="E36" s="123">
        <v>45809</v>
      </c>
      <c r="F36" s="123">
        <v>45838</v>
      </c>
      <c r="G36" t="str">
        <v>LOFT CONSTRUCTION</v>
      </c>
      <c r="H36" s="167" cm="1">
        <f t="array" aca="1" ref="H36" ca="1">SUM(_xlfn._xlws.FILTER(_xlfn._TRO_TRAILING(quantities!L:L),(_xlfn._TRO_TRAILING(quantities!D:D)=C36)*(_xlfn._TRO_TRAILING(quantities!E:E)=D36)))</f>
        <v>8750.0010500000008</v>
      </c>
      <c r="I36" s="167"/>
      <c r="J36" t="e">
        <f ca="1">SUMIFS(
INDIRECT("'[S2 Subcon IPC Log.xlsx]Subcon IPC Log'!"&amp;"$O:$O"),
INDIRECT("'[S2 Subcon IPC Log.xlsx]Subcon IPC Log'!"&amp;"$C:$C"),
"KLN-SPP2-"&amp;_xlfn.XLOOKUP(C36,log_contracts!B:B,log_contracts!C:C)&amp;"-"&amp;TEXT(C36,"000"),
INDIRECT("'[S2 Subcon IPC Log.xlsx]Subcon IPC Log'!"&amp;"$D:$D"),
D36)</f>
        <v>#REF!</v>
      </c>
      <c r="K36" s="167" t="e">
        <f ca="1"/>
        <v>#REF!</v>
      </c>
    </row>
    <row r="37" spans="1:11" hidden="1" x14ac:dyDescent="0.25">
      <c r="A37">
        <v>36</v>
      </c>
      <c r="B37" t="str">
        <v>065-002</v>
      </c>
      <c r="C37">
        <v>65</v>
      </c>
      <c r="D37">
        <v>2</v>
      </c>
      <c r="E37" s="123">
        <v>45809</v>
      </c>
      <c r="F37" s="123">
        <v>45838</v>
      </c>
      <c r="G37" t="str">
        <v>ETIBAR MAMMADOV</v>
      </c>
      <c r="H37" s="167" cm="1">
        <f t="array" aca="1" ref="H37" ca="1">SUM(_xlfn._xlws.FILTER(_xlfn._TRO_TRAILING(quantities!L:L),(_xlfn._TRO_TRAILING(quantities!D:D)=C37)*(_xlfn._TRO_TRAILING(quantities!E:E)=D37)))</f>
        <v>8955.2414285714294</v>
      </c>
      <c r="I37" s="167"/>
      <c r="J37" t="e">
        <f ca="1">SUMIFS(
INDIRECT("'[S2 Subcon IPC Log.xlsx]Subcon IPC Log'!"&amp;"$O:$O"),
INDIRECT("'[S2 Subcon IPC Log.xlsx]Subcon IPC Log'!"&amp;"$C:$C"),
"KLN-SPP2-"&amp;_xlfn.XLOOKUP(C37,log_contracts!B:B,log_contracts!C:C)&amp;"-"&amp;TEXT(C37,"000"),
INDIRECT("'[S2 Subcon IPC Log.xlsx]Subcon IPC Log'!"&amp;"$D:$D"),
D37)</f>
        <v>#REF!</v>
      </c>
      <c r="K37" s="167" t="e">
        <f ca="1"/>
        <v>#REF!</v>
      </c>
    </row>
    <row r="38" spans="1:11" hidden="1" x14ac:dyDescent="0.25">
      <c r="A38">
        <v>37</v>
      </c>
      <c r="B38" t="str">
        <v>085-001</v>
      </c>
      <c r="C38">
        <v>85</v>
      </c>
      <c r="D38">
        <v>1</v>
      </c>
      <c r="E38" s="123">
        <v>45824</v>
      </c>
      <c r="F38" s="123">
        <v>45838</v>
      </c>
      <c r="G38" t="str">
        <v>BABEK ALBANDOV</v>
      </c>
      <c r="H38" s="167" cm="1">
        <f t="array" aca="1" ref="H38" ca="1">SUM(_xlfn._xlws.FILTER(_xlfn._TRO_TRAILING(quantities!L:L),(_xlfn._TRO_TRAILING(quantities!D:D)=C38)*(_xlfn._TRO_TRAILING(quantities!E:E)=D38)))</f>
        <v>7857.1679999999997</v>
      </c>
      <c r="I38" s="167"/>
      <c r="J38" t="e">
        <f ca="1">SUMIFS(
INDIRECT("'[S2 Subcon IPC Log.xlsx]Subcon IPC Log'!"&amp;"$O:$O"),
INDIRECT("'[S2 Subcon IPC Log.xlsx]Subcon IPC Log'!"&amp;"$C:$C"),
"KLN-SPP2-"&amp;_xlfn.XLOOKUP(C38,log_contracts!B:B,log_contracts!C:C)&amp;"-"&amp;TEXT(C38,"000"),
INDIRECT("'[S2 Subcon IPC Log.xlsx]Subcon IPC Log'!"&amp;"$D:$D"),
D38)</f>
        <v>#REF!</v>
      </c>
      <c r="K38" s="167" t="e">
        <f ca="1"/>
        <v>#REF!</v>
      </c>
    </row>
    <row r="39" spans="1:11" hidden="1" x14ac:dyDescent="0.25">
      <c r="A39">
        <v>38</v>
      </c>
      <c r="B39" t="str">
        <v>091-001</v>
      </c>
      <c r="C39">
        <v>91</v>
      </c>
      <c r="D39">
        <v>1</v>
      </c>
      <c r="E39" s="123">
        <v>45834</v>
      </c>
      <c r="F39" s="123">
        <v>45869</v>
      </c>
      <c r="G39" t="str">
        <v>ELSAD QULIYEV</v>
      </c>
      <c r="H39" s="167" cm="1">
        <f t="array" aca="1" ref="H39" ca="1">SUM(_xlfn._xlws.FILTER(_xlfn._TRO_TRAILING(quantities!L:L),(_xlfn._TRO_TRAILING(quantities!D:D)=C39)*(_xlfn._TRO_TRAILING(quantities!E:E)=D39)))</f>
        <v>4083.3333333333335</v>
      </c>
      <c r="I39" s="167"/>
      <c r="J39" t="e">
        <f ca="1">SUMIFS(
INDIRECT("'[S2 Subcon IPC Log.xlsx]Subcon IPC Log'!"&amp;"$O:$O"),
INDIRECT("'[S2 Subcon IPC Log.xlsx]Subcon IPC Log'!"&amp;"$C:$C"),
"KLN-SPP2-"&amp;_xlfn.XLOOKUP(C39,log_contracts!B:B,log_contracts!C:C)&amp;"-"&amp;TEXT(C39,"000"),
INDIRECT("'[S2 Subcon IPC Log.xlsx]Subcon IPC Log'!"&amp;"$D:$D"),
D39)</f>
        <v>#REF!</v>
      </c>
      <c r="K39" s="167" t="e">
        <f ca="1"/>
        <v>#REF!</v>
      </c>
    </row>
    <row r="40" spans="1:11" hidden="1" x14ac:dyDescent="0.25">
      <c r="A40">
        <v>39</v>
      </c>
      <c r="B40" t="str">
        <v>094-001</v>
      </c>
      <c r="C40">
        <v>94</v>
      </c>
      <c r="D40">
        <v>1</v>
      </c>
      <c r="E40" s="123">
        <v>45809</v>
      </c>
      <c r="F40" s="123">
        <v>45838</v>
      </c>
      <c r="G40" t="str">
        <v>XANIM ABDULLAYEVA</v>
      </c>
      <c r="H40" s="167" cm="1">
        <f t="array" aca="1" ref="H40" ca="1">SUM(_xlfn._xlws.FILTER(_xlfn._TRO_TRAILING(quantities!L:L),(_xlfn._TRO_TRAILING(quantities!D:D)=C40)*(_xlfn._TRO_TRAILING(quantities!E:E)=D40)))</f>
        <v>3500</v>
      </c>
      <c r="I40" s="167"/>
      <c r="J40" t="e">
        <f ca="1">SUMIFS(
INDIRECT("'[S2 Subcon IPC Log.xlsx]Subcon IPC Log'!"&amp;"$O:$O"),
INDIRECT("'[S2 Subcon IPC Log.xlsx]Subcon IPC Log'!"&amp;"$C:$C"),
"KLN-SPP2-"&amp;_xlfn.XLOOKUP(C40,log_contracts!B:B,log_contracts!C:C)&amp;"-"&amp;TEXT(C40,"000"),
INDIRECT("'[S2 Subcon IPC Log.xlsx]Subcon IPC Log'!"&amp;"$D:$D"),
D40)</f>
        <v>#REF!</v>
      </c>
      <c r="K40" s="167" t="e">
        <f ca="1"/>
        <v>#REF!</v>
      </c>
    </row>
    <row r="41" spans="1:11" hidden="1" x14ac:dyDescent="0.25">
      <c r="A41">
        <v>40</v>
      </c>
      <c r="B41" t="str">
        <v>011-007</v>
      </c>
      <c r="C41">
        <v>11</v>
      </c>
      <c r="D41">
        <v>7</v>
      </c>
      <c r="E41" s="123">
        <v>45839</v>
      </c>
      <c r="F41" s="123">
        <v>45869</v>
      </c>
      <c r="G41" t="str">
        <v>CASPIAN ENGINEERING SOLUTIONS MMC</v>
      </c>
      <c r="H41" s="167" cm="1">
        <f t="array" aca="1" ref="H41" ca="1">SUM(_xlfn._xlws.FILTER(_xlfn._TRO_TRAILING(quantities!L:L),(_xlfn._TRO_TRAILING(quantities!D:D)=C41)*(_xlfn._TRO_TRAILING(quantities!E:E)=D41)))</f>
        <v>13000</v>
      </c>
      <c r="I41" s="167"/>
      <c r="J41" t="e">
        <f ca="1">SUMIFS(
INDIRECT("'[S2 Subcon IPC Log.xlsx]Subcon IPC Log'!"&amp;"$O:$O"),
INDIRECT("'[S2 Subcon IPC Log.xlsx]Subcon IPC Log'!"&amp;"$C:$C"),
"KLN-SPP2-"&amp;_xlfn.XLOOKUP(C41,log_contracts!B:B,log_contracts!C:C)&amp;"-"&amp;TEXT(C41,"000"),
INDIRECT("'[S2 Subcon IPC Log.xlsx]Subcon IPC Log'!"&amp;"$D:$D"),
D41)</f>
        <v>#REF!</v>
      </c>
      <c r="K41" s="167" t="e">
        <f ca="1"/>
        <v>#REF!</v>
      </c>
    </row>
    <row r="42" spans="1:11" hidden="1" x14ac:dyDescent="0.25">
      <c r="A42">
        <v>41</v>
      </c>
      <c r="B42" t="str">
        <v>030-007</v>
      </c>
      <c r="C42">
        <v>30</v>
      </c>
      <c r="D42">
        <v>7</v>
      </c>
      <c r="E42" s="123">
        <v>45839</v>
      </c>
      <c r="F42" s="123">
        <v>45869</v>
      </c>
      <c r="G42" t="str">
        <v>NAR TRANSPORT SERVICES MMC</v>
      </c>
      <c r="H42" s="167" cm="1">
        <f t="array" aca="1" ref="H42" ca="1">SUM(_xlfn._xlws.FILTER(_xlfn._TRO_TRAILING(quantities!L:L),(_xlfn._TRO_TRAILING(quantities!D:D)=C42)*(_xlfn._TRO_TRAILING(quantities!E:E)=D42)))</f>
        <v>5500</v>
      </c>
      <c r="I42" s="167"/>
      <c r="J42" t="e">
        <f ca="1">SUMIFS(
INDIRECT("'[S2 Subcon IPC Log.xlsx]Subcon IPC Log'!"&amp;"$O:$O"),
INDIRECT("'[S2 Subcon IPC Log.xlsx]Subcon IPC Log'!"&amp;"$C:$C"),
"KLN-SPP2-"&amp;_xlfn.XLOOKUP(C42,log_contracts!B:B,log_contracts!C:C)&amp;"-"&amp;TEXT(C42,"000"),
INDIRECT("'[S2 Subcon IPC Log.xlsx]Subcon IPC Log'!"&amp;"$D:$D"),
D42)</f>
        <v>#REF!</v>
      </c>
      <c r="K42" s="167" t="e">
        <f ca="1"/>
        <v>#REF!</v>
      </c>
    </row>
    <row r="43" spans="1:11" hidden="1" x14ac:dyDescent="0.25">
      <c r="A43">
        <v>42</v>
      </c>
      <c r="B43" t="str">
        <v>031-006</v>
      </c>
      <c r="C43">
        <v>31</v>
      </c>
      <c r="D43">
        <v>6</v>
      </c>
      <c r="E43" s="123">
        <v>45839</v>
      </c>
      <c r="F43" s="123">
        <v>45869</v>
      </c>
      <c r="G43" t="str">
        <v>NAR TRANSPORT SERVICES MMC</v>
      </c>
      <c r="H43" s="167" cm="1">
        <f t="array" aca="1" ref="H43" ca="1">SUM(_xlfn._xlws.FILTER(_xlfn._TRO_TRAILING(quantities!L:L),(_xlfn._TRO_TRAILING(quantities!D:D)=C43)*(_xlfn._TRO_TRAILING(quantities!E:E)=D43)))</f>
        <v>43815.263999999996</v>
      </c>
      <c r="I43" s="167"/>
      <c r="J43" t="e">
        <f ca="1">SUMIFS(
INDIRECT("'[S2 Subcon IPC Log.xlsx]Subcon IPC Log'!"&amp;"$O:$O"),
INDIRECT("'[S2 Subcon IPC Log.xlsx]Subcon IPC Log'!"&amp;"$C:$C"),
"KLN-SPP2-"&amp;_xlfn.XLOOKUP(C43,log_contracts!B:B,log_contracts!C:C)&amp;"-"&amp;TEXT(C43,"000"),
INDIRECT("'[S2 Subcon IPC Log.xlsx]Subcon IPC Log'!"&amp;"$D:$D"),
D43)</f>
        <v>#REF!</v>
      </c>
      <c r="K43" s="167" t="e">
        <f ca="1"/>
        <v>#REF!</v>
      </c>
    </row>
    <row r="44" spans="1:11" hidden="1" x14ac:dyDescent="0.25">
      <c r="A44">
        <v>43</v>
      </c>
      <c r="B44" t="str">
        <v>033-011</v>
      </c>
      <c r="C44">
        <v>33</v>
      </c>
      <c r="D44">
        <v>11</v>
      </c>
      <c r="E44" s="123">
        <v>45839</v>
      </c>
      <c r="F44" s="123">
        <v>45869</v>
      </c>
      <c r="G44" t="str">
        <v>AKKOL HAZIR YEMEK SAN. TIC. AS</v>
      </c>
      <c r="H44" s="167" cm="1">
        <f t="array" aca="1" ref="H44" ca="1">SUM(_xlfn._xlws.FILTER(_xlfn._TRO_TRAILING(quantities!L:L),(_xlfn._TRO_TRAILING(quantities!D:D)=C44)*(_xlfn._TRO_TRAILING(quantities!E:E)=D44)))</f>
        <v>437707.97</v>
      </c>
      <c r="I44" s="167"/>
      <c r="J44" t="e">
        <f ca="1">SUMIFS(
INDIRECT("'[S2 Subcon IPC Log.xlsx]Subcon IPC Log'!"&amp;"$O:$O"),
INDIRECT("'[S2 Subcon IPC Log.xlsx]Subcon IPC Log'!"&amp;"$C:$C"),
"KLN-SPP2-"&amp;_xlfn.XLOOKUP(C44,log_contracts!B:B,log_contracts!C:C)&amp;"-"&amp;TEXT(C44,"000"),
INDIRECT("'[S2 Subcon IPC Log.xlsx]Subcon IPC Log'!"&amp;"$D:$D"),
D44)</f>
        <v>#REF!</v>
      </c>
      <c r="K44" s="167" t="e">
        <f ca="1"/>
        <v>#REF!</v>
      </c>
    </row>
    <row r="45" spans="1:11" hidden="1" x14ac:dyDescent="0.25">
      <c r="A45">
        <v>44</v>
      </c>
      <c r="B45" t="str">
        <v>046-003</v>
      </c>
      <c r="C45">
        <v>46</v>
      </c>
      <c r="D45">
        <v>3</v>
      </c>
      <c r="E45" s="123">
        <v>45839</v>
      </c>
      <c r="F45" s="123">
        <v>45869</v>
      </c>
      <c r="G45" t="str">
        <v>HARDCORE CE MMC</v>
      </c>
      <c r="H45" s="167" cm="1">
        <f t="array" aca="1" ref="H45" ca="1">SUM(_xlfn._xlws.FILTER(_xlfn._TRO_TRAILING(quantities!L:L),(_xlfn._TRO_TRAILING(quantities!D:D)=C45)*(_xlfn._TRO_TRAILING(quantities!E:E)=D45)))</f>
        <v>29662.14352571428</v>
      </c>
      <c r="I45" s="167"/>
      <c r="J45" t="e">
        <f ca="1">SUMIFS(
INDIRECT("'[S2 Subcon IPC Log.xlsx]Subcon IPC Log'!"&amp;"$O:$O"),
INDIRECT("'[S2 Subcon IPC Log.xlsx]Subcon IPC Log'!"&amp;"$C:$C"),
"KLN-SPP2-"&amp;_xlfn.XLOOKUP(C45,log_contracts!B:B,log_contracts!C:C)&amp;"-"&amp;TEXT(C45,"000"),
INDIRECT("'[S2 Subcon IPC Log.xlsx]Subcon IPC Log'!"&amp;"$D:$D"),
D45)</f>
        <v>#REF!</v>
      </c>
      <c r="K45" s="167" t="e">
        <f ca="1"/>
        <v>#REF!</v>
      </c>
    </row>
    <row r="46" spans="1:11" hidden="1" x14ac:dyDescent="0.25">
      <c r="A46">
        <v>45</v>
      </c>
      <c r="B46" t="str">
        <v>050-002</v>
      </c>
      <c r="C46">
        <v>50</v>
      </c>
      <c r="D46">
        <v>2</v>
      </c>
      <c r="E46" s="123">
        <v>45839</v>
      </c>
      <c r="F46" s="123">
        <v>45869</v>
      </c>
      <c r="G46" t="str">
        <v>LOFT CONSTRUCTION</v>
      </c>
      <c r="H46" s="167" cm="1">
        <f t="array" aca="1" ref="H46" ca="1">SUM(_xlfn._xlws.FILTER(_xlfn._TRO_TRAILING(quantities!L:L),(_xlfn._TRO_TRAILING(quantities!D:D)=C46)*(_xlfn._TRO_TRAILING(quantities!E:E)=D46)))</f>
        <v>10357.1441</v>
      </c>
      <c r="I46" s="167"/>
      <c r="J46" t="e">
        <f ca="1">SUMIFS(
INDIRECT("'[S2 Subcon IPC Log.xlsx]Subcon IPC Log'!"&amp;"$O:$O"),
INDIRECT("'[S2 Subcon IPC Log.xlsx]Subcon IPC Log'!"&amp;"$C:$C"),
"KLN-SPP2-"&amp;_xlfn.XLOOKUP(C46,log_contracts!B:B,log_contracts!C:C)&amp;"-"&amp;TEXT(C46,"000"),
INDIRECT("'[S2 Subcon IPC Log.xlsx]Subcon IPC Log'!"&amp;"$D:$D"),
D46)</f>
        <v>#REF!</v>
      </c>
      <c r="K46" s="167" t="e">
        <f ca="1"/>
        <v>#REF!</v>
      </c>
    </row>
    <row r="47" spans="1:11" hidden="1" x14ac:dyDescent="0.25">
      <c r="A47">
        <v>46</v>
      </c>
      <c r="B47" t="str">
        <v>051-001</v>
      </c>
      <c r="C47">
        <v>51</v>
      </c>
      <c r="D47">
        <v>1</v>
      </c>
      <c r="E47" s="123">
        <v>45761</v>
      </c>
      <c r="F47" s="123">
        <v>45777</v>
      </c>
      <c r="G47" t="str">
        <v>INTERMAK GROUP MMC</v>
      </c>
      <c r="H47" s="167" cm="1">
        <f t="array" aca="1" ref="H47" ca="1">SUM(_xlfn._xlws.FILTER(_xlfn._TRO_TRAILING(quantities!L:L),(_xlfn._TRO_TRAILING(quantities!D:D)=C47)*(_xlfn._TRO_TRAILING(quantities!E:E)=D47)))</f>
        <v>3700</v>
      </c>
      <c r="I47" s="167"/>
      <c r="J47" t="e">
        <f ca="1">SUMIFS(
INDIRECT("'[S2 Subcon IPC Log.xlsx]Subcon IPC Log'!"&amp;"$O:$O"),
INDIRECT("'[S2 Subcon IPC Log.xlsx]Subcon IPC Log'!"&amp;"$C:$C"),
"KLN-SPP2-"&amp;_xlfn.XLOOKUP(C47,log_contracts!B:B,log_contracts!C:C)&amp;"-"&amp;TEXT(C47,"000"),
INDIRECT("'[S2 Subcon IPC Log.xlsx]Subcon IPC Log'!"&amp;"$D:$D"),
D47)</f>
        <v>#REF!</v>
      </c>
      <c r="K47" s="167" t="e">
        <f ca="1"/>
        <v>#REF!</v>
      </c>
    </row>
    <row r="48" spans="1:11" hidden="1" x14ac:dyDescent="0.25">
      <c r="A48">
        <v>47</v>
      </c>
      <c r="B48" t="str">
        <v>052-004</v>
      </c>
      <c r="C48">
        <v>52</v>
      </c>
      <c r="D48">
        <v>4</v>
      </c>
      <c r="E48" s="123">
        <v>45839</v>
      </c>
      <c r="F48" s="123">
        <v>45869</v>
      </c>
      <c r="G48" t="str">
        <v>DTS MMC</v>
      </c>
      <c r="H48" s="167" cm="1">
        <f t="array" aca="1" ref="H48" ca="1">SUM(_xlfn._xlws.FILTER(_xlfn._TRO_TRAILING(quantities!L:L),(_xlfn._TRO_TRAILING(quantities!D:D)=C48)*(_xlfn._TRO_TRAILING(quantities!E:E)=D48)))</f>
        <v>10875</v>
      </c>
      <c r="I48" s="167"/>
      <c r="J48" t="e">
        <f ca="1">SUMIFS(
INDIRECT("'[S2 Subcon IPC Log.xlsx]Subcon IPC Log'!"&amp;"$O:$O"),
INDIRECT("'[S2 Subcon IPC Log.xlsx]Subcon IPC Log'!"&amp;"$C:$C"),
"KLN-SPP2-"&amp;_xlfn.XLOOKUP(C48,log_contracts!B:B,log_contracts!C:C)&amp;"-"&amp;TEXT(C48,"000"),
INDIRECT("'[S2 Subcon IPC Log.xlsx]Subcon IPC Log'!"&amp;"$D:$D"),
D48)</f>
        <v>#REF!</v>
      </c>
      <c r="K48" s="167" t="e">
        <f ca="1"/>
        <v>#REF!</v>
      </c>
    </row>
    <row r="49" spans="1:11" hidden="1" x14ac:dyDescent="0.25">
      <c r="A49">
        <v>48</v>
      </c>
      <c r="B49" t="str">
        <v>065-003</v>
      </c>
      <c r="C49">
        <v>65</v>
      </c>
      <c r="D49">
        <v>3</v>
      </c>
      <c r="E49" s="123">
        <v>45839</v>
      </c>
      <c r="F49" s="123">
        <v>45869</v>
      </c>
      <c r="G49" t="str">
        <v>ETIBAR MAMMADOV</v>
      </c>
      <c r="H49" s="167" cm="1">
        <f t="array" aca="1" ref="H49" ca="1">SUM(_xlfn._xlws.FILTER(_xlfn._TRO_TRAILING(quantities!L:L),(_xlfn._TRO_TRAILING(quantities!D:D)=C49)*(_xlfn._TRO_TRAILING(quantities!E:E)=D49)))</f>
        <v>8589.2085714285713</v>
      </c>
      <c r="I49" s="167"/>
      <c r="J49" t="e">
        <f ca="1">SUMIFS(
INDIRECT("'[S2 Subcon IPC Log.xlsx]Subcon IPC Log'!"&amp;"$O:$O"),
INDIRECT("'[S2 Subcon IPC Log.xlsx]Subcon IPC Log'!"&amp;"$C:$C"),
"KLN-SPP2-"&amp;_xlfn.XLOOKUP(C49,log_contracts!B:B,log_contracts!C:C)&amp;"-"&amp;TEXT(C49,"000"),
INDIRECT("'[S2 Subcon IPC Log.xlsx]Subcon IPC Log'!"&amp;"$D:$D"),
D49)</f>
        <v>#REF!</v>
      </c>
      <c r="K49" s="167" t="e">
        <f ca="1"/>
        <v>#REF!</v>
      </c>
    </row>
    <row r="50" spans="1:11" hidden="1" x14ac:dyDescent="0.25">
      <c r="A50">
        <v>49</v>
      </c>
      <c r="B50" t="str">
        <v>085-002</v>
      </c>
      <c r="C50">
        <v>85</v>
      </c>
      <c r="D50">
        <v>2</v>
      </c>
      <c r="E50" s="123">
        <v>45839</v>
      </c>
      <c r="F50" s="123">
        <v>45869</v>
      </c>
      <c r="G50" t="str">
        <v>BABEK ALBANDOV</v>
      </c>
      <c r="H50" s="167" cm="1">
        <f t="array" aca="1" ref="H50" ca="1">SUM(_xlfn._xlws.FILTER(_xlfn._TRO_TRAILING(quantities!L:L),(_xlfn._TRO_TRAILING(quantities!D:D)=C50)*(_xlfn._TRO_TRAILING(quantities!E:E)=D50)))</f>
        <v>14732.189999999999</v>
      </c>
      <c r="I50" s="167"/>
      <c r="J50" t="e">
        <f ca="1">SUMIFS(
INDIRECT("'[S2 Subcon IPC Log.xlsx]Subcon IPC Log'!"&amp;"$O:$O"),
INDIRECT("'[S2 Subcon IPC Log.xlsx]Subcon IPC Log'!"&amp;"$C:$C"),
"KLN-SPP2-"&amp;_xlfn.XLOOKUP(C50,log_contracts!B:B,log_contracts!C:C)&amp;"-"&amp;TEXT(C50,"000"),
INDIRECT("'[S2 Subcon IPC Log.xlsx]Subcon IPC Log'!"&amp;"$D:$D"),
D50)</f>
        <v>#REF!</v>
      </c>
      <c r="K50" s="167" t="e">
        <f ca="1"/>
        <v>#REF!</v>
      </c>
    </row>
    <row r="51" spans="1:11" hidden="1" x14ac:dyDescent="0.25">
      <c r="A51">
        <v>50</v>
      </c>
      <c r="B51" t="str">
        <v>094-002</v>
      </c>
      <c r="C51">
        <v>94</v>
      </c>
      <c r="D51">
        <v>2</v>
      </c>
      <c r="E51" s="123">
        <v>45839</v>
      </c>
      <c r="F51" s="123">
        <v>45869</v>
      </c>
      <c r="G51" t="str">
        <v>XANIM ABDULLAYEVA</v>
      </c>
      <c r="H51" s="167" cm="1">
        <f t="array" aca="1" ref="H51" ca="1">SUM(_xlfn._xlws.FILTER(_xlfn._TRO_TRAILING(quantities!L:L),(_xlfn._TRO_TRAILING(quantities!D:D)=C51)*(_xlfn._TRO_TRAILING(quantities!E:E)=D51)))</f>
        <v>5687.5</v>
      </c>
      <c r="I51" s="167"/>
      <c r="J51" t="e">
        <f ca="1">SUMIFS(
INDIRECT("'[S2 Subcon IPC Log.xlsx]Subcon IPC Log'!"&amp;"$O:$O"),
INDIRECT("'[S2 Subcon IPC Log.xlsx]Subcon IPC Log'!"&amp;"$C:$C"),
"KLN-SPP2-"&amp;_xlfn.XLOOKUP(C51,log_contracts!B:B,log_contracts!C:C)&amp;"-"&amp;TEXT(C51,"000"),
INDIRECT("'[S2 Subcon IPC Log.xlsx]Subcon IPC Log'!"&amp;"$D:$D"),
D51)</f>
        <v>#REF!</v>
      </c>
      <c r="K51" s="167" t="e">
        <f ca="1"/>
        <v>#REF!</v>
      </c>
    </row>
    <row r="52" spans="1:11" hidden="1" x14ac:dyDescent="0.25">
      <c r="A52">
        <v>51</v>
      </c>
      <c r="B52" t="str">
        <v>098-001</v>
      </c>
      <c r="C52">
        <v>98</v>
      </c>
      <c r="D52">
        <v>1</v>
      </c>
      <c r="E52" s="123">
        <v>45858</v>
      </c>
      <c r="F52" s="123">
        <v>45869</v>
      </c>
      <c r="G52" t="str">
        <v>HACIAGA KERIMOV</v>
      </c>
      <c r="H52" s="167" cm="1">
        <f t="array" aca="1" ref="H52" ca="1">SUM(_xlfn._xlws.FILTER(_xlfn._TRO_TRAILING(quantities!L:L),(_xlfn._TRO_TRAILING(quantities!D:D)=C52)*(_xlfn._TRO_TRAILING(quantities!E:E)=D52)))</f>
        <v>1285.68</v>
      </c>
      <c r="I52" s="167"/>
      <c r="J52" t="e">
        <f ca="1">SUMIFS(
INDIRECT("'[S2 Subcon IPC Log.xlsx]Subcon IPC Log'!"&amp;"$O:$O"),
INDIRECT("'[S2 Subcon IPC Log.xlsx]Subcon IPC Log'!"&amp;"$C:$C"),
"KLN-SPP2-"&amp;_xlfn.XLOOKUP(C52,log_contracts!B:B,log_contracts!C:C)&amp;"-"&amp;TEXT(C52,"000"),
INDIRECT("'[S2 Subcon IPC Log.xlsx]Subcon IPC Log'!"&amp;"$D:$D"),
D52)</f>
        <v>#REF!</v>
      </c>
      <c r="K52" s="167" t="e">
        <f ca="1"/>
        <v>#REF!</v>
      </c>
    </row>
    <row r="53" spans="1:11" hidden="1" x14ac:dyDescent="0.25">
      <c r="A53">
        <v>52</v>
      </c>
      <c r="B53" t="str">
        <v>099-001</v>
      </c>
      <c r="C53">
        <v>99</v>
      </c>
      <c r="D53">
        <v>1</v>
      </c>
      <c r="E53" s="123">
        <v>45859</v>
      </c>
      <c r="F53" s="123">
        <v>45869</v>
      </c>
      <c r="G53" t="str">
        <v>YUSIF MAHARRAMOV</v>
      </c>
      <c r="H53" s="167" cm="1">
        <f t="array" aca="1" ref="H53" ca="1">SUM(_xlfn._xlws.FILTER(_xlfn._TRO_TRAILING(quantities!L:L),(_xlfn._TRO_TRAILING(quantities!D:D)=C53)*(_xlfn._TRO_TRAILING(quantities!E:E)=D53)))</f>
        <v>1250</v>
      </c>
      <c r="I53" s="167"/>
      <c r="J53" t="e">
        <f ca="1">SUMIFS(
INDIRECT("'[S2 Subcon IPC Log.xlsx]Subcon IPC Log'!"&amp;"$O:$O"),
INDIRECT("'[S2 Subcon IPC Log.xlsx]Subcon IPC Log'!"&amp;"$C:$C"),
"KLN-SPP2-"&amp;_xlfn.XLOOKUP(C53,log_contracts!B:B,log_contracts!C:C)&amp;"-"&amp;TEXT(C53,"000"),
INDIRECT("'[S2 Subcon IPC Log.xlsx]Subcon IPC Log'!"&amp;"$D:$D"),
D53)</f>
        <v>#REF!</v>
      </c>
      <c r="K53" s="167" t="e">
        <f ca="1"/>
        <v>#REF!</v>
      </c>
    </row>
    <row r="54" spans="1:11" hidden="1" x14ac:dyDescent="0.25">
      <c r="A54">
        <v>53</v>
      </c>
      <c r="B54" t="str">
        <v>100-001</v>
      </c>
      <c r="C54">
        <v>100</v>
      </c>
      <c r="D54">
        <v>1</v>
      </c>
      <c r="E54" s="123">
        <v>45861</v>
      </c>
      <c r="F54" s="123">
        <v>45869</v>
      </c>
      <c r="G54" t="str">
        <v>RUSLAN HUSEYINOV</v>
      </c>
      <c r="H54" s="167" cm="1">
        <f t="array" aca="1" ref="H54" ca="1">SUM(_xlfn._xlws.FILTER(_xlfn._TRO_TRAILING(quantities!L:L),(_xlfn._TRO_TRAILING(quantities!D:D)=C54)*(_xlfn._TRO_TRAILING(quantities!E:E)=D54)))</f>
        <v>1767.8700000000001</v>
      </c>
      <c r="I54" s="167"/>
      <c r="J54" t="e">
        <f ca="1">SUMIFS(
INDIRECT("'[S2 Subcon IPC Log.xlsx]Subcon IPC Log'!"&amp;"$O:$O"),
INDIRECT("'[S2 Subcon IPC Log.xlsx]Subcon IPC Log'!"&amp;"$C:$C"),
"KLN-SPP2-"&amp;_xlfn.XLOOKUP(C54,log_contracts!B:B,log_contracts!C:C)&amp;"-"&amp;TEXT(C54,"000"),
INDIRECT("'[S2 Subcon IPC Log.xlsx]Subcon IPC Log'!"&amp;"$D:$D"),
D54)</f>
        <v>#REF!</v>
      </c>
      <c r="K54" s="167" t="e">
        <f ca="1"/>
        <v>#REF!</v>
      </c>
    </row>
    <row r="55" spans="1:11" hidden="1" x14ac:dyDescent="0.25">
      <c r="A55">
        <v>54</v>
      </c>
      <c r="B55" t="str">
        <v>107-001</v>
      </c>
      <c r="C55">
        <v>107</v>
      </c>
      <c r="D55">
        <v>1</v>
      </c>
      <c r="E55" s="123">
        <v>45856</v>
      </c>
      <c r="F55" s="123">
        <v>45900</v>
      </c>
      <c r="G55" t="str">
        <v>QUALIFY MMC</v>
      </c>
      <c r="H55" s="167" cm="1">
        <f t="array" aca="1" ref="H55" ca="1">SUM(_xlfn._xlws.FILTER(_xlfn._TRO_TRAILING(quantities!L:L),(_xlfn._TRO_TRAILING(quantities!D:D)=C55)*(_xlfn._TRO_TRAILING(quantities!E:E)=D55)))</f>
        <v>9900</v>
      </c>
      <c r="I55" s="167"/>
      <c r="J55" t="e">
        <f ca="1">SUMIFS(
INDIRECT("'[S2 Subcon IPC Log.xlsx]Subcon IPC Log'!"&amp;"$O:$O"),
INDIRECT("'[S2 Subcon IPC Log.xlsx]Subcon IPC Log'!"&amp;"$C:$C"),
"KLN-SPP2-"&amp;_xlfn.XLOOKUP(C55,log_contracts!B:B,log_contracts!C:C)&amp;"-"&amp;TEXT(C55,"000"),
INDIRECT("'[S2 Subcon IPC Log.xlsx]Subcon IPC Log'!"&amp;"$D:$D"),
D55)</f>
        <v>#REF!</v>
      </c>
      <c r="K55" s="167" t="e">
        <f ca="1"/>
        <v>#REF!</v>
      </c>
    </row>
    <row r="56" spans="1:11" hidden="1" x14ac:dyDescent="0.25">
      <c r="A56">
        <v>55</v>
      </c>
      <c r="B56" t="str">
        <v>011-008</v>
      </c>
      <c r="C56">
        <v>11</v>
      </c>
      <c r="D56">
        <v>8</v>
      </c>
      <c r="E56" s="123">
        <v>45870</v>
      </c>
      <c r="F56" s="123">
        <v>45900</v>
      </c>
      <c r="G56" t="str">
        <v>CASPIAN ENGINEERING SOLUTIONS MMC</v>
      </c>
      <c r="H56" s="167" cm="1">
        <f t="array" aca="1" ref="H56" ca="1">SUM(_xlfn._xlws.FILTER(_xlfn._TRO_TRAILING(quantities!L:L),(_xlfn._TRO_TRAILING(quantities!D:D)=C56)*(_xlfn._TRO_TRAILING(quantities!E:E)=D56)))</f>
        <v>16000</v>
      </c>
      <c r="I56" s="167"/>
      <c r="J56" t="e">
        <f ca="1">SUMIFS(
INDIRECT("'[S2 Subcon IPC Log.xlsx]Subcon IPC Log'!"&amp;"$O:$O"),
INDIRECT("'[S2 Subcon IPC Log.xlsx]Subcon IPC Log'!"&amp;"$C:$C"),
"KLN-SPP2-"&amp;_xlfn.XLOOKUP(C56,log_contracts!B:B,log_contracts!C:C)&amp;"-"&amp;TEXT(C56,"000"),
INDIRECT("'[S2 Subcon IPC Log.xlsx]Subcon IPC Log'!"&amp;"$D:$D"),
D56)</f>
        <v>#REF!</v>
      </c>
      <c r="K56" s="167" t="e">
        <f ca="1"/>
        <v>#REF!</v>
      </c>
    </row>
    <row r="57" spans="1:11" hidden="1" x14ac:dyDescent="0.25">
      <c r="A57">
        <v>56</v>
      </c>
      <c r="B57" t="str">
        <v>014-005</v>
      </c>
      <c r="C57">
        <v>14</v>
      </c>
      <c r="D57">
        <v>5</v>
      </c>
      <c r="E57" s="123">
        <v>45870</v>
      </c>
      <c r="F57" s="123">
        <v>45900</v>
      </c>
      <c r="G57" t="str">
        <v>HİLAL LTD</v>
      </c>
      <c r="H57" s="167" cm="1">
        <f t="array" aca="1" ref="H57" ca="1">SUM(_xlfn._xlws.FILTER(_xlfn._TRO_TRAILING(quantities!L:L),(_xlfn._TRO_TRAILING(quantities!D:D)=C57)*(_xlfn._TRO_TRAILING(quantities!E:E)=D57)))</f>
        <v>2909</v>
      </c>
      <c r="I57" s="167"/>
      <c r="J57" t="e">
        <f ca="1">SUMIFS(
INDIRECT("'[S2 Subcon IPC Log.xlsx]Subcon IPC Log'!"&amp;"$O:$O"),
INDIRECT("'[S2 Subcon IPC Log.xlsx]Subcon IPC Log'!"&amp;"$C:$C"),
"KLN-SPP2-"&amp;_xlfn.XLOOKUP(C57,log_contracts!B:B,log_contracts!C:C)&amp;"-"&amp;TEXT(C57,"000"),
INDIRECT("'[S2 Subcon IPC Log.xlsx]Subcon IPC Log'!"&amp;"$D:$D"),
D57)</f>
        <v>#REF!</v>
      </c>
      <c r="K57" s="167" t="e">
        <f ca="1"/>
        <v>#REF!</v>
      </c>
    </row>
    <row r="58" spans="1:11" hidden="1" x14ac:dyDescent="0.25">
      <c r="A58">
        <v>57</v>
      </c>
      <c r="B58" t="str">
        <v>030-008</v>
      </c>
      <c r="C58">
        <v>30</v>
      </c>
      <c r="D58">
        <v>8</v>
      </c>
      <c r="E58" s="123">
        <v>45870</v>
      </c>
      <c r="F58" s="123">
        <v>45900</v>
      </c>
      <c r="G58" t="str">
        <v>NAR TRANSPORT SERVICES MMC</v>
      </c>
      <c r="H58" s="167" cm="1">
        <f t="array" aca="1" ref="H58" ca="1">SUM(_xlfn._xlws.FILTER(_xlfn._TRO_TRAILING(quantities!L:L),(_xlfn._TRO_TRAILING(quantities!D:D)=C58)*(_xlfn._TRO_TRAILING(quantities!E:E)=D58)))</f>
        <v>5500</v>
      </c>
      <c r="I58" s="167"/>
      <c r="J58" t="e">
        <f ca="1">SUMIFS(
INDIRECT("'[S2 Subcon IPC Log.xlsx]Subcon IPC Log'!"&amp;"$O:$O"),
INDIRECT("'[S2 Subcon IPC Log.xlsx]Subcon IPC Log'!"&amp;"$C:$C"),
"KLN-SPP2-"&amp;_xlfn.XLOOKUP(C58,log_contracts!B:B,log_contracts!C:C)&amp;"-"&amp;TEXT(C58,"000"),
INDIRECT("'[S2 Subcon IPC Log.xlsx]Subcon IPC Log'!"&amp;"$D:$D"),
D58)</f>
        <v>#REF!</v>
      </c>
      <c r="K58" s="167" t="e">
        <f ca="1"/>
        <v>#REF!</v>
      </c>
    </row>
    <row r="59" spans="1:11" hidden="1" x14ac:dyDescent="0.25">
      <c r="A59">
        <v>58</v>
      </c>
      <c r="B59" t="str">
        <v>031-007</v>
      </c>
      <c r="C59">
        <v>31</v>
      </c>
      <c r="D59">
        <v>7</v>
      </c>
      <c r="E59" s="123">
        <v>45870</v>
      </c>
      <c r="F59" s="123">
        <v>45900</v>
      </c>
      <c r="G59" t="str">
        <v>NAR TRANSPORT SERVICES MMC</v>
      </c>
      <c r="H59" s="167" cm="1">
        <f t="array" aca="1" ref="H59" ca="1">SUM(_xlfn._xlws.FILTER(_xlfn._TRO_TRAILING(quantities!L:L),(_xlfn._TRO_TRAILING(quantities!D:D)=C59)*(_xlfn._TRO_TRAILING(quantities!E:E)=D59)))</f>
        <v>54263.64391069999</v>
      </c>
      <c r="I59" s="167"/>
      <c r="J59" t="e">
        <f ca="1">SUMIFS(
INDIRECT("'[S2 Subcon IPC Log.xlsx]Subcon IPC Log'!"&amp;"$O:$O"),
INDIRECT("'[S2 Subcon IPC Log.xlsx]Subcon IPC Log'!"&amp;"$C:$C"),
"KLN-SPP2-"&amp;_xlfn.XLOOKUP(C59,log_contracts!B:B,log_contracts!C:C)&amp;"-"&amp;TEXT(C59,"000"),
INDIRECT("'[S2 Subcon IPC Log.xlsx]Subcon IPC Log'!"&amp;"$D:$D"),
D59)</f>
        <v>#REF!</v>
      </c>
      <c r="K59" s="167" t="e">
        <f ca="1"/>
        <v>#REF!</v>
      </c>
    </row>
    <row r="60" spans="1:11" hidden="1" x14ac:dyDescent="0.25">
      <c r="A60">
        <v>59</v>
      </c>
      <c r="B60" t="str">
        <v>033-012</v>
      </c>
      <c r="C60">
        <v>33</v>
      </c>
      <c r="D60">
        <v>12</v>
      </c>
      <c r="E60" s="123">
        <v>45870</v>
      </c>
      <c r="F60" s="123">
        <v>45900</v>
      </c>
      <c r="G60" t="str">
        <v>AKKOL HAZIR YEMEK SAN. TIC. AS</v>
      </c>
      <c r="H60" s="167" cm="1">
        <f t="array" aca="1" ref="H60" ca="1">SUM(_xlfn._xlws.FILTER(_xlfn._TRO_TRAILING(quantities!L:L),(_xlfn._TRO_TRAILING(quantities!D:D)=C60)*(_xlfn._TRO_TRAILING(quantities!E:E)=D60)))</f>
        <v>514609.15</v>
      </c>
      <c r="I60" s="167"/>
      <c r="J60" t="e">
        <f ca="1">SUMIFS(
INDIRECT("'[S2 Subcon IPC Log.xlsx]Subcon IPC Log'!"&amp;"$O:$O"),
INDIRECT("'[S2 Subcon IPC Log.xlsx]Subcon IPC Log'!"&amp;"$C:$C"),
"KLN-SPP2-"&amp;_xlfn.XLOOKUP(C60,log_contracts!B:B,log_contracts!C:C)&amp;"-"&amp;TEXT(C60,"000"),
INDIRECT("'[S2 Subcon IPC Log.xlsx]Subcon IPC Log'!"&amp;"$D:$D"),
D60)</f>
        <v>#REF!</v>
      </c>
      <c r="K60" s="167" t="e">
        <f ca="1"/>
        <v>#REF!</v>
      </c>
    </row>
    <row r="61" spans="1:11" hidden="1" x14ac:dyDescent="0.25">
      <c r="A61">
        <v>60</v>
      </c>
      <c r="B61" t="str">
        <v>046-004</v>
      </c>
      <c r="C61">
        <v>46</v>
      </c>
      <c r="D61">
        <v>4</v>
      </c>
      <c r="E61" s="123">
        <v>45870</v>
      </c>
      <c r="F61" s="123">
        <v>45900</v>
      </c>
      <c r="G61" t="str">
        <v>HARDCORE CE MMC</v>
      </c>
      <c r="H61" s="167" cm="1">
        <f t="array" aca="1" ref="H61" ca="1">SUM(_xlfn._xlws.FILTER(_xlfn._TRO_TRAILING(quantities!L:L),(_xlfn._TRO_TRAILING(quantities!D:D)=C61)*(_xlfn._TRO_TRAILING(quantities!E:E)=D61)))</f>
        <v>37253.575827142857</v>
      </c>
      <c r="I61" s="167"/>
      <c r="J61" t="e">
        <f ca="1">SUMIFS(
INDIRECT("'[S2 Subcon IPC Log.xlsx]Subcon IPC Log'!"&amp;"$O:$O"),
INDIRECT("'[S2 Subcon IPC Log.xlsx]Subcon IPC Log'!"&amp;"$C:$C"),
"KLN-SPP2-"&amp;_xlfn.XLOOKUP(C61,log_contracts!B:B,log_contracts!C:C)&amp;"-"&amp;TEXT(C61,"000"),
INDIRECT("'[S2 Subcon IPC Log.xlsx]Subcon IPC Log'!"&amp;"$D:$D"),
D61)</f>
        <v>#REF!</v>
      </c>
      <c r="K61" s="167" t="e">
        <f ca="1"/>
        <v>#REF!</v>
      </c>
    </row>
    <row r="62" spans="1:11" hidden="1" x14ac:dyDescent="0.25">
      <c r="A62">
        <v>61</v>
      </c>
      <c r="B62" t="str">
        <v>050-003</v>
      </c>
      <c r="C62">
        <v>50</v>
      </c>
      <c r="D62">
        <v>3</v>
      </c>
      <c r="E62" s="123">
        <v>45870</v>
      </c>
      <c r="F62" s="123">
        <v>45900</v>
      </c>
      <c r="G62" t="str">
        <v>LOFT CONSTRUCTION</v>
      </c>
      <c r="H62" s="167" cm="1">
        <f t="array" aca="1" ref="H62" ca="1">SUM(_xlfn._xlws.FILTER(_xlfn._TRO_TRAILING(quantities!L:L),(_xlfn._TRO_TRAILING(quantities!D:D)=C62)*(_xlfn._TRO_TRAILING(quantities!E:E)=D62)))</f>
        <v>10357.1441</v>
      </c>
      <c r="I62" s="167"/>
      <c r="J62" t="e">
        <f ca="1">SUMIFS(
INDIRECT("'[S2 Subcon IPC Log.xlsx]Subcon IPC Log'!"&amp;"$O:$O"),
INDIRECT("'[S2 Subcon IPC Log.xlsx]Subcon IPC Log'!"&amp;"$C:$C"),
"KLN-SPP2-"&amp;_xlfn.XLOOKUP(C62,log_contracts!B:B,log_contracts!C:C)&amp;"-"&amp;TEXT(C62,"000"),
INDIRECT("'[S2 Subcon IPC Log.xlsx]Subcon IPC Log'!"&amp;"$D:$D"),
D62)</f>
        <v>#REF!</v>
      </c>
      <c r="K62" s="167" t="e">
        <f ca="1"/>
        <v>#REF!</v>
      </c>
    </row>
    <row r="63" spans="1:11" hidden="1" x14ac:dyDescent="0.25">
      <c r="A63">
        <v>62</v>
      </c>
      <c r="B63" t="str">
        <v>051-002</v>
      </c>
      <c r="C63">
        <v>51</v>
      </c>
      <c r="D63">
        <v>2</v>
      </c>
      <c r="E63" s="123">
        <v>45870</v>
      </c>
      <c r="F63" s="123">
        <v>45930</v>
      </c>
      <c r="G63" t="str">
        <v>INTERMAK GROUP MMC</v>
      </c>
      <c r="H63" s="167" cm="1">
        <f t="array" aca="1" ref="H63" ca="1">SUM(_xlfn._xlws.FILTER(_xlfn._TRO_TRAILING(quantities!L:L),(_xlfn._TRO_TRAILING(quantities!D:D)=C63)*(_xlfn._TRO_TRAILING(quantities!E:E)=D63)))</f>
        <v>9999.82</v>
      </c>
      <c r="I63" s="167"/>
      <c r="J63" t="e">
        <f ca="1">SUMIFS(
INDIRECT("'[S2 Subcon IPC Log.xlsx]Subcon IPC Log'!"&amp;"$O:$O"),
INDIRECT("'[S2 Subcon IPC Log.xlsx]Subcon IPC Log'!"&amp;"$C:$C"),
"KLN-SPP2-"&amp;_xlfn.XLOOKUP(C63,log_contracts!B:B,log_contracts!C:C)&amp;"-"&amp;TEXT(C63,"000"),
INDIRECT("'[S2 Subcon IPC Log.xlsx]Subcon IPC Log'!"&amp;"$D:$D"),
D63)</f>
        <v>#REF!</v>
      </c>
      <c r="K63" s="167" t="e">
        <f ca="1"/>
        <v>#REF!</v>
      </c>
    </row>
    <row r="64" spans="1:11" hidden="1" x14ac:dyDescent="0.25">
      <c r="A64">
        <v>63</v>
      </c>
      <c r="B64" t="str">
        <v>065-004</v>
      </c>
      <c r="C64">
        <v>65</v>
      </c>
      <c r="D64">
        <v>4</v>
      </c>
      <c r="E64" s="123">
        <v>45870</v>
      </c>
      <c r="F64" s="123">
        <v>45900</v>
      </c>
      <c r="G64" t="str">
        <v>ETIBAR MAMMADOV</v>
      </c>
      <c r="H64" s="167" cm="1">
        <f t="array" aca="1" ref="H64" ca="1">SUM(_xlfn._xlws.FILTER(_xlfn._TRO_TRAILING(quantities!L:L),(_xlfn._TRO_TRAILING(quantities!D:D)=C64)*(_xlfn._TRO_TRAILING(quantities!E:E)=D64)))</f>
        <v>9240.966428571428</v>
      </c>
      <c r="I64" s="167"/>
      <c r="J64" t="e">
        <f ca="1">SUMIFS(
INDIRECT("'[S2 Subcon IPC Log.xlsx]Subcon IPC Log'!"&amp;"$O:$O"),
INDIRECT("'[S2 Subcon IPC Log.xlsx]Subcon IPC Log'!"&amp;"$C:$C"),
"KLN-SPP2-"&amp;_xlfn.XLOOKUP(C64,log_contracts!B:B,log_contracts!C:C)&amp;"-"&amp;TEXT(C64,"000"),
INDIRECT("'[S2 Subcon IPC Log.xlsx]Subcon IPC Log'!"&amp;"$D:$D"),
D64)</f>
        <v>#REF!</v>
      </c>
      <c r="K64" s="167" t="e">
        <f ca="1"/>
        <v>#REF!</v>
      </c>
    </row>
    <row r="65" spans="1:11" hidden="1" x14ac:dyDescent="0.25">
      <c r="A65">
        <v>64</v>
      </c>
      <c r="B65" t="str">
        <v>085-003</v>
      </c>
      <c r="C65">
        <v>85</v>
      </c>
      <c r="D65">
        <v>3</v>
      </c>
      <c r="E65" s="123">
        <v>45870</v>
      </c>
      <c r="F65" s="123">
        <v>45900</v>
      </c>
      <c r="G65" t="str">
        <v>BABEK ALBANDOV</v>
      </c>
      <c r="H65" s="167" cm="1">
        <f t="array" aca="1" ref="H65" ca="1">SUM(_xlfn._xlws.FILTER(_xlfn._TRO_TRAILING(quantities!L:L),(_xlfn._TRO_TRAILING(quantities!D:D)=C65)*(_xlfn._TRO_TRAILING(quantities!E:E)=D65)))</f>
        <v>14598.260999999999</v>
      </c>
      <c r="I65" s="167"/>
      <c r="J65" t="e">
        <f ca="1">SUMIFS(
INDIRECT("'[S2 Subcon IPC Log.xlsx]Subcon IPC Log'!"&amp;"$O:$O"),
INDIRECT("'[S2 Subcon IPC Log.xlsx]Subcon IPC Log'!"&amp;"$C:$C"),
"KLN-SPP2-"&amp;_xlfn.XLOOKUP(C65,log_contracts!B:B,log_contracts!C:C)&amp;"-"&amp;TEXT(C65,"000"),
INDIRECT("'[S2 Subcon IPC Log.xlsx]Subcon IPC Log'!"&amp;"$D:$D"),
D65)</f>
        <v>#REF!</v>
      </c>
      <c r="K65" s="167" t="e">
        <f ca="1"/>
        <v>#REF!</v>
      </c>
    </row>
    <row r="66" spans="1:11" hidden="1" x14ac:dyDescent="0.25">
      <c r="A66">
        <v>65</v>
      </c>
      <c r="B66" t="str">
        <v>091-002</v>
      </c>
      <c r="C66">
        <v>91</v>
      </c>
      <c r="D66">
        <v>2</v>
      </c>
      <c r="E66" s="123">
        <v>45870</v>
      </c>
      <c r="F66" s="123">
        <v>45869</v>
      </c>
      <c r="G66" t="str">
        <v>ELSAD QULIYEV</v>
      </c>
      <c r="H66" s="167" cm="1">
        <f t="array" aca="1" ref="H66" ca="1">SUM(_xlfn._xlws.FILTER(_xlfn._TRO_TRAILING(quantities!L:L),(_xlfn._TRO_TRAILING(quantities!D:D)=C66)*(_xlfn._TRO_TRAILING(quantities!E:E)=D66)))</f>
        <v>3500</v>
      </c>
      <c r="I66" s="167"/>
      <c r="J66" t="e">
        <f ca="1">SUMIFS(
INDIRECT("'[S2 Subcon IPC Log.xlsx]Subcon IPC Log'!"&amp;"$O:$O"),
INDIRECT("'[S2 Subcon IPC Log.xlsx]Subcon IPC Log'!"&amp;"$C:$C"),
"KLN-SPP2-"&amp;_xlfn.XLOOKUP(C66,log_contracts!B:B,log_contracts!C:C)&amp;"-"&amp;TEXT(C66,"000"),
INDIRECT("'[S2 Subcon IPC Log.xlsx]Subcon IPC Log'!"&amp;"$D:$D"),
D66)</f>
        <v>#REF!</v>
      </c>
      <c r="K66" s="167" t="e">
        <f ca="1"/>
        <v>#REF!</v>
      </c>
    </row>
    <row r="67" spans="1:11" hidden="1" x14ac:dyDescent="0.25">
      <c r="A67">
        <v>66</v>
      </c>
      <c r="B67" t="str">
        <v>094-003</v>
      </c>
      <c r="C67">
        <v>94</v>
      </c>
      <c r="D67">
        <v>3</v>
      </c>
      <c r="E67" s="123">
        <v>45870</v>
      </c>
      <c r="F67" s="123">
        <v>45900</v>
      </c>
      <c r="G67" t="str">
        <v>XANIM ABDULLAYEVA</v>
      </c>
      <c r="H67" s="167" cm="1">
        <f t="array" aca="1" ref="H67" ca="1">SUM(_xlfn._xlws.FILTER(_xlfn._TRO_TRAILING(quantities!L:L),(_xlfn._TRO_TRAILING(quantities!D:D)=C67)*(_xlfn._TRO_TRAILING(quantities!E:E)=D67)))</f>
        <v>10987.5</v>
      </c>
      <c r="I67" s="167"/>
      <c r="J67" t="e">
        <f ca="1">SUMIFS(
INDIRECT("'[S2 Subcon IPC Log.xlsx]Subcon IPC Log'!"&amp;"$O:$O"),
INDIRECT("'[S2 Subcon IPC Log.xlsx]Subcon IPC Log'!"&amp;"$C:$C"),
"KLN-SPP2-"&amp;_xlfn.XLOOKUP(C67,log_contracts!B:B,log_contracts!C:C)&amp;"-"&amp;TEXT(C67,"000"),
INDIRECT("'[S2 Subcon IPC Log.xlsx]Subcon IPC Log'!"&amp;"$D:$D"),
D67)</f>
        <v>#REF!</v>
      </c>
      <c r="K67" s="167" t="e">
        <f ca="1"/>
        <v>#REF!</v>
      </c>
    </row>
    <row r="68" spans="1:11" hidden="1" x14ac:dyDescent="0.25">
      <c r="A68">
        <v>67</v>
      </c>
      <c r="B68" t="str">
        <v>098-002</v>
      </c>
      <c r="C68">
        <v>98</v>
      </c>
      <c r="D68">
        <v>2</v>
      </c>
      <c r="E68" s="123">
        <v>45870</v>
      </c>
      <c r="F68" s="123">
        <v>45900</v>
      </c>
      <c r="G68" t="str">
        <v>HACIAGA KERIMOV</v>
      </c>
      <c r="H68" s="167" cm="1">
        <f t="array" aca="1" ref="H68" ca="1">SUM(_xlfn._xlws.FILTER(_xlfn._TRO_TRAILING(quantities!L:L),(_xlfn._TRO_TRAILING(quantities!D:D)=C68)*(_xlfn._TRO_TRAILING(quantities!E:E)=D68)))</f>
        <v>3107.06</v>
      </c>
      <c r="I68" s="167"/>
      <c r="J68" t="e">
        <f ca="1">SUMIFS(
INDIRECT("'[S2 Subcon IPC Log.xlsx]Subcon IPC Log'!"&amp;"$O:$O"),
INDIRECT("'[S2 Subcon IPC Log.xlsx]Subcon IPC Log'!"&amp;"$C:$C"),
"KLN-SPP2-"&amp;_xlfn.XLOOKUP(C68,log_contracts!B:B,log_contracts!C:C)&amp;"-"&amp;TEXT(C68,"000"),
INDIRECT("'[S2 Subcon IPC Log.xlsx]Subcon IPC Log'!"&amp;"$D:$D"),
D68)</f>
        <v>#REF!</v>
      </c>
      <c r="K68" s="167" t="e">
        <f ca="1"/>
        <v>#REF!</v>
      </c>
    </row>
    <row r="69" spans="1:11" hidden="1" x14ac:dyDescent="0.25">
      <c r="A69">
        <v>68</v>
      </c>
      <c r="B69" t="str">
        <v>099-002</v>
      </c>
      <c r="C69">
        <v>99</v>
      </c>
      <c r="D69">
        <v>2</v>
      </c>
      <c r="E69" s="123">
        <v>45870</v>
      </c>
      <c r="F69" s="123">
        <v>45900</v>
      </c>
      <c r="G69" t="str">
        <v>YUSIF MAHARRAMOV</v>
      </c>
      <c r="H69" s="167" cm="1">
        <f t="array" aca="1" ref="H69" ca="1">SUM(_xlfn._xlws.FILTER(_xlfn._TRO_TRAILING(quantities!L:L),(_xlfn._TRO_TRAILING(quantities!D:D)=C69)*(_xlfn._TRO_TRAILING(quantities!E:E)=D69)))</f>
        <v>4262.5</v>
      </c>
      <c r="I69" s="167"/>
      <c r="J69" t="e">
        <f ca="1">SUMIFS(
INDIRECT("'[S2 Subcon IPC Log.xlsx]Subcon IPC Log'!"&amp;"$O:$O"),
INDIRECT("'[S2 Subcon IPC Log.xlsx]Subcon IPC Log'!"&amp;"$C:$C"),
"KLN-SPP2-"&amp;_xlfn.XLOOKUP(C69,log_contracts!B:B,log_contracts!C:C)&amp;"-"&amp;TEXT(C69,"000"),
INDIRECT("'[S2 Subcon IPC Log.xlsx]Subcon IPC Log'!"&amp;"$D:$D"),
D69)</f>
        <v>#REF!</v>
      </c>
      <c r="K69" s="167" t="e">
        <f ca="1"/>
        <v>#REF!</v>
      </c>
    </row>
    <row r="70" spans="1:11" hidden="1" x14ac:dyDescent="0.25">
      <c r="A70">
        <v>69</v>
      </c>
      <c r="B70" t="str">
        <v>100-002</v>
      </c>
      <c r="C70">
        <v>100</v>
      </c>
      <c r="D70">
        <v>2</v>
      </c>
      <c r="E70" s="123">
        <v>45870</v>
      </c>
      <c r="F70" s="123">
        <v>45900</v>
      </c>
      <c r="G70" t="str">
        <v>RUSLAN HUSEYINOV</v>
      </c>
      <c r="H70" s="167" cm="1">
        <f t="array" aca="1" ref="H70" ca="1">SUM(_xlfn._xlws.FILTER(_xlfn._TRO_TRAILING(quantities!L:L),(_xlfn._TRO_TRAILING(quantities!D:D)=C70)*(_xlfn._TRO_TRAILING(quantities!E:E)=D70)))</f>
        <v>5303.6100000000006</v>
      </c>
      <c r="I70" s="167"/>
      <c r="J70" t="e">
        <f ca="1">SUMIFS(
INDIRECT("'[S2 Subcon IPC Log.xlsx]Subcon IPC Log'!"&amp;"$O:$O"),
INDIRECT("'[S2 Subcon IPC Log.xlsx]Subcon IPC Log'!"&amp;"$C:$C"),
"KLN-SPP2-"&amp;_xlfn.XLOOKUP(C70,log_contracts!B:B,log_contracts!C:C)&amp;"-"&amp;TEXT(C70,"000"),
INDIRECT("'[S2 Subcon IPC Log.xlsx]Subcon IPC Log'!"&amp;"$D:$D"),
D70)</f>
        <v>#REF!</v>
      </c>
      <c r="K70" s="167" t="e">
        <f ca="1"/>
        <v>#REF!</v>
      </c>
    </row>
    <row r="71" spans="1:11" x14ac:dyDescent="0.25">
      <c r="A71">
        <v>70</v>
      </c>
      <c r="B71" t="str">
        <v>102-001</v>
      </c>
      <c r="C71">
        <v>102</v>
      </c>
      <c r="D71">
        <v>1</v>
      </c>
      <c r="E71" s="123">
        <v>45892</v>
      </c>
      <c r="F71" s="123">
        <v>45900</v>
      </c>
      <c r="G71" t="str">
        <v>KONUL HUSEYNOVA</v>
      </c>
      <c r="H71" s="167" cm="1">
        <f t="array" aca="1" ref="H71" ca="1">SUM(_xlfn._xlws.FILTER(_xlfn._TRO_TRAILING(quantities!L:L),(_xlfn._TRO_TRAILING(quantities!D:D)=C71)*(_xlfn._TRO_TRAILING(quantities!E:E)=D71)))</f>
        <v>625</v>
      </c>
      <c r="I71" s="167"/>
      <c r="J71" t="e">
        <f ca="1">SUMIFS(
INDIRECT("'[S2 Subcon IPC Log.xlsx]Subcon IPC Log'!"&amp;"$O:$O"),
INDIRECT("'[S2 Subcon IPC Log.xlsx]Subcon IPC Log'!"&amp;"$C:$C"),
"KLN-SPP2-"&amp;_xlfn.XLOOKUP(C71,log_contracts!B:B,log_contracts!C:C)&amp;"-"&amp;TEXT(C71,"000"),
INDIRECT("'[S2 Subcon IPC Log.xlsx]Subcon IPC Log'!"&amp;"$D:$D"),
D71)</f>
        <v>#REF!</v>
      </c>
      <c r="K71" s="167" t="e">
        <f ca="1"/>
        <v>#REF!</v>
      </c>
    </row>
    <row r="72" spans="1:11" hidden="1" x14ac:dyDescent="0.25">
      <c r="A72">
        <v>71</v>
      </c>
      <c r="B72" t="str">
        <v>103-001</v>
      </c>
      <c r="C72">
        <v>103</v>
      </c>
      <c r="D72">
        <v>1</v>
      </c>
      <c r="E72" s="123">
        <v>45880</v>
      </c>
      <c r="F72" s="123">
        <v>45900</v>
      </c>
      <c r="G72" t="str">
        <v>BUREAU VERITAS AZERI MMC</v>
      </c>
      <c r="H72" s="167" cm="1">
        <f t="array" aca="1" ref="H72" ca="1">SUM(_xlfn._xlws.FILTER(_xlfn._TRO_TRAILING(quantities!L:L),(_xlfn._TRO_TRAILING(quantities!D:D)=C72)*(_xlfn._TRO_TRAILING(quantities!E:E)=D72)))</f>
        <v>3400</v>
      </c>
      <c r="I72" s="167"/>
      <c r="J72" t="e">
        <f ca="1">SUMIFS(
INDIRECT("'[S2 Subcon IPC Log.xlsx]Subcon IPC Log'!"&amp;"$O:$O"),
INDIRECT("'[S2 Subcon IPC Log.xlsx]Subcon IPC Log'!"&amp;"$C:$C"),
"KLN-SPP2-"&amp;_xlfn.XLOOKUP(C72,log_contracts!B:B,log_contracts!C:C)&amp;"-"&amp;TEXT(C72,"000"),
INDIRECT("'[S2 Subcon IPC Log.xlsx]Subcon IPC Log'!"&amp;"$D:$D"),
D72)</f>
        <v>#REF!</v>
      </c>
      <c r="K72" s="167" t="e">
        <f ca="1"/>
        <v>#REF!</v>
      </c>
    </row>
    <row r="73" spans="1:11" hidden="1" x14ac:dyDescent="0.25">
      <c r="A73">
        <v>72</v>
      </c>
      <c r="B73" t="str">
        <v>110-001</v>
      </c>
      <c r="C73">
        <v>110</v>
      </c>
      <c r="D73">
        <v>1</v>
      </c>
      <c r="E73" s="123">
        <v>45895</v>
      </c>
      <c r="F73" s="123">
        <v>45900</v>
      </c>
      <c r="G73" t="str">
        <v>MAMMAD QALANDARLI</v>
      </c>
      <c r="H73" s="167" cm="1">
        <f t="array" aca="1" ref="H73" ca="1">SUM(_xlfn._xlws.FILTER(_xlfn._TRO_TRAILING(quantities!L:L),(_xlfn._TRO_TRAILING(quantities!D:D)=C73)*(_xlfn._TRO_TRAILING(quantities!E:E)=D73)))</f>
        <v>1328.5714285714284</v>
      </c>
      <c r="I73" s="167"/>
      <c r="J73" t="e">
        <f ca="1">SUMIFS(
INDIRECT("'[S2 Subcon IPC Log.xlsx]Subcon IPC Log'!"&amp;"$O:$O"),
INDIRECT("'[S2 Subcon IPC Log.xlsx]Subcon IPC Log'!"&amp;"$C:$C"),
"KLN-SPP2-"&amp;_xlfn.XLOOKUP(C73,log_contracts!B:B,log_contracts!C:C)&amp;"-"&amp;TEXT(C73,"000"),
INDIRECT("'[S2 Subcon IPC Log.xlsx]Subcon IPC Log'!"&amp;"$D:$D"),
D73)</f>
        <v>#REF!</v>
      </c>
      <c r="K73" s="167" t="e">
        <f ca="1"/>
        <v>#REF!</v>
      </c>
    </row>
    <row r="74" spans="1:11" hidden="1" x14ac:dyDescent="0.25">
      <c r="A74">
        <v>73</v>
      </c>
      <c r="B74" t="str">
        <v>011-009</v>
      </c>
      <c r="C74">
        <v>11</v>
      </c>
      <c r="D74">
        <v>9</v>
      </c>
      <c r="E74" s="123">
        <v>45901</v>
      </c>
      <c r="F74" s="123">
        <v>45930</v>
      </c>
      <c r="G74" t="str">
        <v>CASPIAN ENGINEERING SOLUTIONS MMC</v>
      </c>
      <c r="H74" s="167" cm="1">
        <f t="array" aca="1" ref="H74" ca="1">SUM(_xlfn._xlws.FILTER(_xlfn._TRO_TRAILING(quantities!L:L),(_xlfn._TRO_TRAILING(quantities!D:D)=C74)*(_xlfn._TRO_TRAILING(quantities!E:E)=D74)))</f>
        <v>13000</v>
      </c>
      <c r="I74" s="167"/>
      <c r="J74" t="e">
        <f ca="1">SUMIFS(
INDIRECT("'[S2 Subcon IPC Log.xlsx]Subcon IPC Log'!"&amp;"$O:$O"),
INDIRECT("'[S2 Subcon IPC Log.xlsx]Subcon IPC Log'!"&amp;"$C:$C"),
"KLN-SPP2-"&amp;_xlfn.XLOOKUP(C74,log_contracts!B:B,log_contracts!C:C)&amp;"-"&amp;TEXT(C74,"000"),
INDIRECT("'[S2 Subcon IPC Log.xlsx]Subcon IPC Log'!"&amp;"$D:$D"),
D74)</f>
        <v>#REF!</v>
      </c>
      <c r="K74" s="167" t="e">
        <f ca="1"/>
        <v>#REF!</v>
      </c>
    </row>
    <row r="75" spans="1:11" hidden="1" x14ac:dyDescent="0.25">
      <c r="A75">
        <v>74</v>
      </c>
      <c r="B75" t="str">
        <v>014-006</v>
      </c>
      <c r="C75">
        <v>14</v>
      </c>
      <c r="D75">
        <v>6</v>
      </c>
      <c r="E75" s="123">
        <v>45901</v>
      </c>
      <c r="F75" s="123">
        <v>45930</v>
      </c>
      <c r="G75" t="str">
        <v>HİLAL LTD</v>
      </c>
      <c r="H75" s="167" cm="1">
        <f t="array" aca="1" ref="H75" ca="1">SUM(_xlfn._xlws.FILTER(_xlfn._TRO_TRAILING(quantities!L:L),(_xlfn._TRO_TRAILING(quantities!D:D)=C75)*(_xlfn._TRO_TRAILING(quantities!E:E)=D75)))</f>
        <v>4619.5</v>
      </c>
      <c r="I75" s="167"/>
      <c r="J75" t="e">
        <f ca="1">SUMIFS(
INDIRECT("'[S2 Subcon IPC Log.xlsx]Subcon IPC Log'!"&amp;"$O:$O"),
INDIRECT("'[S2 Subcon IPC Log.xlsx]Subcon IPC Log'!"&amp;"$C:$C"),
"KLN-SPP2-"&amp;_xlfn.XLOOKUP(C75,log_contracts!B:B,log_contracts!C:C)&amp;"-"&amp;TEXT(C75,"000"),
INDIRECT("'[S2 Subcon IPC Log.xlsx]Subcon IPC Log'!"&amp;"$D:$D"),
D75)</f>
        <v>#REF!</v>
      </c>
      <c r="K75" s="167" t="e">
        <f ca="1"/>
        <v>#REF!</v>
      </c>
    </row>
    <row r="76" spans="1:11" hidden="1" x14ac:dyDescent="0.25">
      <c r="A76">
        <v>75</v>
      </c>
      <c r="B76" t="str">
        <v>030-009</v>
      </c>
      <c r="C76">
        <v>30</v>
      </c>
      <c r="D76">
        <v>9</v>
      </c>
      <c r="E76" s="123">
        <v>45901</v>
      </c>
      <c r="F76" s="123">
        <v>45930</v>
      </c>
      <c r="G76" t="str">
        <v>NAR TRANSPORT SERVICES MMC</v>
      </c>
      <c r="H76" s="167" cm="1">
        <f t="array" aca="1" ref="H76" ca="1">SUM(_xlfn._xlws.FILTER(_xlfn._TRO_TRAILING(quantities!L:L),(_xlfn._TRO_TRAILING(quantities!D:D)=C76)*(_xlfn._TRO_TRAILING(quantities!E:E)=D76)))</f>
        <v>5500</v>
      </c>
      <c r="I76" s="167"/>
      <c r="J76" t="e">
        <f ca="1">SUMIFS(
INDIRECT("'[S2 Subcon IPC Log.xlsx]Subcon IPC Log'!"&amp;"$O:$O"),
INDIRECT("'[S2 Subcon IPC Log.xlsx]Subcon IPC Log'!"&amp;"$C:$C"),
"KLN-SPP2-"&amp;_xlfn.XLOOKUP(C76,log_contracts!B:B,log_contracts!C:C)&amp;"-"&amp;TEXT(C76,"000"),
INDIRECT("'[S2 Subcon IPC Log.xlsx]Subcon IPC Log'!"&amp;"$D:$D"),
D76)</f>
        <v>#REF!</v>
      </c>
      <c r="K76" s="167" t="e">
        <f ca="1"/>
        <v>#REF!</v>
      </c>
    </row>
    <row r="77" spans="1:11" hidden="1" x14ac:dyDescent="0.25">
      <c r="A77">
        <v>76</v>
      </c>
      <c r="B77" t="str">
        <v>031-008</v>
      </c>
      <c r="C77">
        <v>31</v>
      </c>
      <c r="D77">
        <v>8</v>
      </c>
      <c r="E77" s="123">
        <v>45901</v>
      </c>
      <c r="F77" s="123">
        <v>45930</v>
      </c>
      <c r="G77" t="str">
        <v>NAR TRANSPORT SERVICES MMC</v>
      </c>
      <c r="H77" s="167" cm="1">
        <f t="array" aca="1" ref="H77" ca="1">SUM(_xlfn._xlws.FILTER(_xlfn._TRO_TRAILING(quantities!L:L),(_xlfn._TRO_TRAILING(quantities!D:D)=C77)*(_xlfn._TRO_TRAILING(quantities!E:E)=D77)))</f>
        <v>60743.629000000015</v>
      </c>
      <c r="I77" s="167"/>
      <c r="J77" t="e">
        <f ca="1">SUMIFS(
INDIRECT("'[S2 Subcon IPC Log.xlsx]Subcon IPC Log'!"&amp;"$O:$O"),
INDIRECT("'[S2 Subcon IPC Log.xlsx]Subcon IPC Log'!"&amp;"$C:$C"),
"KLN-SPP2-"&amp;_xlfn.XLOOKUP(C77,log_contracts!B:B,log_contracts!C:C)&amp;"-"&amp;TEXT(C77,"000"),
INDIRECT("'[S2 Subcon IPC Log.xlsx]Subcon IPC Log'!"&amp;"$D:$D"),
D77)</f>
        <v>#REF!</v>
      </c>
      <c r="K77" s="167" t="e">
        <f ca="1"/>
        <v>#REF!</v>
      </c>
    </row>
    <row r="78" spans="1:11" hidden="1" x14ac:dyDescent="0.25">
      <c r="A78">
        <v>77</v>
      </c>
      <c r="B78" t="str">
        <v>033-013</v>
      </c>
      <c r="C78">
        <v>33</v>
      </c>
      <c r="D78">
        <v>13</v>
      </c>
      <c r="E78" s="123">
        <v>45901</v>
      </c>
      <c r="F78" s="123">
        <v>45930</v>
      </c>
      <c r="G78" t="str">
        <v>AKKOL HAZIR YEMEK SAN. TIC. AS</v>
      </c>
      <c r="H78" s="167" cm="1">
        <f t="array" aca="1" ref="H78" ca="1">SUM(_xlfn._xlws.FILTER(_xlfn._TRO_TRAILING(quantities!L:L),(_xlfn._TRO_TRAILING(quantities!D:D)=C78)*(_xlfn._TRO_TRAILING(quantities!E:E)=D78)))</f>
        <v>573603.52</v>
      </c>
      <c r="I78" s="167"/>
      <c r="J78" t="e">
        <f ca="1">SUMIFS(
INDIRECT("'[S2 Subcon IPC Log.xlsx]Subcon IPC Log'!"&amp;"$O:$O"),
INDIRECT("'[S2 Subcon IPC Log.xlsx]Subcon IPC Log'!"&amp;"$C:$C"),
"KLN-SPP2-"&amp;_xlfn.XLOOKUP(C78,log_contracts!B:B,log_contracts!C:C)&amp;"-"&amp;TEXT(C78,"000"),
INDIRECT("'[S2 Subcon IPC Log.xlsx]Subcon IPC Log'!"&amp;"$D:$D"),
D78)</f>
        <v>#REF!</v>
      </c>
      <c r="K78" s="167" t="e">
        <f ca="1"/>
        <v>#REF!</v>
      </c>
    </row>
    <row r="79" spans="1:11" hidden="1" x14ac:dyDescent="0.25">
      <c r="A79">
        <v>78</v>
      </c>
      <c r="B79" t="str">
        <v>046-005</v>
      </c>
      <c r="C79">
        <v>46</v>
      </c>
      <c r="D79">
        <v>5</v>
      </c>
      <c r="E79" s="123">
        <v>45901</v>
      </c>
      <c r="F79" s="123">
        <v>45930</v>
      </c>
      <c r="G79" t="str">
        <v>HARDCORE CE MMC</v>
      </c>
      <c r="H79" s="167" cm="1">
        <f t="array" aca="1" ref="H79" ca="1">SUM(_xlfn._xlws.FILTER(_xlfn._TRO_TRAILING(quantities!L:L),(_xlfn._TRO_TRAILING(quantities!D:D)=C79)*(_xlfn._TRO_TRAILING(quantities!E:E)=D79)))</f>
        <v>17457.144022857141</v>
      </c>
      <c r="I79" s="167"/>
      <c r="J79" t="e">
        <f ca="1">SUMIFS(
INDIRECT("'[S2 Subcon IPC Log.xlsx]Subcon IPC Log'!"&amp;"$O:$O"),
INDIRECT("'[S2 Subcon IPC Log.xlsx]Subcon IPC Log'!"&amp;"$C:$C"),
"KLN-SPP2-"&amp;_xlfn.XLOOKUP(C79,log_contracts!B:B,log_contracts!C:C)&amp;"-"&amp;TEXT(C79,"000"),
INDIRECT("'[S2 Subcon IPC Log.xlsx]Subcon IPC Log'!"&amp;"$D:$D"),
D79)</f>
        <v>#REF!</v>
      </c>
      <c r="K79" s="167" t="e">
        <f ca="1"/>
        <v>#REF!</v>
      </c>
    </row>
    <row r="80" spans="1:11" hidden="1" x14ac:dyDescent="0.25">
      <c r="A80">
        <v>79</v>
      </c>
      <c r="B80" t="str">
        <v>050-004</v>
      </c>
      <c r="C80">
        <v>50</v>
      </c>
      <c r="D80">
        <v>4</v>
      </c>
      <c r="E80" s="123">
        <v>45901</v>
      </c>
      <c r="F80" s="123">
        <v>45930</v>
      </c>
      <c r="G80" t="str">
        <v>LOFT CONSTRUCTION</v>
      </c>
      <c r="H80" s="167" cm="1">
        <f t="array" aca="1" ref="H80" ca="1">SUM(_xlfn._xlws.FILTER(_xlfn._TRO_TRAILING(quantities!L:L),(_xlfn._TRO_TRAILING(quantities!D:D)=C80)*(_xlfn._TRO_TRAILING(quantities!E:E)=D80)))</f>
        <v>9642.8582999999999</v>
      </c>
      <c r="I80" s="167"/>
      <c r="J80" t="e">
        <f ca="1">SUMIFS(
INDIRECT("'[S2 Subcon IPC Log.xlsx]Subcon IPC Log'!"&amp;"$O:$O"),
INDIRECT("'[S2 Subcon IPC Log.xlsx]Subcon IPC Log'!"&amp;"$C:$C"),
"KLN-SPP2-"&amp;_xlfn.XLOOKUP(C80,log_contracts!B:B,log_contracts!C:C)&amp;"-"&amp;TEXT(C80,"000"),
INDIRECT("'[S2 Subcon IPC Log.xlsx]Subcon IPC Log'!"&amp;"$D:$D"),
D80)</f>
        <v>#REF!</v>
      </c>
      <c r="K80" s="167" t="e">
        <f ca="1"/>
        <v>#REF!</v>
      </c>
    </row>
    <row r="81" spans="1:11" hidden="1" x14ac:dyDescent="0.25">
      <c r="A81">
        <v>80</v>
      </c>
      <c r="B81" t="str">
        <v>065-005</v>
      </c>
      <c r="C81">
        <v>65</v>
      </c>
      <c r="D81">
        <v>5</v>
      </c>
      <c r="E81" s="123">
        <v>45931</v>
      </c>
      <c r="F81" s="123">
        <v>45961</v>
      </c>
      <c r="G81" t="str">
        <v>ETIBAR MAMMADOV</v>
      </c>
      <c r="H81" s="167" cm="1">
        <f t="array" aca="1" ref="H81" ca="1">SUM(_xlfn._xlws.FILTER(_xlfn._TRO_TRAILING(quantities!L:L),(_xlfn._TRO_TRAILING(quantities!D:D)=C81)*(_xlfn._TRO_TRAILING(quantities!E:E)=D81)))</f>
        <v>9803.4514285714286</v>
      </c>
      <c r="I81" s="167"/>
      <c r="J81" t="e">
        <f ca="1">SUMIFS(
INDIRECT("'[S2 Subcon IPC Log.xlsx]Subcon IPC Log'!"&amp;"$O:$O"),
INDIRECT("'[S2 Subcon IPC Log.xlsx]Subcon IPC Log'!"&amp;"$C:$C"),
"KLN-SPP2-"&amp;_xlfn.XLOOKUP(C81,log_contracts!B:B,log_contracts!C:C)&amp;"-"&amp;TEXT(C81,"000"),
INDIRECT("'[S2 Subcon IPC Log.xlsx]Subcon IPC Log'!"&amp;"$D:$D"),
D81)</f>
        <v>#REF!</v>
      </c>
      <c r="K81" s="167" t="e">
        <f ca="1"/>
        <v>#REF!</v>
      </c>
    </row>
    <row r="82" spans="1:11" hidden="1" x14ac:dyDescent="0.25">
      <c r="A82">
        <v>81</v>
      </c>
      <c r="B82" t="str">
        <v>085-004</v>
      </c>
      <c r="C82">
        <v>85</v>
      </c>
      <c r="D82">
        <v>4</v>
      </c>
      <c r="E82" s="123">
        <v>45962</v>
      </c>
      <c r="F82" s="123">
        <v>45991</v>
      </c>
      <c r="G82" t="str">
        <v>BABEK ALBANDOV</v>
      </c>
      <c r="H82" s="167" cm="1">
        <f t="array" aca="1" ref="H82" ca="1">SUM(_xlfn._xlws.FILTER(_xlfn._TRO_TRAILING(quantities!L:L),(_xlfn._TRO_TRAILING(quantities!D:D)=C82)*(_xlfn._TRO_TRAILING(quantities!E:E)=D82)))</f>
        <v>13883.973</v>
      </c>
      <c r="I82" s="167"/>
      <c r="J82" t="e">
        <f ca="1">SUMIFS(
INDIRECT("'[S2 Subcon IPC Log.xlsx]Subcon IPC Log'!"&amp;"$O:$O"),
INDIRECT("'[S2 Subcon IPC Log.xlsx]Subcon IPC Log'!"&amp;"$C:$C"),
"KLN-SPP2-"&amp;_xlfn.XLOOKUP(C82,log_contracts!B:B,log_contracts!C:C)&amp;"-"&amp;TEXT(C82,"000"),
INDIRECT("'[S2 Subcon IPC Log.xlsx]Subcon IPC Log'!"&amp;"$D:$D"),
D82)</f>
        <v>#REF!</v>
      </c>
      <c r="K82" s="167" t="e">
        <f ca="1"/>
        <v>#REF!</v>
      </c>
    </row>
    <row r="83" spans="1:11" hidden="1" x14ac:dyDescent="0.25">
      <c r="A83">
        <v>82</v>
      </c>
      <c r="B83" t="str">
        <v>091-003</v>
      </c>
      <c r="C83">
        <v>91</v>
      </c>
      <c r="D83">
        <v>3</v>
      </c>
      <c r="E83" s="123">
        <v>45901</v>
      </c>
      <c r="F83" s="123">
        <v>45930</v>
      </c>
      <c r="G83" t="str">
        <v>ELSAD QULIYEV</v>
      </c>
      <c r="H83" s="167" cm="1">
        <f t="array" aca="1" ref="H83" ca="1">SUM(_xlfn._xlws.FILTER(_xlfn._TRO_TRAILING(quantities!L:L),(_xlfn._TRO_TRAILING(quantities!D:D)=C83)*(_xlfn._TRO_TRAILING(quantities!E:E)=D83)))</f>
        <v>3500</v>
      </c>
      <c r="I83" s="167"/>
      <c r="J83" t="e">
        <f ca="1">SUMIFS(
INDIRECT("'[S2 Subcon IPC Log.xlsx]Subcon IPC Log'!"&amp;"$O:$O"),
INDIRECT("'[S2 Subcon IPC Log.xlsx]Subcon IPC Log'!"&amp;"$C:$C"),
"KLN-SPP2-"&amp;_xlfn.XLOOKUP(C83,log_contracts!B:B,log_contracts!C:C)&amp;"-"&amp;TEXT(C83,"000"),
INDIRECT("'[S2 Subcon IPC Log.xlsx]Subcon IPC Log'!"&amp;"$D:$D"),
D83)</f>
        <v>#REF!</v>
      </c>
      <c r="K83" s="167" t="e">
        <f ca="1"/>
        <v>#REF!</v>
      </c>
    </row>
    <row r="84" spans="1:11" hidden="1" x14ac:dyDescent="0.25">
      <c r="A84">
        <v>83</v>
      </c>
      <c r="B84" t="str">
        <v>094-004</v>
      </c>
      <c r="C84">
        <v>94</v>
      </c>
      <c r="D84">
        <v>4</v>
      </c>
      <c r="E84" s="123">
        <v>45901</v>
      </c>
      <c r="F84" s="123">
        <v>45930</v>
      </c>
      <c r="G84" t="str">
        <v>XANIM ABDULLAYEVA</v>
      </c>
      <c r="H84" s="167" cm="1">
        <f t="array" aca="1" ref="H84" ca="1">SUM(_xlfn._xlws.FILTER(_xlfn._TRO_TRAILING(quantities!L:L),(_xlfn._TRO_TRAILING(quantities!D:D)=C84)*(_xlfn._TRO_TRAILING(quantities!E:E)=D84)))</f>
        <v>7500</v>
      </c>
      <c r="I84" s="167"/>
      <c r="J84" t="e">
        <f ca="1">SUMIFS(
INDIRECT("'[S2 Subcon IPC Log.xlsx]Subcon IPC Log'!"&amp;"$O:$O"),
INDIRECT("'[S2 Subcon IPC Log.xlsx]Subcon IPC Log'!"&amp;"$C:$C"),
"KLN-SPP2-"&amp;_xlfn.XLOOKUP(C84,log_contracts!B:B,log_contracts!C:C)&amp;"-"&amp;TEXT(C84,"000"),
INDIRECT("'[S2 Subcon IPC Log.xlsx]Subcon IPC Log'!"&amp;"$D:$D"),
D84)</f>
        <v>#REF!</v>
      </c>
      <c r="K84" s="167" t="e">
        <f ca="1"/>
        <v>#REF!</v>
      </c>
    </row>
    <row r="85" spans="1:11" hidden="1" x14ac:dyDescent="0.25">
      <c r="A85">
        <v>84</v>
      </c>
      <c r="B85" t="str">
        <v>094-005</v>
      </c>
      <c r="C85">
        <v>94</v>
      </c>
      <c r="D85">
        <v>5</v>
      </c>
      <c r="E85" s="123">
        <v>45901</v>
      </c>
      <c r="F85" s="123">
        <v>45869</v>
      </c>
      <c r="G85" t="str">
        <v>XANIM ABDULLAYEVA</v>
      </c>
      <c r="H85" s="167" cm="1">
        <f t="array" aca="1" ref="H85" ca="1">SUM(_xlfn._xlws.FILTER(_xlfn._TRO_TRAILING(quantities!L:L),(_xlfn._TRO_TRAILING(quantities!D:D)=C85)*(_xlfn._TRO_TRAILING(quantities!E:E)=D85)))</f>
        <v>3875</v>
      </c>
      <c r="I85" s="167"/>
      <c r="J85" t="e">
        <f ca="1">SUMIFS(
INDIRECT("'[S2 Subcon IPC Log.xlsx]Subcon IPC Log'!"&amp;"$O:$O"),
INDIRECT("'[S2 Subcon IPC Log.xlsx]Subcon IPC Log'!"&amp;"$C:$C"),
"KLN-SPP2-"&amp;_xlfn.XLOOKUP(C85,log_contracts!B:B,log_contracts!C:C)&amp;"-"&amp;TEXT(C85,"000"),
INDIRECT("'[S2 Subcon IPC Log.xlsx]Subcon IPC Log'!"&amp;"$D:$D"),
D85)</f>
        <v>#REF!</v>
      </c>
      <c r="K85" s="167" t="e">
        <f ca="1"/>
        <v>#REF!</v>
      </c>
    </row>
    <row r="86" spans="1:11" hidden="1" x14ac:dyDescent="0.25">
      <c r="A86">
        <v>85</v>
      </c>
      <c r="B86" t="str">
        <v>095-001</v>
      </c>
      <c r="C86">
        <v>95</v>
      </c>
      <c r="D86">
        <v>1</v>
      </c>
      <c r="E86" s="123">
        <v>45901</v>
      </c>
      <c r="F86" s="123">
        <v>45930</v>
      </c>
      <c r="G86" t="str">
        <v>IBRAHIM XALILOV</v>
      </c>
      <c r="H86" s="167" cm="1">
        <f t="array" aca="1" ref="H86" ca="1">SUM(_xlfn._xlws.FILTER(_xlfn._TRO_TRAILING(quantities!L:L),(_xlfn._TRO_TRAILING(quantities!D:D)=C86)*(_xlfn._TRO_TRAILING(quantities!E:E)=D86)))</f>
        <v>4714.2149999999992</v>
      </c>
      <c r="I86" s="167"/>
      <c r="J86" t="e">
        <f ca="1">SUMIFS(
INDIRECT("'[S2 Subcon IPC Log.xlsx]Subcon IPC Log'!"&amp;"$O:$O"),
INDIRECT("'[S2 Subcon IPC Log.xlsx]Subcon IPC Log'!"&amp;"$C:$C"),
"KLN-SPP2-"&amp;_xlfn.XLOOKUP(C86,log_contracts!B:B,log_contracts!C:C)&amp;"-"&amp;TEXT(C86,"000"),
INDIRECT("'[S2 Subcon IPC Log.xlsx]Subcon IPC Log'!"&amp;"$D:$D"),
D86)</f>
        <v>#REF!</v>
      </c>
      <c r="K86" s="167" t="e">
        <f ca="1"/>
        <v>#REF!</v>
      </c>
    </row>
    <row r="87" spans="1:11" hidden="1" x14ac:dyDescent="0.25">
      <c r="A87">
        <v>86</v>
      </c>
      <c r="B87" t="str">
        <v>095-002</v>
      </c>
      <c r="C87">
        <v>95</v>
      </c>
      <c r="D87">
        <v>2</v>
      </c>
      <c r="E87" s="123">
        <v>45931</v>
      </c>
      <c r="F87" s="123">
        <v>45961</v>
      </c>
      <c r="G87" t="str">
        <v>IBRAHIM XALILOV</v>
      </c>
      <c r="H87" s="167" cm="1">
        <f t="array" aca="1" ref="H87" ca="1">SUM(_xlfn._xlws.FILTER(_xlfn._TRO_TRAILING(quantities!L:L),(_xlfn._TRO_TRAILING(quantities!D:D)=C87)*(_xlfn._TRO_TRAILING(quantities!E:E)=D87)))</f>
        <v>7714.1699999999992</v>
      </c>
      <c r="I87" s="167"/>
      <c r="J87" t="e">
        <f ca="1">SUMIFS(
INDIRECT("'[S2 Subcon IPC Log.xlsx]Subcon IPC Log'!"&amp;"$O:$O"),
INDIRECT("'[S2 Subcon IPC Log.xlsx]Subcon IPC Log'!"&amp;"$C:$C"),
"KLN-SPP2-"&amp;_xlfn.XLOOKUP(C87,log_contracts!B:B,log_contracts!C:C)&amp;"-"&amp;TEXT(C87,"000"),
INDIRECT("'[S2 Subcon IPC Log.xlsx]Subcon IPC Log'!"&amp;"$D:$D"),
D87)</f>
        <v>#REF!</v>
      </c>
      <c r="K87" s="167" t="e">
        <f ca="1"/>
        <v>#REF!</v>
      </c>
    </row>
    <row r="88" spans="1:11" hidden="1" x14ac:dyDescent="0.25">
      <c r="A88">
        <v>87</v>
      </c>
      <c r="B88" t="str">
        <v>095-003</v>
      </c>
      <c r="C88">
        <v>95</v>
      </c>
      <c r="D88">
        <v>3</v>
      </c>
      <c r="E88" s="123">
        <v>45851</v>
      </c>
      <c r="F88" s="123">
        <v>45869</v>
      </c>
      <c r="G88" t="str">
        <v>IBRAHIM XALILOV</v>
      </c>
      <c r="H88" s="167" cm="1">
        <f t="array" aca="1" ref="H88" ca="1">SUM(_xlfn._xlws.FILTER(_xlfn._TRO_TRAILING(quantities!L:L),(_xlfn._TRO_TRAILING(quantities!D:D)=C88)*(_xlfn._TRO_TRAILING(quantities!E:E)=D88)))</f>
        <v>6857.0399999999991</v>
      </c>
      <c r="I88" s="167"/>
      <c r="J88" t="e">
        <f ca="1">SUMIFS(
INDIRECT("'[S2 Subcon IPC Log.xlsx]Subcon IPC Log'!"&amp;"$O:$O"),
INDIRECT("'[S2 Subcon IPC Log.xlsx]Subcon IPC Log'!"&amp;"$C:$C"),
"KLN-SPP2-"&amp;_xlfn.XLOOKUP(C88,log_contracts!B:B,log_contracts!C:C)&amp;"-"&amp;TEXT(C88,"000"),
INDIRECT("'[S2 Subcon IPC Log.xlsx]Subcon IPC Log'!"&amp;"$D:$D"),
D88)</f>
        <v>#REF!</v>
      </c>
      <c r="K88" s="167" t="e">
        <f ca="1"/>
        <v>#REF!</v>
      </c>
    </row>
    <row r="89" spans="1:11" hidden="1" x14ac:dyDescent="0.25">
      <c r="A89">
        <v>88</v>
      </c>
      <c r="B89" t="str">
        <v>095-004</v>
      </c>
      <c r="C89">
        <v>95</v>
      </c>
      <c r="D89">
        <v>4</v>
      </c>
      <c r="E89" s="123">
        <v>45870</v>
      </c>
      <c r="F89" s="123">
        <v>45900</v>
      </c>
      <c r="G89" t="str">
        <v>IBRAHIM XALILOV</v>
      </c>
      <c r="H89" s="167" cm="1">
        <f t="array" aca="1" ref="H89" ca="1">SUM(_xlfn._xlws.FILTER(_xlfn._TRO_TRAILING(quantities!L:L),(_xlfn._TRO_TRAILING(quantities!D:D)=C89)*(_xlfn._TRO_TRAILING(quantities!E:E)=D89)))</f>
        <v>8142.7349999999997</v>
      </c>
      <c r="I89" s="167"/>
      <c r="J89" t="e">
        <f ca="1">SUMIFS(
INDIRECT("'[S2 Subcon IPC Log.xlsx]Subcon IPC Log'!"&amp;"$O:$O"),
INDIRECT("'[S2 Subcon IPC Log.xlsx]Subcon IPC Log'!"&amp;"$C:$C"),
"KLN-SPP2-"&amp;_xlfn.XLOOKUP(C89,log_contracts!B:B,log_contracts!C:C)&amp;"-"&amp;TEXT(C89,"000"),
INDIRECT("'[S2 Subcon IPC Log.xlsx]Subcon IPC Log'!"&amp;"$D:$D"),
D89)</f>
        <v>#REF!</v>
      </c>
      <c r="K89" s="167" t="e">
        <f ca="1"/>
        <v>#REF!</v>
      </c>
    </row>
    <row r="90" spans="1:11" hidden="1" x14ac:dyDescent="0.25">
      <c r="A90">
        <v>89</v>
      </c>
      <c r="B90" t="str">
        <v>095-005</v>
      </c>
      <c r="C90">
        <v>95</v>
      </c>
      <c r="D90">
        <v>5</v>
      </c>
      <c r="E90" s="123">
        <v>45901</v>
      </c>
      <c r="F90" s="123">
        <v>45930</v>
      </c>
      <c r="G90" t="str">
        <v>IBRAHIM XALILOV</v>
      </c>
      <c r="H90" s="167" cm="1">
        <f t="array" aca="1" ref="H90" ca="1">SUM(_xlfn._xlws.FILTER(_xlfn._TRO_TRAILING(quantities!L:L),(_xlfn._TRO_TRAILING(quantities!D:D)=C90)*(_xlfn._TRO_TRAILING(quantities!E:E)=D90)))</f>
        <v>6285.62</v>
      </c>
      <c r="I90" s="167"/>
      <c r="J90" t="e">
        <f ca="1">SUMIFS(
INDIRECT("'[S2 Subcon IPC Log.xlsx]Subcon IPC Log'!"&amp;"$O:$O"),
INDIRECT("'[S2 Subcon IPC Log.xlsx]Subcon IPC Log'!"&amp;"$C:$C"),
"KLN-SPP2-"&amp;_xlfn.XLOOKUP(C90,log_contracts!B:B,log_contracts!C:C)&amp;"-"&amp;TEXT(C90,"000"),
INDIRECT("'[S2 Subcon IPC Log.xlsx]Subcon IPC Log'!"&amp;"$D:$D"),
D90)</f>
        <v>#REF!</v>
      </c>
      <c r="K90" s="167" t="e">
        <f ca="1"/>
        <v>#REF!</v>
      </c>
    </row>
    <row r="91" spans="1:11" hidden="1" x14ac:dyDescent="0.25">
      <c r="A91">
        <v>90</v>
      </c>
      <c r="B91" t="str">
        <v>098-003</v>
      </c>
      <c r="C91">
        <v>98</v>
      </c>
      <c r="D91">
        <v>3</v>
      </c>
      <c r="E91" s="123">
        <v>45931</v>
      </c>
      <c r="F91" s="123">
        <v>45961</v>
      </c>
      <c r="G91" t="str">
        <v>HACIAGA KERIMOV</v>
      </c>
      <c r="H91" s="167" cm="1">
        <f t="array" aca="1" ref="H91" ca="1">SUM(_xlfn._xlws.FILTER(_xlfn._TRO_TRAILING(quantities!L:L),(_xlfn._TRO_TRAILING(quantities!D:D)=C91)*(_xlfn._TRO_TRAILING(quantities!E:E)=D91)))</f>
        <v>2717.7780000000002</v>
      </c>
      <c r="I91" s="167"/>
      <c r="J91" t="e">
        <f ca="1">SUMIFS(
INDIRECT("'[S2 Subcon IPC Log.xlsx]Subcon IPC Log'!"&amp;"$O:$O"),
INDIRECT("'[S2 Subcon IPC Log.xlsx]Subcon IPC Log'!"&amp;"$C:$C"),
"KLN-SPP2-"&amp;_xlfn.XLOOKUP(C91,log_contracts!B:B,log_contracts!C:C)&amp;"-"&amp;TEXT(C91,"000"),
INDIRECT("'[S2 Subcon IPC Log.xlsx]Subcon IPC Log'!"&amp;"$D:$D"),
D91)</f>
        <v>#REF!</v>
      </c>
      <c r="K91" s="167" t="e">
        <f ca="1"/>
        <v>#REF!</v>
      </c>
    </row>
    <row r="92" spans="1:11" hidden="1" x14ac:dyDescent="0.25">
      <c r="A92">
        <v>91</v>
      </c>
      <c r="B92" t="str">
        <v>099-003</v>
      </c>
      <c r="C92">
        <v>99</v>
      </c>
      <c r="D92">
        <v>3</v>
      </c>
      <c r="E92" s="123">
        <v>45962</v>
      </c>
      <c r="F92" s="123">
        <v>45991</v>
      </c>
      <c r="G92" t="str">
        <v>YUSIF MAHARRAMOV</v>
      </c>
      <c r="H92" s="167" cm="1">
        <f t="array" aca="1" ref="H92" ca="1">SUM(_xlfn._xlws.FILTER(_xlfn._TRO_TRAILING(quantities!L:L),(_xlfn._TRO_TRAILING(quantities!D:D)=C92)*(_xlfn._TRO_TRAILING(quantities!E:E)=D92)))</f>
        <v>4162.5</v>
      </c>
      <c r="I92" s="167"/>
      <c r="J92" t="e">
        <f ca="1">SUMIFS(
INDIRECT("'[S2 Subcon IPC Log.xlsx]Subcon IPC Log'!"&amp;"$O:$O"),
INDIRECT("'[S2 Subcon IPC Log.xlsx]Subcon IPC Log'!"&amp;"$C:$C"),
"KLN-SPP2-"&amp;_xlfn.XLOOKUP(C92,log_contracts!B:B,log_contracts!C:C)&amp;"-"&amp;TEXT(C92,"000"),
INDIRECT("'[S2 Subcon IPC Log.xlsx]Subcon IPC Log'!"&amp;"$D:$D"),
D92)</f>
        <v>#REF!</v>
      </c>
      <c r="K92" s="167" t="e">
        <f ca="1"/>
        <v>#REF!</v>
      </c>
    </row>
    <row r="93" spans="1:11" hidden="1" x14ac:dyDescent="0.25">
      <c r="A93">
        <v>92</v>
      </c>
      <c r="B93" t="str">
        <v>100-003</v>
      </c>
      <c r="C93">
        <v>100</v>
      </c>
      <c r="D93">
        <v>3</v>
      </c>
      <c r="E93" s="123">
        <v>45901</v>
      </c>
      <c r="F93" s="123">
        <v>45930</v>
      </c>
      <c r="G93" t="str">
        <v>RUSLAN HUSEYINOV</v>
      </c>
      <c r="H93" s="167" cm="1">
        <f t="array" aca="1" ref="H93" ca="1">SUM(_xlfn._xlws.FILTER(_xlfn._TRO_TRAILING(quantities!L:L),(_xlfn._TRO_TRAILING(quantities!D:D)=C93)*(_xlfn._TRO_TRAILING(quantities!E:E)=D93)))</f>
        <v>5107.18</v>
      </c>
      <c r="I93" s="167"/>
      <c r="J93" t="e">
        <f ca="1">SUMIFS(
INDIRECT("'[S2 Subcon IPC Log.xlsx]Subcon IPC Log'!"&amp;"$O:$O"),
INDIRECT("'[S2 Subcon IPC Log.xlsx]Subcon IPC Log'!"&amp;"$C:$C"),
"KLN-SPP2-"&amp;_xlfn.XLOOKUP(C93,log_contracts!B:B,log_contracts!C:C)&amp;"-"&amp;TEXT(C93,"000"),
INDIRECT("'[S2 Subcon IPC Log.xlsx]Subcon IPC Log'!"&amp;"$D:$D"),
D93)</f>
        <v>#REF!</v>
      </c>
      <c r="K93" s="167" t="e">
        <f ca="1"/>
        <v>#REF!</v>
      </c>
    </row>
    <row r="94" spans="1:11" x14ac:dyDescent="0.25">
      <c r="A94">
        <v>93</v>
      </c>
      <c r="B94" t="str">
        <v>102-002</v>
      </c>
      <c r="C94">
        <v>102</v>
      </c>
      <c r="D94">
        <v>2</v>
      </c>
      <c r="E94" s="123">
        <v>45901</v>
      </c>
      <c r="F94" s="123">
        <v>45930</v>
      </c>
      <c r="G94" t="str">
        <v>KONUL HUSEYNOVA</v>
      </c>
      <c r="H94" s="167" cm="1">
        <f t="array" aca="1" ref="H94" ca="1">SUM(_xlfn._xlws.FILTER(_xlfn._TRO_TRAILING(quantities!L:L),(_xlfn._TRO_TRAILING(quantities!D:D)=C94)*(_xlfn._TRO_TRAILING(quantities!E:E)=D94)))</f>
        <v>8600</v>
      </c>
      <c r="I94" s="167"/>
      <c r="J94" t="e">
        <f ca="1">SUMIFS(
INDIRECT("'[S2 Subcon IPC Log.xlsx]Subcon IPC Log'!"&amp;"$O:$O"),
INDIRECT("'[S2 Subcon IPC Log.xlsx]Subcon IPC Log'!"&amp;"$C:$C"),
"KLN-SPP2-"&amp;_xlfn.XLOOKUP(C94,log_contracts!B:B,log_contracts!C:C)&amp;"-"&amp;TEXT(C94,"000"),
INDIRECT("'[S2 Subcon IPC Log.xlsx]Subcon IPC Log'!"&amp;"$D:$D"),
D94)</f>
        <v>#REF!</v>
      </c>
      <c r="K94" s="167" t="e">
        <f ca="1"/>
        <v>#REF!</v>
      </c>
    </row>
    <row r="95" spans="1:11" hidden="1" x14ac:dyDescent="0.25">
      <c r="A95">
        <v>94</v>
      </c>
      <c r="B95" t="str">
        <v>110-002</v>
      </c>
      <c r="C95">
        <v>110</v>
      </c>
      <c r="D95">
        <v>2</v>
      </c>
      <c r="E95" s="123">
        <v>45901</v>
      </c>
      <c r="F95" s="123">
        <v>45930</v>
      </c>
      <c r="G95" t="str">
        <v>MAMMAD QALANDARLI</v>
      </c>
      <c r="H95" s="167" cm="1">
        <f t="array" aca="1" ref="H95" ca="1">SUM(_xlfn._xlws.FILTER(_xlfn._TRO_TRAILING(quantities!L:L),(_xlfn._TRO_TRAILING(quantities!D:D)=C95)*(_xlfn._TRO_TRAILING(quantities!E:E)=D95)))</f>
        <v>5757.1428571428569</v>
      </c>
      <c r="I95" s="167"/>
      <c r="J95" t="e">
        <f ca="1">SUMIFS(
INDIRECT("'[S2 Subcon IPC Log.xlsx]Subcon IPC Log'!"&amp;"$O:$O"),
INDIRECT("'[S2 Subcon IPC Log.xlsx]Subcon IPC Log'!"&amp;"$C:$C"),
"KLN-SPP2-"&amp;_xlfn.XLOOKUP(C95,log_contracts!B:B,log_contracts!C:C)&amp;"-"&amp;TEXT(C95,"000"),
INDIRECT("'[S2 Subcon IPC Log.xlsx]Subcon IPC Log'!"&amp;"$D:$D"),
D95)</f>
        <v>#REF!</v>
      </c>
      <c r="K95" s="167" t="e">
        <f ca="1"/>
        <v>#REF!</v>
      </c>
    </row>
    <row r="96" spans="1:11" hidden="1" x14ac:dyDescent="0.25">
      <c r="A96">
        <v>95</v>
      </c>
      <c r="B96" t="str">
        <v>011-010</v>
      </c>
      <c r="C96">
        <v>11</v>
      </c>
      <c r="D96">
        <v>10</v>
      </c>
      <c r="E96" s="123">
        <v>45901</v>
      </c>
      <c r="F96" s="123">
        <v>45930</v>
      </c>
      <c r="G96" t="str">
        <v>CASPIAN ENGINEERING SOLUTIONS MMC</v>
      </c>
      <c r="H96" s="167" cm="1">
        <f t="array" aca="1" ref="H96" ca="1">SUM(_xlfn._xlws.FILTER(_xlfn._TRO_TRAILING(quantities!L:L),(_xlfn._TRO_TRAILING(quantities!D:D)=C96)*(_xlfn._TRO_TRAILING(quantities!E:E)=D96)))</f>
        <v>15800</v>
      </c>
      <c r="I96" s="167"/>
      <c r="J96" t="e">
        <f ca="1">SUMIFS(
INDIRECT("'[S2 Subcon IPC Log.xlsx]Subcon IPC Log'!"&amp;"$O:$O"),
INDIRECT("'[S2 Subcon IPC Log.xlsx]Subcon IPC Log'!"&amp;"$C:$C"),
"KLN-SPP2-"&amp;_xlfn.XLOOKUP(C96,log_contracts!B:B,log_contracts!C:C)&amp;"-"&amp;TEXT(C96,"000"),
INDIRECT("'[S2 Subcon IPC Log.xlsx]Subcon IPC Log'!"&amp;"$D:$D"),
D96)</f>
        <v>#REF!</v>
      </c>
      <c r="K96" s="167" t="e">
        <f ca="1"/>
        <v>#REF!</v>
      </c>
    </row>
    <row r="97" spans="1:11" hidden="1" x14ac:dyDescent="0.25">
      <c r="A97">
        <v>96</v>
      </c>
      <c r="B97" t="str">
        <v>014-007</v>
      </c>
      <c r="C97">
        <v>14</v>
      </c>
      <c r="D97">
        <v>7</v>
      </c>
      <c r="E97" s="123">
        <v>45901</v>
      </c>
      <c r="F97" s="123">
        <v>45930</v>
      </c>
      <c r="G97" t="str">
        <v>HİLAL LTD</v>
      </c>
      <c r="H97" s="167" cm="1">
        <f t="array" aca="1" ref="H97" ca="1">SUM(_xlfn._xlws.FILTER(_xlfn._TRO_TRAILING(quantities!L:L),(_xlfn._TRO_TRAILING(quantities!D:D)=C97)*(_xlfn._TRO_TRAILING(quantities!E:E)=D97)))</f>
        <v>4000</v>
      </c>
      <c r="I97" s="167"/>
      <c r="J97" t="e">
        <f ca="1">SUMIFS(
INDIRECT("'[S2 Subcon IPC Log.xlsx]Subcon IPC Log'!"&amp;"$O:$O"),
INDIRECT("'[S2 Subcon IPC Log.xlsx]Subcon IPC Log'!"&amp;"$C:$C"),
"KLN-SPP2-"&amp;_xlfn.XLOOKUP(C97,log_contracts!B:B,log_contracts!C:C)&amp;"-"&amp;TEXT(C97,"000"),
INDIRECT("'[S2 Subcon IPC Log.xlsx]Subcon IPC Log'!"&amp;"$D:$D"),
D97)</f>
        <v>#REF!</v>
      </c>
      <c r="K97" s="167" t="e">
        <f ca="1"/>
        <v>#REF!</v>
      </c>
    </row>
    <row r="98" spans="1:11" hidden="1" x14ac:dyDescent="0.25">
      <c r="A98">
        <v>97</v>
      </c>
      <c r="B98" t="str">
        <v>030-010</v>
      </c>
      <c r="C98">
        <v>30</v>
      </c>
      <c r="D98">
        <v>10</v>
      </c>
      <c r="E98" s="123">
        <v>45931</v>
      </c>
      <c r="F98" s="123">
        <v>45961</v>
      </c>
      <c r="G98" t="str">
        <v>NAR TRANSPORT SERVICES MMC</v>
      </c>
      <c r="H98" s="167" cm="1">
        <f t="array" aca="1" ref="H98" ca="1">SUM(_xlfn._xlws.FILTER(_xlfn._TRO_TRAILING(quantities!L:L),(_xlfn._TRO_TRAILING(quantities!D:D)=C98)*(_xlfn._TRO_TRAILING(quantities!E:E)=D98)))</f>
        <v>5500</v>
      </c>
      <c r="I98" s="167"/>
      <c r="J98" t="e">
        <f ca="1">SUMIFS(
INDIRECT("'[S2 Subcon IPC Log.xlsx]Subcon IPC Log'!"&amp;"$O:$O"),
INDIRECT("'[S2 Subcon IPC Log.xlsx]Subcon IPC Log'!"&amp;"$C:$C"),
"KLN-SPP2-"&amp;_xlfn.XLOOKUP(C98,log_contracts!B:B,log_contracts!C:C)&amp;"-"&amp;TEXT(C98,"000"),
INDIRECT("'[S2 Subcon IPC Log.xlsx]Subcon IPC Log'!"&amp;"$D:$D"),
D98)</f>
        <v>#REF!</v>
      </c>
      <c r="K98" s="167" t="e">
        <f ca="1"/>
        <v>#REF!</v>
      </c>
    </row>
    <row r="99" spans="1:11" hidden="1" x14ac:dyDescent="0.25">
      <c r="A99">
        <v>98</v>
      </c>
      <c r="B99" t="str">
        <v>031-009</v>
      </c>
      <c r="C99">
        <v>31</v>
      </c>
      <c r="D99">
        <v>9</v>
      </c>
      <c r="E99" s="123">
        <v>45931</v>
      </c>
      <c r="F99" s="123">
        <v>45961</v>
      </c>
      <c r="G99" t="str">
        <v>NAR TRANSPORT SERVICES MMC</v>
      </c>
      <c r="H99" s="167" cm="1">
        <f t="array" aca="1" ref="H99" ca="1">SUM(_xlfn._xlws.FILTER(_xlfn._TRO_TRAILING(quantities!L:L),(_xlfn._TRO_TRAILING(quantities!D:D)=C99)*(_xlfn._TRO_TRAILING(quantities!E:E)=D99)))</f>
        <v>72371.980928500008</v>
      </c>
      <c r="I99" s="167"/>
      <c r="J99" t="e">
        <f ca="1">SUMIFS(
INDIRECT("'[S2 Subcon IPC Log.xlsx]Subcon IPC Log'!"&amp;"$O:$O"),
INDIRECT("'[S2 Subcon IPC Log.xlsx]Subcon IPC Log'!"&amp;"$C:$C"),
"KLN-SPP2-"&amp;_xlfn.XLOOKUP(C99,log_contracts!B:B,log_contracts!C:C)&amp;"-"&amp;TEXT(C99,"000"),
INDIRECT("'[S2 Subcon IPC Log.xlsx]Subcon IPC Log'!"&amp;"$D:$D"),
D99)</f>
        <v>#REF!</v>
      </c>
      <c r="K99" s="167" t="e">
        <f ca="1"/>
        <v>#REF!</v>
      </c>
    </row>
    <row r="100" spans="1:11" hidden="1" x14ac:dyDescent="0.25">
      <c r="A100">
        <v>99</v>
      </c>
      <c r="B100" t="str">
        <v>033-014</v>
      </c>
      <c r="C100">
        <v>33</v>
      </c>
      <c r="D100">
        <v>14</v>
      </c>
      <c r="E100" s="123">
        <v>45931</v>
      </c>
      <c r="F100" s="123">
        <v>45961</v>
      </c>
      <c r="G100" t="str">
        <v>AKKOL HAZIR YEMEK SAN. TIC. AS</v>
      </c>
      <c r="H100" s="167" cm="1">
        <f t="array" aca="1" ref="H100" ca="1">SUM(_xlfn._xlws.FILTER(_xlfn._TRO_TRAILING(quantities!L:L),(_xlfn._TRO_TRAILING(quantities!D:D)=C100)*(_xlfn._TRO_TRAILING(quantities!E:E)=D100)))</f>
        <v>607766.07999999996</v>
      </c>
      <c r="I100" s="167"/>
      <c r="J100" t="e">
        <f ca="1">SUMIFS(
INDIRECT("'[S2 Subcon IPC Log.xlsx]Subcon IPC Log'!"&amp;"$O:$O"),
INDIRECT("'[S2 Subcon IPC Log.xlsx]Subcon IPC Log'!"&amp;"$C:$C"),
"KLN-SPP2-"&amp;_xlfn.XLOOKUP(C100,log_contracts!B:B,log_contracts!C:C)&amp;"-"&amp;TEXT(C100,"000"),
INDIRECT("'[S2 Subcon IPC Log.xlsx]Subcon IPC Log'!"&amp;"$D:$D"),
D100)</f>
        <v>#REF!</v>
      </c>
      <c r="K100" s="167" t="e">
        <f ca="1"/>
        <v>#REF!</v>
      </c>
    </row>
    <row r="101" spans="1:11" hidden="1" x14ac:dyDescent="0.25">
      <c r="A101">
        <v>100</v>
      </c>
      <c r="B101" t="str">
        <v>046-006</v>
      </c>
      <c r="C101">
        <v>46</v>
      </c>
      <c r="D101">
        <v>6</v>
      </c>
      <c r="E101" s="123">
        <v>45931</v>
      </c>
      <c r="F101" s="123">
        <v>45961</v>
      </c>
      <c r="G101" t="str">
        <v>HARDCORE CE MMC</v>
      </c>
      <c r="H101" s="167" cm="1">
        <f t="array" aca="1" ref="H101" ca="1">SUM(_xlfn._xlws.FILTER(_xlfn._TRO_TRAILING(quantities!L:L),(_xlfn._TRO_TRAILING(quantities!D:D)=C101)*(_xlfn._TRO_TRAILING(quantities!E:E)=D101)))</f>
        <v>42446.436182857142</v>
      </c>
      <c r="I101" s="167"/>
      <c r="J101" t="e">
        <f ca="1">SUMIFS(
INDIRECT("'[S2 Subcon IPC Log.xlsx]Subcon IPC Log'!"&amp;"$O:$O"),
INDIRECT("'[S2 Subcon IPC Log.xlsx]Subcon IPC Log'!"&amp;"$C:$C"),
"KLN-SPP2-"&amp;_xlfn.XLOOKUP(C101,log_contracts!B:B,log_contracts!C:C)&amp;"-"&amp;TEXT(C101,"000"),
INDIRECT("'[S2 Subcon IPC Log.xlsx]Subcon IPC Log'!"&amp;"$D:$D"),
D101)</f>
        <v>#REF!</v>
      </c>
      <c r="K101" s="167" t="e">
        <f ca="1"/>
        <v>#REF!</v>
      </c>
    </row>
    <row r="102" spans="1:11" hidden="1" x14ac:dyDescent="0.25">
      <c r="A102">
        <v>101</v>
      </c>
      <c r="B102" t="str">
        <v>050-005</v>
      </c>
      <c r="C102">
        <v>50</v>
      </c>
      <c r="D102">
        <v>5</v>
      </c>
      <c r="E102" s="123">
        <v>45931</v>
      </c>
      <c r="F102" s="123">
        <v>45961</v>
      </c>
      <c r="G102" t="str">
        <v>LOFT CONSTRUCTION</v>
      </c>
      <c r="H102" s="167" cm="1">
        <f t="array" aca="1" ref="H102" ca="1">SUM(_xlfn._xlws.FILTER(_xlfn._TRO_TRAILING(quantities!L:L),(_xlfn._TRO_TRAILING(quantities!D:D)=C102)*(_xlfn._TRO_TRAILING(quantities!E:E)=D102)))</f>
        <v>10000.001200000001</v>
      </c>
      <c r="I102" s="167"/>
      <c r="J102" t="e">
        <f ca="1">SUMIFS(
INDIRECT("'[S2 Subcon IPC Log.xlsx]Subcon IPC Log'!"&amp;"$O:$O"),
INDIRECT("'[S2 Subcon IPC Log.xlsx]Subcon IPC Log'!"&amp;"$C:$C"),
"KLN-SPP2-"&amp;_xlfn.XLOOKUP(C102,log_contracts!B:B,log_contracts!C:C)&amp;"-"&amp;TEXT(C102,"000"),
INDIRECT("'[S2 Subcon IPC Log.xlsx]Subcon IPC Log'!"&amp;"$D:$D"),
D102)</f>
        <v>#REF!</v>
      </c>
      <c r="K102" s="167" t="e">
        <f ca="1"/>
        <v>#REF!</v>
      </c>
    </row>
    <row r="103" spans="1:11" hidden="1" x14ac:dyDescent="0.25">
      <c r="A103">
        <v>102</v>
      </c>
      <c r="B103" t="str">
        <v>051-003</v>
      </c>
      <c r="C103">
        <v>51</v>
      </c>
      <c r="D103">
        <v>3</v>
      </c>
      <c r="E103" s="123">
        <v>45931</v>
      </c>
      <c r="F103" s="123">
        <v>45961</v>
      </c>
      <c r="G103" t="str">
        <v>INTERMAK GROUP MMC</v>
      </c>
      <c r="H103" s="167" cm="1">
        <f t="array" aca="1" ref="H103" ca="1">SUM(_xlfn._xlws.FILTER(_xlfn._TRO_TRAILING(quantities!L:L),(_xlfn._TRO_TRAILING(quantities!D:D)=C103)*(_xlfn._TRO_TRAILING(quantities!E:E)=D103)))</f>
        <v>8506.2759999999998</v>
      </c>
      <c r="I103" s="167"/>
      <c r="J103" t="e">
        <f ca="1">SUMIFS(
INDIRECT("'[S2 Subcon IPC Log.xlsx]Subcon IPC Log'!"&amp;"$O:$O"),
INDIRECT("'[S2 Subcon IPC Log.xlsx]Subcon IPC Log'!"&amp;"$C:$C"),
"KLN-SPP2-"&amp;_xlfn.XLOOKUP(C103,log_contracts!B:B,log_contracts!C:C)&amp;"-"&amp;TEXT(C103,"000"),
INDIRECT("'[S2 Subcon IPC Log.xlsx]Subcon IPC Log'!"&amp;"$D:$D"),
D103)</f>
        <v>#REF!</v>
      </c>
      <c r="K103" s="167" t="e">
        <f ca="1"/>
        <v>#REF!</v>
      </c>
    </row>
    <row r="104" spans="1:11" hidden="1" x14ac:dyDescent="0.25">
      <c r="A104">
        <v>103</v>
      </c>
      <c r="B104" t="str">
        <v>065-006</v>
      </c>
      <c r="C104">
        <v>65</v>
      </c>
      <c r="D104">
        <v>6</v>
      </c>
      <c r="E104" s="123">
        <v>45931</v>
      </c>
      <c r="F104" s="123">
        <v>45961</v>
      </c>
      <c r="G104" t="str">
        <v>ETIBAR MAMMADOV</v>
      </c>
      <c r="H104" s="167" cm="1">
        <f t="array" aca="1" ref="H104" ca="1">SUM(_xlfn._xlws.FILTER(_xlfn._TRO_TRAILING(quantities!L:L),(_xlfn._TRO_TRAILING(quantities!D:D)=C104)*(_xlfn._TRO_TRAILING(quantities!E:E)=D104)))</f>
        <v>7410.59</v>
      </c>
      <c r="I104" s="167"/>
      <c r="J104" t="e">
        <f ca="1">SUMIFS(
INDIRECT("'[S2 Subcon IPC Log.xlsx]Subcon IPC Log'!"&amp;"$O:$O"),
INDIRECT("'[S2 Subcon IPC Log.xlsx]Subcon IPC Log'!"&amp;"$C:$C"),
"KLN-SPP2-"&amp;_xlfn.XLOOKUP(C104,log_contracts!B:B,log_contracts!C:C)&amp;"-"&amp;TEXT(C104,"000"),
INDIRECT("'[S2 Subcon IPC Log.xlsx]Subcon IPC Log'!"&amp;"$D:$D"),
D104)</f>
        <v>#REF!</v>
      </c>
      <c r="K104" s="167" t="e">
        <f ca="1"/>
        <v>#REF!</v>
      </c>
    </row>
    <row r="105" spans="1:11" hidden="1" x14ac:dyDescent="0.25">
      <c r="A105">
        <v>104</v>
      </c>
      <c r="B105" t="str">
        <v>085-005</v>
      </c>
      <c r="C105">
        <v>85</v>
      </c>
      <c r="D105">
        <v>5</v>
      </c>
      <c r="E105" s="123">
        <v>45931</v>
      </c>
      <c r="F105" s="123">
        <v>45961</v>
      </c>
      <c r="G105" t="str">
        <v>BABEK ALBANDOV</v>
      </c>
      <c r="H105" s="167" cm="1">
        <f t="array" aca="1" ref="H105" ca="1">SUM(_xlfn._xlws.FILTER(_xlfn._TRO_TRAILING(quantities!L:L),(_xlfn._TRO_TRAILING(quantities!D:D)=C105)*(_xlfn._TRO_TRAILING(quantities!E:E)=D105)))</f>
        <v>13214.328</v>
      </c>
      <c r="I105" s="167"/>
      <c r="J105" t="e">
        <f ca="1">SUMIFS(
INDIRECT("'[S2 Subcon IPC Log.xlsx]Subcon IPC Log'!"&amp;"$O:$O"),
INDIRECT("'[S2 Subcon IPC Log.xlsx]Subcon IPC Log'!"&amp;"$C:$C"),
"KLN-SPP2-"&amp;_xlfn.XLOOKUP(C105,log_contracts!B:B,log_contracts!C:C)&amp;"-"&amp;TEXT(C105,"000"),
INDIRECT("'[S2 Subcon IPC Log.xlsx]Subcon IPC Log'!"&amp;"$D:$D"),
D105)</f>
        <v>#REF!</v>
      </c>
      <c r="K105" s="167" t="e">
        <f ca="1"/>
        <v>#REF!</v>
      </c>
    </row>
    <row r="106" spans="1:11" hidden="1" x14ac:dyDescent="0.25">
      <c r="A106">
        <v>105</v>
      </c>
      <c r="B106" t="str">
        <v>091-004</v>
      </c>
      <c r="C106">
        <v>91</v>
      </c>
      <c r="D106">
        <v>4</v>
      </c>
      <c r="E106" s="123">
        <v>45931</v>
      </c>
      <c r="F106" s="123">
        <v>45961</v>
      </c>
      <c r="G106" t="str">
        <v>ELSAD QULIYEV</v>
      </c>
      <c r="H106" s="167" cm="1">
        <f t="array" aca="1" ref="H106" ca="1">SUM(_xlfn._xlws.FILTER(_xlfn._TRO_TRAILING(quantities!L:L),(_xlfn._TRO_TRAILING(quantities!D:D)=C106)*(_xlfn._TRO_TRAILING(quantities!E:E)=D106)))</f>
        <v>3500</v>
      </c>
      <c r="I106" s="167"/>
      <c r="J106" t="e">
        <f ca="1">SUMIFS(
INDIRECT("'[S2 Subcon IPC Log.xlsx]Subcon IPC Log'!"&amp;"$O:$O"),
INDIRECT("'[S2 Subcon IPC Log.xlsx]Subcon IPC Log'!"&amp;"$C:$C"),
"KLN-SPP2-"&amp;_xlfn.XLOOKUP(C106,log_contracts!B:B,log_contracts!C:C)&amp;"-"&amp;TEXT(C106,"000"),
INDIRECT("'[S2 Subcon IPC Log.xlsx]Subcon IPC Log'!"&amp;"$D:$D"),
D106)</f>
        <v>#REF!</v>
      </c>
      <c r="K106" s="167" t="e">
        <f ca="1"/>
        <v>#REF!</v>
      </c>
    </row>
    <row r="107" spans="1:11" hidden="1" x14ac:dyDescent="0.25">
      <c r="A107">
        <v>106</v>
      </c>
      <c r="B107" t="str">
        <v>098-004</v>
      </c>
      <c r="C107">
        <v>98</v>
      </c>
      <c r="D107">
        <v>4</v>
      </c>
      <c r="E107" s="123">
        <v>45931</v>
      </c>
      <c r="F107" s="123">
        <v>45961</v>
      </c>
      <c r="G107" t="str">
        <v>HACIAGA KERIMOV</v>
      </c>
      <c r="H107" s="167" cm="1">
        <f t="array" aca="1" ref="H107" ca="1">SUM(_xlfn._xlws.FILTER(_xlfn._TRO_TRAILING(quantities!L:L),(_xlfn._TRO_TRAILING(quantities!D:D)=C107)*(_xlfn._TRO_TRAILING(quantities!E:E)=D107)))</f>
        <v>3357.06</v>
      </c>
      <c r="I107" s="167"/>
      <c r="J107" t="e">
        <f ca="1">SUMIFS(
INDIRECT("'[S2 Subcon IPC Log.xlsx]Subcon IPC Log'!"&amp;"$O:$O"),
INDIRECT("'[S2 Subcon IPC Log.xlsx]Subcon IPC Log'!"&amp;"$C:$C"),
"KLN-SPP2-"&amp;_xlfn.XLOOKUP(C107,log_contracts!B:B,log_contracts!C:C)&amp;"-"&amp;TEXT(C107,"000"),
INDIRECT("'[S2 Subcon IPC Log.xlsx]Subcon IPC Log'!"&amp;"$D:$D"),
D107)</f>
        <v>#REF!</v>
      </c>
      <c r="K107" s="167" t="e">
        <f ca="1"/>
        <v>#REF!</v>
      </c>
    </row>
    <row r="108" spans="1:11" hidden="1" x14ac:dyDescent="0.25">
      <c r="A108">
        <v>107</v>
      </c>
      <c r="B108" t="str">
        <v>099-004</v>
      </c>
      <c r="C108">
        <v>99</v>
      </c>
      <c r="D108">
        <v>4</v>
      </c>
      <c r="E108" s="123">
        <v>45931</v>
      </c>
      <c r="F108" s="123">
        <v>45961</v>
      </c>
      <c r="G108" t="str">
        <v>YUSIF MAHARRAMOV</v>
      </c>
      <c r="H108" s="167" cm="1">
        <f t="array" aca="1" ref="H108" ca="1">SUM(_xlfn._xlws.FILTER(_xlfn._TRO_TRAILING(quantities!L:L),(_xlfn._TRO_TRAILING(quantities!D:D)=C108)*(_xlfn._TRO_TRAILING(quantities!E:E)=D108)))</f>
        <v>3875</v>
      </c>
      <c r="I108" s="167"/>
      <c r="J108" t="e">
        <f ca="1">SUMIFS(
INDIRECT("'[S2 Subcon IPC Log.xlsx]Subcon IPC Log'!"&amp;"$O:$O"),
INDIRECT("'[S2 Subcon IPC Log.xlsx]Subcon IPC Log'!"&amp;"$C:$C"),
"KLN-SPP2-"&amp;_xlfn.XLOOKUP(C108,log_contracts!B:B,log_contracts!C:C)&amp;"-"&amp;TEXT(C108,"000"),
INDIRECT("'[S2 Subcon IPC Log.xlsx]Subcon IPC Log'!"&amp;"$D:$D"),
D108)</f>
        <v>#REF!</v>
      </c>
      <c r="K108" s="167" t="e">
        <f ca="1"/>
        <v>#REF!</v>
      </c>
    </row>
    <row r="109" spans="1:11" hidden="1" x14ac:dyDescent="0.25">
      <c r="A109">
        <v>108</v>
      </c>
      <c r="B109" t="str">
        <v>100-004</v>
      </c>
      <c r="C109">
        <v>100</v>
      </c>
      <c r="D109">
        <v>4</v>
      </c>
      <c r="E109" s="123">
        <v>45931</v>
      </c>
      <c r="F109" s="123">
        <v>45961</v>
      </c>
      <c r="G109" t="str">
        <v>RUSLAN HUSEYINOV</v>
      </c>
      <c r="H109" s="167" cm="1">
        <f t="array" aca="1" ref="H109" ca="1">SUM(_xlfn._xlws.FILTER(_xlfn._TRO_TRAILING(quantities!L:L),(_xlfn._TRO_TRAILING(quantities!D:D)=C109)*(_xlfn._TRO_TRAILING(quantities!E:E)=D109)))</f>
        <v>5696.47</v>
      </c>
      <c r="I109" s="167"/>
      <c r="J109" t="e">
        <f ca="1">SUMIFS(
INDIRECT("'[S2 Subcon IPC Log.xlsx]Subcon IPC Log'!"&amp;"$O:$O"),
INDIRECT("'[S2 Subcon IPC Log.xlsx]Subcon IPC Log'!"&amp;"$C:$C"),
"KLN-SPP2-"&amp;_xlfn.XLOOKUP(C109,log_contracts!B:B,log_contracts!C:C)&amp;"-"&amp;TEXT(C109,"000"),
INDIRECT("'[S2 Subcon IPC Log.xlsx]Subcon IPC Log'!"&amp;"$D:$D"),
D109)</f>
        <v>#REF!</v>
      </c>
      <c r="K109" s="167" t="e">
        <f ca="1"/>
        <v>#REF!</v>
      </c>
    </row>
    <row r="110" spans="1:11" x14ac:dyDescent="0.25">
      <c r="A110">
        <v>109</v>
      </c>
      <c r="B110" t="str">
        <v>102-003</v>
      </c>
      <c r="C110">
        <v>102</v>
      </c>
      <c r="D110">
        <v>3</v>
      </c>
      <c r="E110" s="123">
        <v>45931</v>
      </c>
      <c r="F110" s="123">
        <v>45961</v>
      </c>
      <c r="G110" t="str">
        <v>KONUL HUSEYNOVA</v>
      </c>
      <c r="H110" s="167" cm="1">
        <f t="array" aca="1" ref="H110" ca="1">SUM(_xlfn._xlws.FILTER(_xlfn._TRO_TRAILING(quantities!L:L),(_xlfn._TRO_TRAILING(quantities!D:D)=C110)*(_xlfn._TRO_TRAILING(quantities!E:E)=D110)))</f>
        <v>12312.5</v>
      </c>
      <c r="I110" s="167"/>
      <c r="J110" t="e">
        <f ca="1">SUMIFS(
INDIRECT("'[S2 Subcon IPC Log.xlsx]Subcon IPC Log'!"&amp;"$O:$O"),
INDIRECT("'[S2 Subcon IPC Log.xlsx]Subcon IPC Log'!"&amp;"$C:$C"),
"KLN-SPP2-"&amp;_xlfn.XLOOKUP(C110,log_contracts!B:B,log_contracts!C:C)&amp;"-"&amp;TEXT(C110,"000"),
INDIRECT("'[S2 Subcon IPC Log.xlsx]Subcon IPC Log'!"&amp;"$D:$D"),
D110)</f>
        <v>#REF!</v>
      </c>
      <c r="K110" s="167" t="e">
        <f ca="1"/>
        <v>#REF!</v>
      </c>
    </row>
    <row r="111" spans="1:11" hidden="1" x14ac:dyDescent="0.25">
      <c r="A111">
        <v>110</v>
      </c>
      <c r="B111" t="str">
        <v>107-002</v>
      </c>
      <c r="C111">
        <v>107</v>
      </c>
      <c r="D111">
        <v>2</v>
      </c>
      <c r="E111" s="123">
        <v>45931</v>
      </c>
      <c r="F111" s="123">
        <v>45961</v>
      </c>
      <c r="G111" t="str">
        <v>QUALIFY MMC</v>
      </c>
      <c r="H111" s="167" cm="1">
        <f t="array" aca="1" ref="H111" ca="1">SUM(_xlfn._xlws.FILTER(_xlfn._TRO_TRAILING(quantities!L:L),(_xlfn._TRO_TRAILING(quantities!D:D)=C111)*(_xlfn._TRO_TRAILING(quantities!E:E)=D111)))</f>
        <v>13450</v>
      </c>
      <c r="I111" s="167"/>
      <c r="J111" t="e">
        <f ca="1">SUMIFS(
INDIRECT("'[S2 Subcon IPC Log.xlsx]Subcon IPC Log'!"&amp;"$O:$O"),
INDIRECT("'[S2 Subcon IPC Log.xlsx]Subcon IPC Log'!"&amp;"$C:$C"),
"KLN-SPP2-"&amp;_xlfn.XLOOKUP(C111,log_contracts!B:B,log_contracts!C:C)&amp;"-"&amp;TEXT(C111,"000"),
INDIRECT("'[S2 Subcon IPC Log.xlsx]Subcon IPC Log'!"&amp;"$D:$D"),
D111)</f>
        <v>#REF!</v>
      </c>
      <c r="K111" s="167" t="e">
        <f ca="1"/>
        <v>#REF!</v>
      </c>
    </row>
    <row r="112" spans="1:11" hidden="1" x14ac:dyDescent="0.25">
      <c r="A112">
        <v>111</v>
      </c>
      <c r="B112" t="str">
        <v>110-003</v>
      </c>
      <c r="C112">
        <v>110</v>
      </c>
      <c r="D112">
        <v>3</v>
      </c>
      <c r="E112" s="123">
        <v>45931</v>
      </c>
      <c r="F112" s="123">
        <v>45961</v>
      </c>
      <c r="G112" t="str">
        <v>MAMMAD QALANDARLI</v>
      </c>
      <c r="H112" s="167" cm="1">
        <f t="array" aca="1" ref="H112" ca="1">SUM(_xlfn._xlws.FILTER(_xlfn._TRO_TRAILING(quantities!L:L),(_xlfn._TRO_TRAILING(quantities!D:D)=C112)*(_xlfn._TRO_TRAILING(quantities!E:E)=D112)))</f>
        <v>6642.8571428571422</v>
      </c>
      <c r="I112" s="167"/>
      <c r="J112" t="e">
        <f ca="1">SUMIFS(
INDIRECT("'[S2 Subcon IPC Log.xlsx]Subcon IPC Log'!"&amp;"$O:$O"),
INDIRECT("'[S2 Subcon IPC Log.xlsx]Subcon IPC Log'!"&amp;"$C:$C"),
"KLN-SPP2-"&amp;_xlfn.XLOOKUP(C112,log_contracts!B:B,log_contracts!C:C)&amp;"-"&amp;TEXT(C112,"000"),
INDIRECT("'[S2 Subcon IPC Log.xlsx]Subcon IPC Log'!"&amp;"$D:$D"),
D112)</f>
        <v>#REF!</v>
      </c>
      <c r="K112" s="167" t="e">
        <f ca="1"/>
        <v>#REF!</v>
      </c>
    </row>
    <row r="113" spans="1:11" hidden="1" x14ac:dyDescent="0.25">
      <c r="A113">
        <v>112</v>
      </c>
      <c r="B113" t="str">
        <v>121-001</v>
      </c>
      <c r="C113">
        <v>121</v>
      </c>
      <c r="D113">
        <v>1</v>
      </c>
      <c r="E113" s="123">
        <v>45931</v>
      </c>
      <c r="F113" s="123">
        <v>45961</v>
      </c>
      <c r="G113" t="str">
        <v>TEYMUR ABBASOV</v>
      </c>
      <c r="H113" s="167" cm="1">
        <f t="array" aca="1" ref="H113" ca="1">SUM(_xlfn._xlws.FILTER(_xlfn._TRO_TRAILING(quantities!L:L),(_xlfn._TRO_TRAILING(quantities!D:D)=C113)*(_xlfn._TRO_TRAILING(quantities!E:E)=D113)))</f>
        <v>3702.8159999999998</v>
      </c>
      <c r="I113" s="167"/>
      <c r="J113" t="e">
        <f ca="1">SUMIFS(
INDIRECT("'[S2 Subcon IPC Log.xlsx]Subcon IPC Log'!"&amp;"$O:$O"),
INDIRECT("'[S2 Subcon IPC Log.xlsx]Subcon IPC Log'!"&amp;"$C:$C"),
"KLN-SPP2-"&amp;_xlfn.XLOOKUP(C113,log_contracts!B:B,log_contracts!C:C)&amp;"-"&amp;TEXT(C113,"000"),
INDIRECT("'[S2 Subcon IPC Log.xlsx]Subcon IPC Log'!"&amp;"$D:$D"),
D113)</f>
        <v>#REF!</v>
      </c>
      <c r="K113" s="167" t="e">
        <f ca="1"/>
        <v>#REF!</v>
      </c>
    </row>
    <row r="114" spans="1:11" hidden="1" x14ac:dyDescent="0.25">
      <c r="A114">
        <v>113</v>
      </c>
      <c r="B114" t="str">
        <v>011-011</v>
      </c>
      <c r="C114">
        <v>11</v>
      </c>
      <c r="D114">
        <v>11</v>
      </c>
      <c r="E114" s="123">
        <v>45931</v>
      </c>
      <c r="F114" s="123">
        <v>45961</v>
      </c>
      <c r="G114" t="str">
        <v>CASPIAN ENGINEERING SOLUTIONS MMC</v>
      </c>
      <c r="H114" s="167" cm="1">
        <f t="array" aca="1" ref="H114" ca="1">SUM(_xlfn._xlws.FILTER(_xlfn._TRO_TRAILING(quantities!L:L),(_xlfn._TRO_TRAILING(quantities!D:D)=C114)*(_xlfn._TRO_TRAILING(quantities!E:E)=D114)))</f>
        <v>8886.7272727272721</v>
      </c>
      <c r="I114" s="167"/>
      <c r="J114" t="e">
        <f ca="1">SUMIFS(
INDIRECT("'[S2 Subcon IPC Log.xlsx]Subcon IPC Log'!"&amp;"$O:$O"),
INDIRECT("'[S2 Subcon IPC Log.xlsx]Subcon IPC Log'!"&amp;"$C:$C"),
"KLN-SPP2-"&amp;_xlfn.XLOOKUP(C114,log_contracts!B:B,log_contracts!C:C)&amp;"-"&amp;TEXT(C114,"000"),
INDIRECT("'[S2 Subcon IPC Log.xlsx]Subcon IPC Log'!"&amp;"$D:$D"),
D114)</f>
        <v>#REF!</v>
      </c>
      <c r="K114" s="167" t="e">
        <f ca="1"/>
        <v>#REF!</v>
      </c>
    </row>
    <row r="115" spans="1:11" hidden="1" x14ac:dyDescent="0.25">
      <c r="A115">
        <v>114</v>
      </c>
      <c r="B115" t="str">
        <v>014-008</v>
      </c>
      <c r="C115">
        <v>14</v>
      </c>
      <c r="D115">
        <v>8</v>
      </c>
      <c r="E115" s="123">
        <v>45962</v>
      </c>
      <c r="F115" s="123">
        <v>45991</v>
      </c>
      <c r="G115" t="str">
        <v>HİLAL LTD</v>
      </c>
      <c r="H115" s="167" cm="1">
        <f t="array" aca="1" ref="H115" ca="1">SUM(_xlfn._xlws.FILTER(_xlfn._TRO_TRAILING(quantities!L:L),(_xlfn._TRO_TRAILING(quantities!D:D)=C115)*(_xlfn._TRO_TRAILING(quantities!E:E)=D115)))</f>
        <v>4693</v>
      </c>
      <c r="I115" s="167"/>
      <c r="J115" t="e">
        <f ca="1">SUMIFS(
INDIRECT("'[S2 Subcon IPC Log.xlsx]Subcon IPC Log'!"&amp;"$O:$O"),
INDIRECT("'[S2 Subcon IPC Log.xlsx]Subcon IPC Log'!"&amp;"$C:$C"),
"KLN-SPP2-"&amp;_xlfn.XLOOKUP(C115,log_contracts!B:B,log_contracts!C:C)&amp;"-"&amp;TEXT(C115,"000"),
INDIRECT("'[S2 Subcon IPC Log.xlsx]Subcon IPC Log'!"&amp;"$D:$D"),
D115)</f>
        <v>#REF!</v>
      </c>
      <c r="K115" s="167" t="e">
        <f ca="1"/>
        <v>#REF!</v>
      </c>
    </row>
    <row r="116" spans="1:11" hidden="1" x14ac:dyDescent="0.25">
      <c r="A116">
        <v>115</v>
      </c>
      <c r="B116" t="str">
        <v>030-011</v>
      </c>
      <c r="C116">
        <v>30</v>
      </c>
      <c r="D116">
        <v>11</v>
      </c>
      <c r="E116" s="123">
        <v>45962</v>
      </c>
      <c r="F116" s="123">
        <v>45991</v>
      </c>
      <c r="G116" t="str">
        <v>NAR TRANSPORT SERVICES MMC</v>
      </c>
      <c r="H116" s="167" cm="1">
        <f t="array" aca="1" ref="H116" ca="1">SUM(_xlfn._xlws.FILTER(_xlfn._TRO_TRAILING(quantities!L:L),(_xlfn._TRO_TRAILING(quantities!D:D)=C116)*(_xlfn._TRO_TRAILING(quantities!E:E)=D116)))</f>
        <v>5500</v>
      </c>
      <c r="I116" s="167"/>
      <c r="J116" t="e">
        <f ca="1">SUMIFS(
INDIRECT("'[S2 Subcon IPC Log.xlsx]Subcon IPC Log'!"&amp;"$O:$O"),
INDIRECT("'[S2 Subcon IPC Log.xlsx]Subcon IPC Log'!"&amp;"$C:$C"),
"KLN-SPP2-"&amp;_xlfn.XLOOKUP(C116,log_contracts!B:B,log_contracts!C:C)&amp;"-"&amp;TEXT(C116,"000"),
INDIRECT("'[S2 Subcon IPC Log.xlsx]Subcon IPC Log'!"&amp;"$D:$D"),
D116)</f>
        <v>#REF!</v>
      </c>
      <c r="K116" s="167" t="e">
        <f ca="1"/>
        <v>#REF!</v>
      </c>
    </row>
    <row r="117" spans="1:11" hidden="1" x14ac:dyDescent="0.25">
      <c r="A117">
        <v>116</v>
      </c>
      <c r="B117" t="str">
        <v>031-010</v>
      </c>
      <c r="C117">
        <v>31</v>
      </c>
      <c r="D117">
        <v>10</v>
      </c>
      <c r="E117" s="123">
        <v>45962</v>
      </c>
      <c r="F117" s="123">
        <v>45991</v>
      </c>
      <c r="G117" t="str">
        <v>NAR TRANSPORT SERVICES MMC</v>
      </c>
      <c r="H117" s="167" cm="1">
        <f t="array" aca="1" ref="H117" ca="1">SUM(_xlfn._xlws.FILTER(_xlfn._TRO_TRAILING(quantities!L:L),(_xlfn._TRO_TRAILING(quantities!D:D)=C117)*(_xlfn._TRO_TRAILING(quantities!E:E)=D117)))</f>
        <v>73498.058533699994</v>
      </c>
      <c r="I117" s="167"/>
      <c r="J117" t="e">
        <f ca="1">SUMIFS(
INDIRECT("'[S2 Subcon IPC Log.xlsx]Subcon IPC Log'!"&amp;"$O:$O"),
INDIRECT("'[S2 Subcon IPC Log.xlsx]Subcon IPC Log'!"&amp;"$C:$C"),
"KLN-SPP2-"&amp;_xlfn.XLOOKUP(C117,log_contracts!B:B,log_contracts!C:C)&amp;"-"&amp;TEXT(C117,"000"),
INDIRECT("'[S2 Subcon IPC Log.xlsx]Subcon IPC Log'!"&amp;"$D:$D"),
D117)</f>
        <v>#REF!</v>
      </c>
      <c r="K117" s="167" t="e">
        <f ca="1"/>
        <v>#REF!</v>
      </c>
    </row>
    <row r="118" spans="1:11" hidden="1" x14ac:dyDescent="0.25">
      <c r="A118">
        <v>117</v>
      </c>
      <c r="B118" t="str">
        <v>033-015</v>
      </c>
      <c r="C118">
        <v>33</v>
      </c>
      <c r="D118">
        <v>15</v>
      </c>
      <c r="E118" s="123">
        <v>45962</v>
      </c>
      <c r="F118" s="123">
        <v>45991</v>
      </c>
      <c r="G118" t="str">
        <v>AKKOL HAZIR YEMEK SAN. TIC. AS</v>
      </c>
      <c r="H118" s="167" cm="1">
        <f t="array" aca="1" ref="H118" ca="1">SUM(_xlfn._xlws.FILTER(_xlfn._TRO_TRAILING(quantities!L:L),(_xlfn._TRO_TRAILING(quantities!D:D)=C118)*(_xlfn._TRO_TRAILING(quantities!E:E)=D118)))</f>
        <v>597983.80000000005</v>
      </c>
      <c r="I118" s="167"/>
      <c r="J118" t="e">
        <f ca="1">SUMIFS(
INDIRECT("'[S2 Subcon IPC Log.xlsx]Subcon IPC Log'!"&amp;"$O:$O"),
INDIRECT("'[S2 Subcon IPC Log.xlsx]Subcon IPC Log'!"&amp;"$C:$C"),
"KLN-SPP2-"&amp;_xlfn.XLOOKUP(C118,log_contracts!B:B,log_contracts!C:C)&amp;"-"&amp;TEXT(C118,"000"),
INDIRECT("'[S2 Subcon IPC Log.xlsx]Subcon IPC Log'!"&amp;"$D:$D"),
D118)</f>
        <v>#REF!</v>
      </c>
      <c r="K118" s="167" t="e">
        <f ca="1"/>
        <v>#REF!</v>
      </c>
    </row>
    <row r="119" spans="1:11" hidden="1" x14ac:dyDescent="0.25">
      <c r="A119">
        <v>118</v>
      </c>
      <c r="B119" t="str">
        <v>046-007</v>
      </c>
      <c r="C119">
        <v>46</v>
      </c>
      <c r="D119">
        <v>7</v>
      </c>
      <c r="E119" s="123">
        <v>45962</v>
      </c>
      <c r="F119" s="123">
        <v>45991</v>
      </c>
      <c r="G119" t="str">
        <v>HARDCORE CE MMC</v>
      </c>
      <c r="H119" s="167" cm="1">
        <f t="array" aca="1" ref="H119" ca="1">SUM(_xlfn._xlws.FILTER(_xlfn._TRO_TRAILING(quantities!L:L),(_xlfn._TRO_TRAILING(quantities!D:D)=C119)*(_xlfn._TRO_TRAILING(quantities!E:E)=D119)))</f>
        <v>14482.142857142857</v>
      </c>
      <c r="I119" s="167"/>
      <c r="J119" t="e">
        <f ca="1">SUMIFS(
INDIRECT("'[S2 Subcon IPC Log.xlsx]Subcon IPC Log'!"&amp;"$O:$O"),
INDIRECT("'[S2 Subcon IPC Log.xlsx]Subcon IPC Log'!"&amp;"$C:$C"),
"KLN-SPP2-"&amp;_xlfn.XLOOKUP(C119,log_contracts!B:B,log_contracts!C:C)&amp;"-"&amp;TEXT(C119,"000"),
INDIRECT("'[S2 Subcon IPC Log.xlsx]Subcon IPC Log'!"&amp;"$D:$D"),
D119)</f>
        <v>#REF!</v>
      </c>
      <c r="K119" s="167" t="e">
        <f ca="1"/>
        <v>#REF!</v>
      </c>
    </row>
    <row r="120" spans="1:11" hidden="1" x14ac:dyDescent="0.25">
      <c r="A120">
        <v>119</v>
      </c>
      <c r="B120" t="str">
        <v>050-006</v>
      </c>
      <c r="C120">
        <v>50</v>
      </c>
      <c r="D120">
        <v>6</v>
      </c>
      <c r="E120" s="123">
        <v>45962</v>
      </c>
      <c r="F120" s="123">
        <v>45991</v>
      </c>
      <c r="G120" t="str">
        <v>LOFT CONSTRUCTION</v>
      </c>
      <c r="H120" s="167" cm="1">
        <f t="array" aca="1" ref="H120" ca="1">SUM(_xlfn._xlws.FILTER(_xlfn._TRO_TRAILING(quantities!L:L),(_xlfn._TRO_TRAILING(quantities!D:D)=C120)*(_xlfn._TRO_TRAILING(quantities!E:E)=D120)))</f>
        <v>10000.001200000001</v>
      </c>
      <c r="I120" s="167"/>
      <c r="J120" t="e">
        <f ca="1">SUMIFS(
INDIRECT("'[S2 Subcon IPC Log.xlsx]Subcon IPC Log'!"&amp;"$O:$O"),
INDIRECT("'[S2 Subcon IPC Log.xlsx]Subcon IPC Log'!"&amp;"$C:$C"),
"KLN-SPP2-"&amp;_xlfn.XLOOKUP(C120,log_contracts!B:B,log_contracts!C:C)&amp;"-"&amp;TEXT(C120,"000"),
INDIRECT("'[S2 Subcon IPC Log.xlsx]Subcon IPC Log'!"&amp;"$D:$D"),
D120)</f>
        <v>#REF!</v>
      </c>
      <c r="K120" s="167" t="e">
        <f ca="1"/>
        <v>#REF!</v>
      </c>
    </row>
    <row r="121" spans="1:11" hidden="1" x14ac:dyDescent="0.25">
      <c r="A121">
        <v>120</v>
      </c>
      <c r="B121" t="str">
        <v>051-004</v>
      </c>
      <c r="C121">
        <v>51</v>
      </c>
      <c r="D121">
        <v>4</v>
      </c>
      <c r="E121" s="123">
        <v>45962</v>
      </c>
      <c r="F121" s="123">
        <v>45991</v>
      </c>
      <c r="G121" t="str">
        <v>INTERMAK GROUP MMC</v>
      </c>
      <c r="H121" s="167" cm="1">
        <f t="array" aca="1" ref="H121" ca="1">SUM(_xlfn._xlws.FILTER(_xlfn._TRO_TRAILING(quantities!L:L),(_xlfn._TRO_TRAILING(quantities!D:D)=C121)*(_xlfn._TRO_TRAILING(quantities!E:E)=D121)))</f>
        <v>8060.9269999999997</v>
      </c>
      <c r="I121" s="167"/>
      <c r="J121" t="e">
        <f ca="1">SUMIFS(
INDIRECT("'[S2 Subcon IPC Log.xlsx]Subcon IPC Log'!"&amp;"$O:$O"),
INDIRECT("'[S2 Subcon IPC Log.xlsx]Subcon IPC Log'!"&amp;"$C:$C"),
"KLN-SPP2-"&amp;_xlfn.XLOOKUP(C121,log_contracts!B:B,log_contracts!C:C)&amp;"-"&amp;TEXT(C121,"000"),
INDIRECT("'[S2 Subcon IPC Log.xlsx]Subcon IPC Log'!"&amp;"$D:$D"),
D121)</f>
        <v>#REF!</v>
      </c>
      <c r="K121" s="167" t="e">
        <f ca="1"/>
        <v>#REF!</v>
      </c>
    </row>
    <row r="122" spans="1:11" hidden="1" x14ac:dyDescent="0.25">
      <c r="A122">
        <v>121</v>
      </c>
      <c r="B122" t="str">
        <v>065-007</v>
      </c>
      <c r="C122">
        <v>65</v>
      </c>
      <c r="D122">
        <v>7</v>
      </c>
      <c r="E122" s="123">
        <v>45962</v>
      </c>
      <c r="F122" s="123">
        <v>45991</v>
      </c>
      <c r="G122" t="str">
        <v>ETIBAR MAMMADOV</v>
      </c>
      <c r="H122" s="167" cm="1">
        <f t="array" aca="1" ref="H122" ca="1">SUM(_xlfn._xlws.FILTER(_xlfn._TRO_TRAILING(quantities!L:L),(_xlfn._TRO_TRAILING(quantities!D:D)=C122)*(_xlfn._TRO_TRAILING(quantities!E:E)=D122)))</f>
        <v>9803.4514285714286</v>
      </c>
      <c r="I122" s="167"/>
      <c r="J122" t="e">
        <f ca="1">SUMIFS(
INDIRECT("'[S2 Subcon IPC Log.xlsx]Subcon IPC Log'!"&amp;"$O:$O"),
INDIRECT("'[S2 Subcon IPC Log.xlsx]Subcon IPC Log'!"&amp;"$C:$C"),
"KLN-SPP2-"&amp;_xlfn.XLOOKUP(C122,log_contracts!B:B,log_contracts!C:C)&amp;"-"&amp;TEXT(C122,"000"),
INDIRECT("'[S2 Subcon IPC Log.xlsx]Subcon IPC Log'!"&amp;"$D:$D"),
D122)</f>
        <v>#REF!</v>
      </c>
      <c r="K122" s="167" t="e">
        <f ca="1"/>
        <v>#REF!</v>
      </c>
    </row>
    <row r="123" spans="1:11" hidden="1" x14ac:dyDescent="0.25">
      <c r="A123">
        <v>122</v>
      </c>
      <c r="B123" t="str">
        <v>085-006</v>
      </c>
      <c r="C123">
        <v>85</v>
      </c>
      <c r="D123">
        <v>6</v>
      </c>
      <c r="E123" s="123">
        <v>45962</v>
      </c>
      <c r="F123" s="123">
        <v>45991</v>
      </c>
      <c r="G123" t="str">
        <v>BABEK ALBANDOV</v>
      </c>
      <c r="H123" s="167" cm="1">
        <f t="array" aca="1" ref="H123" ca="1">SUM(_xlfn._xlws.FILTER(_xlfn._TRO_TRAILING(quantities!L:L),(_xlfn._TRO_TRAILING(quantities!D:D)=C123)*(_xlfn._TRO_TRAILING(quantities!E:E)=D123)))</f>
        <v>15267.905999999999</v>
      </c>
      <c r="I123" s="167"/>
      <c r="J123" t="e">
        <f ca="1">SUMIFS(
INDIRECT("'[S2 Subcon IPC Log.xlsx]Subcon IPC Log'!"&amp;"$O:$O"),
INDIRECT("'[S2 Subcon IPC Log.xlsx]Subcon IPC Log'!"&amp;"$C:$C"),
"KLN-SPP2-"&amp;_xlfn.XLOOKUP(C123,log_contracts!B:B,log_contracts!C:C)&amp;"-"&amp;TEXT(C123,"000"),
INDIRECT("'[S2 Subcon IPC Log.xlsx]Subcon IPC Log'!"&amp;"$D:$D"),
D123)</f>
        <v>#REF!</v>
      </c>
      <c r="K123" s="167" t="e">
        <f ca="1"/>
        <v>#REF!</v>
      </c>
    </row>
    <row r="124" spans="1:11" hidden="1" x14ac:dyDescent="0.25">
      <c r="A124">
        <v>123</v>
      </c>
      <c r="B124" t="str">
        <v>091-005</v>
      </c>
      <c r="C124">
        <v>91</v>
      </c>
      <c r="D124">
        <v>5</v>
      </c>
      <c r="E124" s="123">
        <v>45962</v>
      </c>
      <c r="F124" s="123">
        <v>45991</v>
      </c>
      <c r="G124" t="str">
        <v>ELSAD QULIYEV</v>
      </c>
      <c r="H124" s="167" cm="1">
        <f t="array" aca="1" ref="H124" ca="1">SUM(_xlfn._xlws.FILTER(_xlfn._TRO_TRAILING(quantities!L:L),(_xlfn._TRO_TRAILING(quantities!D:D)=C124)*(_xlfn._TRO_TRAILING(quantities!E:E)=D124)))</f>
        <v>3500</v>
      </c>
      <c r="I124" s="167"/>
      <c r="J124" t="e">
        <f ca="1">SUMIFS(
INDIRECT("'[S2 Subcon IPC Log.xlsx]Subcon IPC Log'!"&amp;"$O:$O"),
INDIRECT("'[S2 Subcon IPC Log.xlsx]Subcon IPC Log'!"&amp;"$C:$C"),
"KLN-SPP2-"&amp;_xlfn.XLOOKUP(C124,log_contracts!B:B,log_contracts!C:C)&amp;"-"&amp;TEXT(C124,"000"),
INDIRECT("'[S2 Subcon IPC Log.xlsx]Subcon IPC Log'!"&amp;"$D:$D"),
D124)</f>
        <v>#REF!</v>
      </c>
      <c r="K124" s="167" t="e">
        <f ca="1"/>
        <v>#REF!</v>
      </c>
    </row>
    <row r="125" spans="1:11" hidden="1" x14ac:dyDescent="0.25">
      <c r="A125">
        <v>124</v>
      </c>
      <c r="B125" t="str">
        <v>098-005</v>
      </c>
      <c r="C125">
        <v>98</v>
      </c>
      <c r="D125">
        <v>5</v>
      </c>
      <c r="E125" s="123">
        <v>45962</v>
      </c>
      <c r="F125" s="123">
        <v>45991</v>
      </c>
      <c r="G125" t="str">
        <v>HACIAGA KERIMOV</v>
      </c>
      <c r="H125" s="167" cm="1">
        <f t="array" aca="1" ref="H125" ca="1">SUM(_xlfn._xlws.FILTER(_xlfn._TRO_TRAILING(quantities!L:L),(_xlfn._TRO_TRAILING(quantities!D:D)=C125)*(_xlfn._TRO_TRAILING(quantities!E:E)=D125)))</f>
        <v>2978.4920000000002</v>
      </c>
      <c r="I125" s="167"/>
      <c r="J125" t="e">
        <f ca="1">SUMIFS(
INDIRECT("'[S2 Subcon IPC Log.xlsx]Subcon IPC Log'!"&amp;"$O:$O"),
INDIRECT("'[S2 Subcon IPC Log.xlsx]Subcon IPC Log'!"&amp;"$C:$C"),
"KLN-SPP2-"&amp;_xlfn.XLOOKUP(C125,log_contracts!B:B,log_contracts!C:C)&amp;"-"&amp;TEXT(C125,"000"),
INDIRECT("'[S2 Subcon IPC Log.xlsx]Subcon IPC Log'!"&amp;"$D:$D"),
D125)</f>
        <v>#REF!</v>
      </c>
      <c r="K125" s="167" t="e">
        <f ca="1"/>
        <v>#REF!</v>
      </c>
    </row>
    <row r="126" spans="1:11" hidden="1" x14ac:dyDescent="0.25">
      <c r="A126">
        <v>125</v>
      </c>
      <c r="B126" t="str">
        <v>100-005</v>
      </c>
      <c r="C126">
        <v>100</v>
      </c>
      <c r="D126">
        <v>5</v>
      </c>
      <c r="E126" s="123">
        <v>45962</v>
      </c>
      <c r="F126" s="123">
        <v>45991</v>
      </c>
      <c r="G126" t="str">
        <v>RUSLAN HUSEYINOV</v>
      </c>
      <c r="H126" s="167" cm="1">
        <f t="array" aca="1" ref="H126" ca="1">SUM(_xlfn._xlws.FILTER(_xlfn._TRO_TRAILING(quantities!L:L),(_xlfn._TRO_TRAILING(quantities!D:D)=C126)*(_xlfn._TRO_TRAILING(quantities!E:E)=D126)))</f>
        <v>5500.04</v>
      </c>
      <c r="I126" s="167"/>
      <c r="J126" t="e">
        <f ca="1">SUMIFS(
INDIRECT("'[S2 Subcon IPC Log.xlsx]Subcon IPC Log'!"&amp;"$O:$O"),
INDIRECT("'[S2 Subcon IPC Log.xlsx]Subcon IPC Log'!"&amp;"$C:$C"),
"KLN-SPP2-"&amp;_xlfn.XLOOKUP(C126,log_contracts!B:B,log_contracts!C:C)&amp;"-"&amp;TEXT(C126,"000"),
INDIRECT("'[S2 Subcon IPC Log.xlsx]Subcon IPC Log'!"&amp;"$D:$D"),
D126)</f>
        <v>#REF!</v>
      </c>
      <c r="K126" s="167" t="e">
        <f ca="1"/>
        <v>#REF!</v>
      </c>
    </row>
    <row r="127" spans="1:11" x14ac:dyDescent="0.25">
      <c r="A127">
        <v>126</v>
      </c>
      <c r="B127" t="str">
        <v>102-004</v>
      </c>
      <c r="C127">
        <v>102</v>
      </c>
      <c r="D127">
        <v>4</v>
      </c>
      <c r="E127" s="123">
        <v>45962</v>
      </c>
      <c r="F127" s="123">
        <v>45991</v>
      </c>
      <c r="G127" t="str">
        <v>KONUL HUSEYNOVA</v>
      </c>
      <c r="H127" s="167" cm="1">
        <f t="array" aca="1" ref="H127" ca="1">SUM(_xlfn._xlws.FILTER(_xlfn._TRO_TRAILING(quantities!L:L),(_xlfn._TRO_TRAILING(quantities!D:D)=C127)*(_xlfn._TRO_TRAILING(quantities!E:E)=D127)))</f>
        <v>13100</v>
      </c>
      <c r="I127" s="167"/>
      <c r="J127" t="e">
        <f ca="1">SUMIFS(
INDIRECT("'[S2 Subcon IPC Log.xlsx]Subcon IPC Log'!"&amp;"$O:$O"),
INDIRECT("'[S2 Subcon IPC Log.xlsx]Subcon IPC Log'!"&amp;"$C:$C"),
"KLN-SPP2-"&amp;_xlfn.XLOOKUP(C127,log_contracts!B:B,log_contracts!C:C)&amp;"-"&amp;TEXT(C127,"000"),
INDIRECT("'[S2 Subcon IPC Log.xlsx]Subcon IPC Log'!"&amp;"$D:$D"),
D127)</f>
        <v>#REF!</v>
      </c>
      <c r="K127" s="167" t="e">
        <f ca="1"/>
        <v>#REF!</v>
      </c>
    </row>
    <row r="128" spans="1:11" hidden="1" x14ac:dyDescent="0.25">
      <c r="A128">
        <v>127</v>
      </c>
      <c r="B128" t="str">
        <v>110-004</v>
      </c>
      <c r="C128">
        <v>110</v>
      </c>
      <c r="D128">
        <v>4</v>
      </c>
      <c r="E128" s="123">
        <v>45962</v>
      </c>
      <c r="F128" s="123">
        <v>45991</v>
      </c>
      <c r="G128" t="str">
        <v>MAMMAD QALANDARLI</v>
      </c>
      <c r="H128" s="167" cm="1">
        <f t="array" aca="1" ref="H128" ca="1">SUM(_xlfn._xlws.FILTER(_xlfn._TRO_TRAILING(quantities!L:L),(_xlfn._TRO_TRAILING(quantities!D:D)=C128)*(_xlfn._TRO_TRAILING(quantities!E:E)=D128)))</f>
        <v>6421.4285714285706</v>
      </c>
      <c r="I128" s="167"/>
      <c r="J128" t="e">
        <f ca="1">SUMIFS(
INDIRECT("'[S2 Subcon IPC Log.xlsx]Subcon IPC Log'!"&amp;"$O:$O"),
INDIRECT("'[S2 Subcon IPC Log.xlsx]Subcon IPC Log'!"&amp;"$C:$C"),
"KLN-SPP2-"&amp;_xlfn.XLOOKUP(C128,log_contracts!B:B,log_contracts!C:C)&amp;"-"&amp;TEXT(C128,"000"),
INDIRECT("'[S2 Subcon IPC Log.xlsx]Subcon IPC Log'!"&amp;"$D:$D"),
D128)</f>
        <v>#REF!</v>
      </c>
      <c r="K128" s="167" t="e">
        <f ca="1"/>
        <v>#REF!</v>
      </c>
    </row>
    <row r="129" spans="1:11" hidden="1" x14ac:dyDescent="0.25">
      <c r="A129">
        <v>128</v>
      </c>
      <c r="B129" t="str">
        <v>121-002</v>
      </c>
      <c r="C129">
        <v>121</v>
      </c>
      <c r="D129">
        <v>2</v>
      </c>
      <c r="E129" s="123">
        <v>45962</v>
      </c>
      <c r="F129" s="123">
        <v>45991</v>
      </c>
      <c r="G129" t="str">
        <v>TEYMUR ABBASOV</v>
      </c>
      <c r="H129" s="167" cm="1">
        <f t="array" aca="1" ref="H129" ca="1">SUM(_xlfn._xlws.FILTER(_xlfn._TRO_TRAILING(quantities!L:L),(_xlfn._TRO_TRAILING(quantities!D:D)=C129)*(_xlfn._TRO_TRAILING(quantities!E:E)=D129)))</f>
        <v>3831.3859999999995</v>
      </c>
      <c r="I129" s="167"/>
      <c r="J129" t="e">
        <f ca="1">SUMIFS(
INDIRECT("'[S2 Subcon IPC Log.xlsx]Subcon IPC Log'!"&amp;"$O:$O"),
INDIRECT("'[S2 Subcon IPC Log.xlsx]Subcon IPC Log'!"&amp;"$C:$C"),
"KLN-SPP2-"&amp;_xlfn.XLOOKUP(C129,log_contracts!B:B,log_contracts!C:C)&amp;"-"&amp;TEXT(C129,"000"),
INDIRECT("'[S2 Subcon IPC Log.xlsx]Subcon IPC Log'!"&amp;"$D:$D"),
D129)</f>
        <v>#REF!</v>
      </c>
      <c r="K129" s="167" t="e">
        <f ca="1"/>
        <v>#REF!</v>
      </c>
    </row>
    <row r="130" spans="1:11" hidden="1" x14ac:dyDescent="0.25">
      <c r="A130">
        <v>129</v>
      </c>
      <c r="B130" t="str">
        <v>141-001</v>
      </c>
      <c r="C130">
        <v>141</v>
      </c>
      <c r="D130">
        <v>1</v>
      </c>
      <c r="E130" s="123">
        <v>45601</v>
      </c>
      <c r="F130" s="123">
        <v>45626</v>
      </c>
      <c r="G130" t="str">
        <v>MIRELEM CABBROV</v>
      </c>
      <c r="H130" s="167" cm="1">
        <f t="array" aca="1" ref="H130" ca="1">SUM(_xlfn._xlws.FILTER(_xlfn._TRO_TRAILING(quantities!L:L),(_xlfn._TRO_TRAILING(quantities!D:D)=C130)*(_xlfn._TRO_TRAILING(quantities!E:E)=D130)))</f>
        <v>5657.1428571428569</v>
      </c>
      <c r="I130" s="167"/>
      <c r="J130" t="e">
        <f ca="1">SUMIFS(
INDIRECT("'[S2 Subcon IPC Log.xlsx]Subcon IPC Log'!"&amp;"$O:$O"),
INDIRECT("'[S2 Subcon IPC Log.xlsx]Subcon IPC Log'!"&amp;"$C:$C"),
"KLN-SPP2-"&amp;_xlfn.XLOOKUP(C130,log_contracts!B:B,log_contracts!C:C)&amp;"-"&amp;TEXT(C130,"000"),
INDIRECT("'[S2 Subcon IPC Log.xlsx]Subcon IPC Log'!"&amp;"$D:$D"),
D130)</f>
        <v>#REF!</v>
      </c>
      <c r="K130" s="167" t="e">
        <f ca="1"/>
        <v>#REF!</v>
      </c>
    </row>
    <row r="131" spans="1:11" hidden="1" x14ac:dyDescent="0.25">
      <c r="A131">
        <v>130</v>
      </c>
      <c r="B131" t="str">
        <v>150-001</v>
      </c>
      <c r="C131">
        <v>150</v>
      </c>
      <c r="D131">
        <v>1</v>
      </c>
      <c r="E131" s="123">
        <v>45989</v>
      </c>
      <c r="F131" s="123">
        <v>45991</v>
      </c>
      <c r="G131" t="str">
        <v>AS RT MMC</v>
      </c>
      <c r="H131" s="167" cm="1">
        <f t="array" aca="1" ref="H131" ca="1">SUM(_xlfn._xlws.FILTER(_xlfn._TRO_TRAILING(quantities!L:L),(_xlfn._TRO_TRAILING(quantities!D:D)=C131)*(_xlfn._TRO_TRAILING(quantities!E:E)=D131)))</f>
        <v>2200</v>
      </c>
      <c r="I131" s="167"/>
      <c r="J131" t="e">
        <f ca="1">SUMIFS(
INDIRECT("'[S2 Subcon IPC Log.xlsx]Subcon IPC Log'!"&amp;"$O:$O"),
INDIRECT("'[S2 Subcon IPC Log.xlsx]Subcon IPC Log'!"&amp;"$C:$C"),
"KLN-SPP2-"&amp;_xlfn.XLOOKUP(C131,log_contracts!B:B,log_contracts!C:C)&amp;"-"&amp;TEXT(C131,"000"),
INDIRECT("'[S2 Subcon IPC Log.xlsx]Subcon IPC Log'!"&amp;"$D:$D"),
D131)</f>
        <v>#REF!</v>
      </c>
      <c r="K131" s="167" t="e">
        <f ca="1"/>
        <v>#REF!</v>
      </c>
    </row>
    <row r="132" spans="1:11" hidden="1" x14ac:dyDescent="0.25">
      <c r="A132">
        <v>131</v>
      </c>
      <c r="B132" t="str">
        <v>011-012</v>
      </c>
      <c r="C132">
        <v>11</v>
      </c>
      <c r="D132">
        <v>12</v>
      </c>
      <c r="E132" s="123">
        <v>45992</v>
      </c>
      <c r="F132" s="123">
        <v>46022</v>
      </c>
      <c r="G132" t="str">
        <v>CASPIAN ENGINEERING SOLUTIONS MMC</v>
      </c>
      <c r="H132" s="167" cm="1">
        <f t="array" aca="1" ref="H132" ca="1">SUM(_xlfn._xlws.FILTER(_xlfn._TRO_TRAILING(quantities!L:L),(_xlfn._TRO_TRAILING(quantities!D:D)=C132)*(_xlfn._TRO_TRAILING(quantities!E:E)=D132)))</f>
        <v>8200</v>
      </c>
      <c r="I132" s="167"/>
      <c r="J132" t="e">
        <f ca="1">SUMIFS(
INDIRECT("'[S2 Subcon IPC Log.xlsx]Subcon IPC Log'!"&amp;"$O:$O"),
INDIRECT("'[S2 Subcon IPC Log.xlsx]Subcon IPC Log'!"&amp;"$C:$C"),
"KLN-SPP2-"&amp;_xlfn.XLOOKUP(C132,log_contracts!B:B,log_contracts!C:C)&amp;"-"&amp;TEXT(C132,"000"),
INDIRECT("'[S2 Subcon IPC Log.xlsx]Subcon IPC Log'!"&amp;"$D:$D"),
D132)</f>
        <v>#REF!</v>
      </c>
      <c r="K132" s="167" t="e">
        <f ca="1"/>
        <v>#REF!</v>
      </c>
    </row>
    <row r="133" spans="1:11" hidden="1" x14ac:dyDescent="0.25">
      <c r="A133">
        <v>132</v>
      </c>
      <c r="B133" t="str">
        <v>014-009</v>
      </c>
      <c r="C133">
        <v>14</v>
      </c>
      <c r="D133">
        <v>9</v>
      </c>
      <c r="E133" s="123">
        <v>45992</v>
      </c>
      <c r="F133" s="123">
        <v>46022</v>
      </c>
      <c r="G133" t="str">
        <v>HİLAL LTD</v>
      </c>
      <c r="H133" s="167" cm="1">
        <f t="array" aca="1" ref="H133" ca="1">SUM(_xlfn._xlws.FILTER(_xlfn._TRO_TRAILING(quantities!L:L),(_xlfn._TRO_TRAILING(quantities!D:D)=C133)*(_xlfn._TRO_TRAILING(quantities!E:E)=D133)))</f>
        <v>4000</v>
      </c>
      <c r="I133" s="167"/>
      <c r="J133" t="e">
        <f ca="1">SUMIFS(
INDIRECT("'[S2 Subcon IPC Log.xlsx]Subcon IPC Log'!"&amp;"$O:$O"),
INDIRECT("'[S2 Subcon IPC Log.xlsx]Subcon IPC Log'!"&amp;"$C:$C"),
"KLN-SPP2-"&amp;_xlfn.XLOOKUP(C133,log_contracts!B:B,log_contracts!C:C)&amp;"-"&amp;TEXT(C133,"000"),
INDIRECT("'[S2 Subcon IPC Log.xlsx]Subcon IPC Log'!"&amp;"$D:$D"),
D133)</f>
        <v>#REF!</v>
      </c>
      <c r="K133" s="167" t="e">
        <f ca="1"/>
        <v>#REF!</v>
      </c>
    </row>
    <row r="134" spans="1:11" hidden="1" x14ac:dyDescent="0.25">
      <c r="A134">
        <v>133</v>
      </c>
      <c r="B134" t="str">
        <v>030-012</v>
      </c>
      <c r="C134">
        <v>30</v>
      </c>
      <c r="D134">
        <v>12</v>
      </c>
      <c r="E134" s="123">
        <v>45992</v>
      </c>
      <c r="F134" s="123">
        <v>46022</v>
      </c>
      <c r="G134" t="str">
        <v>NAR TRANSPORT SERVICES MMC</v>
      </c>
      <c r="H134" s="167" cm="1">
        <f t="array" aca="1" ref="H134" ca="1">SUM(_xlfn._xlws.FILTER(_xlfn._TRO_TRAILING(quantities!L:L),(_xlfn._TRO_TRAILING(quantities!D:D)=C134)*(_xlfn._TRO_TRAILING(quantities!E:E)=D134)))</f>
        <v>5500</v>
      </c>
      <c r="I134" s="167"/>
      <c r="J134" t="e">
        <f ca="1">SUMIFS(
INDIRECT("'[S2 Subcon IPC Log.xlsx]Subcon IPC Log'!"&amp;"$O:$O"),
INDIRECT("'[S2 Subcon IPC Log.xlsx]Subcon IPC Log'!"&amp;"$C:$C"),
"KLN-SPP2-"&amp;_xlfn.XLOOKUP(C134,log_contracts!B:B,log_contracts!C:C)&amp;"-"&amp;TEXT(C134,"000"),
INDIRECT("'[S2 Subcon IPC Log.xlsx]Subcon IPC Log'!"&amp;"$D:$D"),
D134)</f>
        <v>#REF!</v>
      </c>
      <c r="K134" s="167" t="e">
        <f ca="1"/>
        <v>#REF!</v>
      </c>
    </row>
    <row r="135" spans="1:11" hidden="1" x14ac:dyDescent="0.25">
      <c r="A135">
        <v>134</v>
      </c>
      <c r="B135" t="str">
        <v>033-016</v>
      </c>
      <c r="C135">
        <v>33</v>
      </c>
      <c r="D135">
        <v>16</v>
      </c>
      <c r="E135" s="123">
        <v>45992</v>
      </c>
      <c r="F135" s="123">
        <v>46022</v>
      </c>
      <c r="G135" t="str">
        <v>AKKOL HAZIR YEMEK SAN. TIC. AS</v>
      </c>
      <c r="H135" s="167" cm="1">
        <f t="array" aca="1" ref="H135" ca="1">SUM(_xlfn._xlws.FILTER(_xlfn._TRO_TRAILING(quantities!L:L),(_xlfn._TRO_TRAILING(quantities!D:D)=C135)*(_xlfn._TRO_TRAILING(quantities!E:E)=D135)))</f>
        <v>650564.72</v>
      </c>
      <c r="I135" s="167"/>
      <c r="J135" t="e">
        <f ca="1">SUMIFS(
INDIRECT("'[S2 Subcon IPC Log.xlsx]Subcon IPC Log'!"&amp;"$O:$O"),
INDIRECT("'[S2 Subcon IPC Log.xlsx]Subcon IPC Log'!"&amp;"$C:$C"),
"KLN-SPP2-"&amp;_xlfn.XLOOKUP(C135,log_contracts!B:B,log_contracts!C:C)&amp;"-"&amp;TEXT(C135,"000"),
INDIRECT("'[S2 Subcon IPC Log.xlsx]Subcon IPC Log'!"&amp;"$D:$D"),
D135)</f>
        <v>#REF!</v>
      </c>
      <c r="K135" s="167" t="e">
        <f ca="1"/>
        <v>#REF!</v>
      </c>
    </row>
    <row r="136" spans="1:11" hidden="1" x14ac:dyDescent="0.25">
      <c r="A136">
        <v>135</v>
      </c>
      <c r="B136" t="str">
        <v>046-008</v>
      </c>
      <c r="C136">
        <v>46</v>
      </c>
      <c r="D136">
        <v>8</v>
      </c>
      <c r="E136" s="123">
        <v>45992</v>
      </c>
      <c r="F136" s="123">
        <v>46022</v>
      </c>
      <c r="G136" t="str">
        <v>HARDCORE CE MMC</v>
      </c>
      <c r="H136" s="167" cm="1">
        <f t="array" aca="1" ref="H136" ca="1">SUM(_xlfn._xlws.FILTER(_xlfn._TRO_TRAILING(quantities!L:L),(_xlfn._TRO_TRAILING(quantities!D:D)=C136)*(_xlfn._TRO_TRAILING(quantities!E:E)=D136)))</f>
        <v>1928.5714285714284</v>
      </c>
      <c r="I136" s="167"/>
      <c r="J136" t="e">
        <f ca="1">SUMIFS(
INDIRECT("'[S2 Subcon IPC Log.xlsx]Subcon IPC Log'!"&amp;"$O:$O"),
INDIRECT("'[S2 Subcon IPC Log.xlsx]Subcon IPC Log'!"&amp;"$C:$C"),
"KLN-SPP2-"&amp;_xlfn.XLOOKUP(C136,log_contracts!B:B,log_contracts!C:C)&amp;"-"&amp;TEXT(C136,"000"),
INDIRECT("'[S2 Subcon IPC Log.xlsx]Subcon IPC Log'!"&amp;"$D:$D"),
D136)</f>
        <v>#REF!</v>
      </c>
      <c r="K136" s="167" t="e">
        <f ca="1"/>
        <v>#REF!</v>
      </c>
    </row>
    <row r="137" spans="1:11" hidden="1" x14ac:dyDescent="0.25">
      <c r="A137">
        <v>136</v>
      </c>
      <c r="B137" t="str">
        <v>050-007</v>
      </c>
      <c r="C137">
        <v>50</v>
      </c>
      <c r="D137">
        <v>7</v>
      </c>
      <c r="E137" s="123">
        <v>45992</v>
      </c>
      <c r="F137" s="123">
        <v>46022</v>
      </c>
      <c r="G137" t="str">
        <v>LOFT CONSTRUCTION</v>
      </c>
      <c r="H137" s="167" cm="1">
        <f t="array" aca="1" ref="H137" ca="1">SUM(_xlfn._xlws.FILTER(_xlfn._TRO_TRAILING(quantities!L:L),(_xlfn._TRO_TRAILING(quantities!D:D)=C137)*(_xlfn._TRO_TRAILING(quantities!E:E)=D137)))</f>
        <v>10000.001200000001</v>
      </c>
      <c r="I137" s="167"/>
      <c r="J137" t="e">
        <f ca="1">SUMIFS(
INDIRECT("'[S2 Subcon IPC Log.xlsx]Subcon IPC Log'!"&amp;"$O:$O"),
INDIRECT("'[S2 Subcon IPC Log.xlsx]Subcon IPC Log'!"&amp;"$C:$C"),
"KLN-SPP2-"&amp;_xlfn.XLOOKUP(C137,log_contracts!B:B,log_contracts!C:C)&amp;"-"&amp;TEXT(C137,"000"),
INDIRECT("'[S2 Subcon IPC Log.xlsx]Subcon IPC Log'!"&amp;"$D:$D"),
D137)</f>
        <v>#REF!</v>
      </c>
      <c r="K137" s="167" t="e">
        <f ca="1"/>
        <v>#REF!</v>
      </c>
    </row>
    <row r="138" spans="1:11" hidden="1" x14ac:dyDescent="0.25">
      <c r="A138">
        <v>137</v>
      </c>
      <c r="B138" t="str">
        <v>065-008</v>
      </c>
      <c r="C138">
        <v>65</v>
      </c>
      <c r="D138">
        <v>8</v>
      </c>
      <c r="E138" s="123">
        <v>45627</v>
      </c>
      <c r="F138" s="123">
        <v>45657</v>
      </c>
      <c r="G138" t="str">
        <v>ETIBAR MAMMADOV</v>
      </c>
      <c r="H138" s="167" cm="1">
        <f t="array" aca="1" ref="H138" ca="1">SUM(_xlfn._xlws.FILTER(_xlfn._TRO_TRAILING(quantities!L:L),(_xlfn._TRO_TRAILING(quantities!D:D)=C138)*(_xlfn._TRO_TRAILING(quantities!E:E)=D138)))</f>
        <v>5500</v>
      </c>
      <c r="I138" s="167"/>
      <c r="J138" t="e">
        <f ca="1">SUMIFS(
INDIRECT("'[S2 Subcon IPC Log.xlsx]Subcon IPC Log'!"&amp;"$O:$O"),
INDIRECT("'[S2 Subcon IPC Log.xlsx]Subcon IPC Log'!"&amp;"$C:$C"),
"KLN-SPP2-"&amp;_xlfn.XLOOKUP(C138,log_contracts!B:B,log_contracts!C:C)&amp;"-"&amp;TEXT(C138,"000"),
INDIRECT("'[S2 Subcon IPC Log.xlsx]Subcon IPC Log'!"&amp;"$D:$D"),
D138)</f>
        <v>#REF!</v>
      </c>
      <c r="K138" s="167" t="e">
        <f ca="1"/>
        <v>#REF!</v>
      </c>
    </row>
    <row r="139" spans="1:11" hidden="1" x14ac:dyDescent="0.25">
      <c r="A139">
        <v>138</v>
      </c>
      <c r="B139" t="str">
        <v>098-006</v>
      </c>
      <c r="C139">
        <v>98</v>
      </c>
      <c r="D139">
        <v>6</v>
      </c>
      <c r="E139" s="123" cm="1">
        <f t="array" ref="E139">_xlfn.XLOOKUP(C139,C$1:C138,F$1:F138,,0,-1)+1</f>
        <v>45992</v>
      </c>
      <c r="F139" s="123">
        <f t="shared" ref="F139:F165" si="0">EOMONTH(E139,0)</f>
        <v>46022</v>
      </c>
      <c r="G139" t="str">
        <v>HACIAGA KERIMOV</v>
      </c>
      <c r="H139" s="167" cm="1">
        <f t="array" aca="1" ref="H139" ca="1">SUM(_xlfn._xlws.FILTER(_xlfn._TRO_TRAILING(quantities!L:L),(_xlfn._TRO_TRAILING(quantities!D:D)=C139)*(_xlfn._TRO_TRAILING(quantities!E:E)=D139)))</f>
        <v>2642.78</v>
      </c>
      <c r="I139" s="167"/>
      <c r="J139" t="e">
        <f ca="1">SUMIFS(
INDIRECT("'[S2 Subcon IPC Log.xlsx]Subcon IPC Log'!"&amp;"$O:$O"),
INDIRECT("'[S2 Subcon IPC Log.xlsx]Subcon IPC Log'!"&amp;"$C:$C"),
"KLN-SPP2-"&amp;_xlfn.XLOOKUP(C139,log_contracts!B:B,log_contracts!C:C)&amp;"-"&amp;TEXT(C139,"000"),
INDIRECT("'[S2 Subcon IPC Log.xlsx]Subcon IPC Log'!"&amp;"$D:$D"),
D139)</f>
        <v>#REF!</v>
      </c>
      <c r="K139" s="167" t="e">
        <f ca="1"/>
        <v>#REF!</v>
      </c>
    </row>
    <row r="140" spans="1:11" hidden="1" x14ac:dyDescent="0.25">
      <c r="A140">
        <v>139</v>
      </c>
      <c r="B140" t="str">
        <v>107-003</v>
      </c>
      <c r="C140">
        <v>107</v>
      </c>
      <c r="D140">
        <v>3</v>
      </c>
      <c r="E140" s="123" cm="1">
        <f t="array" ref="E140">_xlfn.XLOOKUP(C140,C$1:C139,F$1:F139,,0,-1)+1</f>
        <v>45962</v>
      </c>
      <c r="F140" s="123">
        <f t="shared" si="0"/>
        <v>45991</v>
      </c>
      <c r="G140" t="str">
        <v>QUALIFY MMC</v>
      </c>
    </row>
    <row r="141" spans="1:11" hidden="1" x14ac:dyDescent="0.25">
      <c r="A141">
        <v>140</v>
      </c>
      <c r="B141" t="str">
        <v>110-005</v>
      </c>
      <c r="C141">
        <v>110</v>
      </c>
      <c r="D141">
        <v>5</v>
      </c>
      <c r="E141" s="123" cm="1">
        <f t="array" ref="E141">_xlfn.XLOOKUP(C141,C$1:C140,F$1:F140,,0,-1)+1</f>
        <v>45992</v>
      </c>
      <c r="F141" s="123">
        <f t="shared" si="0"/>
        <v>46022</v>
      </c>
      <c r="G141" t="str">
        <v>MAMMAD QALANDARLI</v>
      </c>
    </row>
    <row r="142" spans="1:11" hidden="1" x14ac:dyDescent="0.25">
      <c r="A142">
        <v>141</v>
      </c>
      <c r="B142" t="str">
        <v>121-003</v>
      </c>
      <c r="C142">
        <v>121</v>
      </c>
      <c r="D142">
        <v>3</v>
      </c>
      <c r="E142" s="123" cm="1">
        <f t="array" ref="E142">_xlfn.XLOOKUP(C142,C$1:C141,F$1:F141,,0,-1)+1</f>
        <v>45992</v>
      </c>
      <c r="F142" s="123">
        <f t="shared" si="0"/>
        <v>46022</v>
      </c>
      <c r="G142" t="str">
        <v>TEYMUR ABBASOV</v>
      </c>
    </row>
    <row r="143" spans="1:11" hidden="1" x14ac:dyDescent="0.25">
      <c r="A143">
        <v>142</v>
      </c>
      <c r="B143" t="str">
        <v>141-002</v>
      </c>
      <c r="C143">
        <v>141</v>
      </c>
      <c r="D143">
        <v>2</v>
      </c>
      <c r="E143" s="123" cm="1">
        <f t="array" ref="E143">_xlfn.XLOOKUP(C143,C$1:C142,F$1:F142,,0,-1)+1</f>
        <v>45627</v>
      </c>
      <c r="F143" s="123">
        <f t="shared" si="0"/>
        <v>45657</v>
      </c>
      <c r="G143" t="str">
        <v>MIRELEM CABBROV</v>
      </c>
    </row>
    <row r="144" spans="1:11" hidden="1" x14ac:dyDescent="0.25">
      <c r="E144" s="123" t="e" cm="1">
        <f t="array" ref="E144">_xlfn.XLOOKUP(C144,C$1:C143,F$1:F143,,0,-1)+1</f>
        <v>#N/A</v>
      </c>
      <c r="F144" s="123" t="e">
        <f t="shared" si="0"/>
        <v>#N/A</v>
      </c>
    </row>
    <row r="145" spans="5:6" hidden="1" x14ac:dyDescent="0.25">
      <c r="E145" s="123" t="e" cm="1">
        <f t="array" ref="E145">_xlfn.XLOOKUP(C145,C$1:C144,F$1:F144,,0,-1)+1</f>
        <v>#N/A</v>
      </c>
      <c r="F145" s="123" t="e">
        <f t="shared" si="0"/>
        <v>#N/A</v>
      </c>
    </row>
    <row r="146" spans="5:6" hidden="1" x14ac:dyDescent="0.25">
      <c r="E146" s="123" t="e" cm="1">
        <f t="array" ref="E146">_xlfn.XLOOKUP(C146,C$1:C145,F$1:F145,,0,-1)+1</f>
        <v>#N/A</v>
      </c>
      <c r="F146" s="123" t="e">
        <f t="shared" si="0"/>
        <v>#N/A</v>
      </c>
    </row>
    <row r="147" spans="5:6" hidden="1" x14ac:dyDescent="0.25">
      <c r="E147" s="123" t="e" cm="1">
        <f t="array" ref="E147">_xlfn.XLOOKUP(C147,C$1:C146,F$1:F146,,0,-1)+1</f>
        <v>#N/A</v>
      </c>
      <c r="F147" s="123" t="e">
        <f t="shared" si="0"/>
        <v>#N/A</v>
      </c>
    </row>
    <row r="148" spans="5:6" hidden="1" x14ac:dyDescent="0.25">
      <c r="E148" s="123" t="e" cm="1">
        <f t="array" ref="E148">_xlfn.XLOOKUP(C148,C$1:C147,F$1:F147,,0,-1)+1</f>
        <v>#N/A</v>
      </c>
      <c r="F148" s="123" t="e">
        <f t="shared" si="0"/>
        <v>#N/A</v>
      </c>
    </row>
    <row r="149" spans="5:6" hidden="1" x14ac:dyDescent="0.25">
      <c r="E149" s="123" t="e" cm="1">
        <f t="array" ref="E149">_xlfn.XLOOKUP(C149,C$1:C148,F$1:F148,,0,-1)+1</f>
        <v>#N/A</v>
      </c>
      <c r="F149" s="123" t="e">
        <f t="shared" si="0"/>
        <v>#N/A</v>
      </c>
    </row>
    <row r="150" spans="5:6" hidden="1" x14ac:dyDescent="0.25">
      <c r="E150" s="123" t="e" cm="1">
        <f t="array" ref="E150">_xlfn.XLOOKUP(C150,C$1:C149,F$1:F149,,0,-1)+1</f>
        <v>#N/A</v>
      </c>
      <c r="F150" s="123" t="e">
        <f t="shared" si="0"/>
        <v>#N/A</v>
      </c>
    </row>
    <row r="151" spans="5:6" hidden="1" x14ac:dyDescent="0.25">
      <c r="E151" s="123" t="e" cm="1">
        <f t="array" ref="E151">_xlfn.XLOOKUP(C151,C$1:C150,F$1:F150,,0,-1)+1</f>
        <v>#N/A</v>
      </c>
      <c r="F151" s="123" t="e">
        <f t="shared" si="0"/>
        <v>#N/A</v>
      </c>
    </row>
    <row r="152" spans="5:6" hidden="1" x14ac:dyDescent="0.25">
      <c r="E152" s="123" t="e" cm="1">
        <f t="array" ref="E152">_xlfn.XLOOKUP(C152,C$1:C151,F$1:F151,,0,-1)+1</f>
        <v>#N/A</v>
      </c>
      <c r="F152" s="123" t="e">
        <f t="shared" si="0"/>
        <v>#N/A</v>
      </c>
    </row>
    <row r="153" spans="5:6" hidden="1" x14ac:dyDescent="0.25">
      <c r="E153" s="123" t="e" cm="1">
        <f t="array" ref="E153">_xlfn.XLOOKUP(C153,C$1:C152,F$1:F152,,0,-1)+1</f>
        <v>#N/A</v>
      </c>
      <c r="F153" s="123" t="e">
        <f t="shared" si="0"/>
        <v>#N/A</v>
      </c>
    </row>
    <row r="154" spans="5:6" hidden="1" x14ac:dyDescent="0.25">
      <c r="E154" s="123" t="e" cm="1">
        <f t="array" ref="E154">_xlfn.XLOOKUP(C154,C$1:C153,F$1:F153,,0,-1)+1</f>
        <v>#N/A</v>
      </c>
      <c r="F154" s="123" t="e">
        <f t="shared" si="0"/>
        <v>#N/A</v>
      </c>
    </row>
    <row r="155" spans="5:6" hidden="1" x14ac:dyDescent="0.25">
      <c r="E155" s="123" t="e" cm="1">
        <f t="array" ref="E155">_xlfn.XLOOKUP(C155,C$1:C154,F$1:F154,,0,-1)+1</f>
        <v>#N/A</v>
      </c>
      <c r="F155" s="123" t="e">
        <f t="shared" si="0"/>
        <v>#N/A</v>
      </c>
    </row>
    <row r="156" spans="5:6" hidden="1" x14ac:dyDescent="0.25">
      <c r="E156" s="123" t="e" cm="1">
        <f t="array" ref="E156">_xlfn.XLOOKUP(C156,C$1:C155,F$1:F155,,0,-1)+1</f>
        <v>#N/A</v>
      </c>
      <c r="F156" s="123" t="e">
        <f t="shared" si="0"/>
        <v>#N/A</v>
      </c>
    </row>
    <row r="157" spans="5:6" hidden="1" x14ac:dyDescent="0.25">
      <c r="E157" s="123" t="e" cm="1">
        <f t="array" ref="E157">_xlfn.XLOOKUP(C157,C$1:C156,F$1:F156,,0,-1)+1</f>
        <v>#N/A</v>
      </c>
      <c r="F157" s="123" t="e">
        <f t="shared" si="0"/>
        <v>#N/A</v>
      </c>
    </row>
    <row r="158" spans="5:6" hidden="1" x14ac:dyDescent="0.25">
      <c r="E158" s="123" t="e" cm="1">
        <f t="array" ref="E158">_xlfn.XLOOKUP(C158,C$1:C157,F$1:F157,,0,-1)+1</f>
        <v>#N/A</v>
      </c>
      <c r="F158" s="123" t="e">
        <f t="shared" si="0"/>
        <v>#N/A</v>
      </c>
    </row>
    <row r="159" spans="5:6" hidden="1" x14ac:dyDescent="0.25">
      <c r="E159" s="123" t="e" cm="1">
        <f t="array" ref="E159">_xlfn.XLOOKUP(C159,C$1:C158,F$1:F158,,0,-1)+1</f>
        <v>#N/A</v>
      </c>
      <c r="F159" s="123" t="e">
        <f t="shared" si="0"/>
        <v>#N/A</v>
      </c>
    </row>
    <row r="160" spans="5:6" hidden="1" x14ac:dyDescent="0.25">
      <c r="E160" s="123" t="e" cm="1">
        <f t="array" ref="E160">_xlfn.XLOOKUP(C160,C$1:C159,F$1:F159,,0,-1)+1</f>
        <v>#N/A</v>
      </c>
      <c r="F160" s="123" t="e">
        <f t="shared" si="0"/>
        <v>#N/A</v>
      </c>
    </row>
    <row r="161" spans="5:6" hidden="1" x14ac:dyDescent="0.25">
      <c r="E161" s="123" t="e" cm="1">
        <f t="array" ref="E161">_xlfn.XLOOKUP(C161,C$1:C160,F$1:F160,,0,-1)+1</f>
        <v>#N/A</v>
      </c>
      <c r="F161" s="123" t="e">
        <f t="shared" si="0"/>
        <v>#N/A</v>
      </c>
    </row>
    <row r="162" spans="5:6" hidden="1" x14ac:dyDescent="0.25">
      <c r="E162" s="123" t="e" cm="1">
        <f t="array" ref="E162">_xlfn.XLOOKUP(C162,C$1:C161,F$1:F161,,0,-1)+1</f>
        <v>#N/A</v>
      </c>
      <c r="F162" s="123" t="e">
        <f t="shared" si="0"/>
        <v>#N/A</v>
      </c>
    </row>
    <row r="163" spans="5:6" hidden="1" x14ac:dyDescent="0.25">
      <c r="E163" s="123" t="e" cm="1">
        <f t="array" ref="E163">_xlfn.XLOOKUP(C163,C$1:C162,F$1:F162,,0,-1)+1</f>
        <v>#N/A</v>
      </c>
      <c r="F163" s="123" t="e">
        <f t="shared" si="0"/>
        <v>#N/A</v>
      </c>
    </row>
    <row r="164" spans="5:6" hidden="1" x14ac:dyDescent="0.25">
      <c r="E164" s="123" t="e" cm="1">
        <f t="array" ref="E164">_xlfn.XLOOKUP(C164,C$1:C163,F$1:F163,,0,-1)+1</f>
        <v>#N/A</v>
      </c>
      <c r="F164" s="123" t="e">
        <f t="shared" si="0"/>
        <v>#N/A</v>
      </c>
    </row>
    <row r="165" spans="5:6" hidden="1" x14ac:dyDescent="0.25">
      <c r="E165" s="123" t="e" cm="1">
        <f t="array" ref="E165">_xlfn.XLOOKUP(C165,C$1:C164,F$1:F164,,0,-1)+1</f>
        <v>#N/A</v>
      </c>
      <c r="F165" s="123" t="e">
        <f t="shared" si="0"/>
        <v>#N/A</v>
      </c>
    </row>
  </sheetData>
  <autoFilter ref="A1:K165" xr:uid="{0F9CC3C6-C9E9-415D-917A-812D0B016842}">
    <filterColumn colId="2">
      <filters>
        <filter val="10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DBAC-9BC6-458D-834B-E09C70219EA8}">
  <sheetPr codeName="Sheet4"/>
  <dimension ref="A1:H25"/>
  <sheetViews>
    <sheetView workbookViewId="0">
      <pane ySplit="1" topLeftCell="A2" activePane="bottomLeft" state="frozen"/>
      <selection activeCell="E1" sqref="E1"/>
      <selection pane="bottomLeft" activeCell="H25" sqref="H25"/>
    </sheetView>
  </sheetViews>
  <sheetFormatPr defaultRowHeight="15" x14ac:dyDescent="0.25"/>
  <cols>
    <col min="1" max="2" width="7.28515625" customWidth="1"/>
    <col min="3" max="3" width="14.140625" bestFit="1" customWidth="1"/>
    <col min="4" max="4" width="15.42578125" style="123" customWidth="1"/>
    <col min="5" max="5" width="36.7109375" bestFit="1" customWidth="1"/>
    <col min="6" max="6" width="18" bestFit="1" customWidth="1"/>
    <col min="7" max="7" width="20.28515625" bestFit="1" customWidth="1"/>
    <col min="8" max="8" width="9.140625" style="123"/>
  </cols>
  <sheetData>
    <row r="1" spans="1:8" ht="39" customHeight="1" x14ac:dyDescent="0.25">
      <c r="A1" s="152" t="s">
        <v>168</v>
      </c>
      <c r="B1" s="152" t="s">
        <v>172</v>
      </c>
      <c r="C1" s="152" t="s">
        <v>169</v>
      </c>
      <c r="D1" s="153" t="s">
        <v>174</v>
      </c>
      <c r="E1" s="152" t="s">
        <v>178</v>
      </c>
      <c r="F1" s="152" t="s">
        <v>179</v>
      </c>
      <c r="G1" s="152" t="s">
        <v>226</v>
      </c>
      <c r="H1" s="153" t="s">
        <v>646</v>
      </c>
    </row>
    <row r="2" spans="1:8" x14ac:dyDescent="0.25">
      <c r="A2" cm="1">
        <f t="array" ref="A2:A25">_xlfn.SEQUENCE(ROWS(_xlfn._TRO_TRAILING(E:E))-1)</f>
        <v>1</v>
      </c>
      <c r="B2">
        <v>11</v>
      </c>
      <c r="C2" t="s">
        <v>170</v>
      </c>
      <c r="D2" s="123">
        <v>45646</v>
      </c>
      <c r="E2" t="s">
        <v>163</v>
      </c>
      <c r="F2" t="s">
        <v>154</v>
      </c>
      <c r="G2" t="s">
        <v>153</v>
      </c>
      <c r="H2" s="123">
        <v>45646</v>
      </c>
    </row>
    <row r="3" spans="1:8" x14ac:dyDescent="0.25">
      <c r="A3">
        <v>2</v>
      </c>
      <c r="B3">
        <v>14</v>
      </c>
      <c r="C3" t="s">
        <v>206</v>
      </c>
      <c r="D3" s="123">
        <v>45652</v>
      </c>
      <c r="E3" t="s">
        <v>207</v>
      </c>
      <c r="F3" t="s">
        <v>208</v>
      </c>
      <c r="G3" t="s">
        <v>730</v>
      </c>
      <c r="H3" s="123">
        <v>45652</v>
      </c>
    </row>
    <row r="4" spans="1:8" x14ac:dyDescent="0.25">
      <c r="A4">
        <v>3</v>
      </c>
      <c r="B4">
        <v>30</v>
      </c>
      <c r="C4" t="s">
        <v>225</v>
      </c>
      <c r="D4" s="123">
        <v>45679</v>
      </c>
      <c r="E4" t="s">
        <v>209</v>
      </c>
      <c r="F4" t="s">
        <v>229</v>
      </c>
      <c r="G4" t="s">
        <v>731</v>
      </c>
      <c r="H4" s="123">
        <v>45679</v>
      </c>
    </row>
    <row r="5" spans="1:8" x14ac:dyDescent="0.25">
      <c r="A5">
        <v>4</v>
      </c>
      <c r="B5">
        <v>31</v>
      </c>
      <c r="C5" t="s">
        <v>225</v>
      </c>
      <c r="D5" s="123">
        <v>45693</v>
      </c>
      <c r="E5" t="s">
        <v>209</v>
      </c>
      <c r="F5" t="s">
        <v>229</v>
      </c>
      <c r="G5" t="s">
        <v>731</v>
      </c>
      <c r="H5" s="123">
        <v>45693</v>
      </c>
    </row>
    <row r="6" spans="1:8" x14ac:dyDescent="0.25">
      <c r="A6">
        <v>5</v>
      </c>
      <c r="B6">
        <v>33</v>
      </c>
      <c r="C6" t="s">
        <v>225</v>
      </c>
      <c r="D6" s="123">
        <v>45658</v>
      </c>
      <c r="E6" t="s">
        <v>210</v>
      </c>
      <c r="F6" t="s">
        <v>732</v>
      </c>
      <c r="G6" t="s">
        <v>731</v>
      </c>
      <c r="H6" s="123">
        <v>45536</v>
      </c>
    </row>
    <row r="7" spans="1:8" x14ac:dyDescent="0.25">
      <c r="A7">
        <v>6</v>
      </c>
      <c r="B7">
        <v>46</v>
      </c>
      <c r="C7" t="s">
        <v>206</v>
      </c>
      <c r="D7" s="123">
        <v>45778</v>
      </c>
      <c r="E7" t="s">
        <v>211</v>
      </c>
      <c r="F7" t="s">
        <v>229</v>
      </c>
      <c r="G7" t="s">
        <v>742</v>
      </c>
      <c r="H7" s="123">
        <v>45748</v>
      </c>
    </row>
    <row r="8" spans="1:8" x14ac:dyDescent="0.25">
      <c r="A8">
        <v>7</v>
      </c>
      <c r="B8">
        <v>50</v>
      </c>
      <c r="C8" t="s">
        <v>206</v>
      </c>
      <c r="D8" s="123">
        <v>45748</v>
      </c>
      <c r="E8" t="s">
        <v>212</v>
      </c>
      <c r="F8" t="s">
        <v>229</v>
      </c>
      <c r="G8" t="s">
        <v>742</v>
      </c>
      <c r="H8" s="123">
        <v>45748</v>
      </c>
    </row>
    <row r="9" spans="1:8" x14ac:dyDescent="0.25">
      <c r="A9">
        <v>8</v>
      </c>
      <c r="B9">
        <v>51</v>
      </c>
      <c r="C9" t="s">
        <v>206</v>
      </c>
      <c r="D9" s="123">
        <v>45761</v>
      </c>
      <c r="E9" t="s">
        <v>213</v>
      </c>
      <c r="F9" t="s">
        <v>229</v>
      </c>
      <c r="G9" t="s">
        <v>743</v>
      </c>
      <c r="H9" s="123">
        <v>45761</v>
      </c>
    </row>
    <row r="10" spans="1:8" x14ac:dyDescent="0.25">
      <c r="A10">
        <v>9</v>
      </c>
      <c r="B10">
        <v>52</v>
      </c>
      <c r="C10" t="s">
        <v>206</v>
      </c>
      <c r="D10" s="123">
        <v>45762</v>
      </c>
      <c r="E10" t="s">
        <v>577</v>
      </c>
      <c r="F10" t="s">
        <v>229</v>
      </c>
      <c r="G10" t="s">
        <v>748</v>
      </c>
      <c r="H10" s="123">
        <v>45762</v>
      </c>
    </row>
    <row r="11" spans="1:8" x14ac:dyDescent="0.25">
      <c r="A11">
        <v>10</v>
      </c>
      <c r="B11">
        <v>65</v>
      </c>
      <c r="C11" t="s">
        <v>206</v>
      </c>
      <c r="D11" s="123">
        <v>45783</v>
      </c>
      <c r="E11" t="s">
        <v>214</v>
      </c>
      <c r="F11" t="s">
        <v>229</v>
      </c>
      <c r="G11" t="s">
        <v>742</v>
      </c>
      <c r="H11" s="123">
        <v>45783</v>
      </c>
    </row>
    <row r="12" spans="1:8" x14ac:dyDescent="0.25">
      <c r="A12">
        <v>11</v>
      </c>
      <c r="B12">
        <v>85</v>
      </c>
      <c r="C12" t="s">
        <v>206</v>
      </c>
      <c r="D12" s="123">
        <v>45824</v>
      </c>
      <c r="E12" t="s">
        <v>215</v>
      </c>
      <c r="F12" t="s">
        <v>229</v>
      </c>
      <c r="G12" t="s">
        <v>743</v>
      </c>
      <c r="H12" s="123">
        <v>45824</v>
      </c>
    </row>
    <row r="13" spans="1:8" x14ac:dyDescent="0.25">
      <c r="A13">
        <v>12</v>
      </c>
      <c r="B13">
        <v>91</v>
      </c>
      <c r="C13" t="s">
        <v>206</v>
      </c>
      <c r="D13" s="123">
        <v>45834</v>
      </c>
      <c r="E13" t="s">
        <v>216</v>
      </c>
      <c r="F13" t="s">
        <v>229</v>
      </c>
      <c r="G13" t="s">
        <v>745</v>
      </c>
      <c r="H13" s="123">
        <v>45834</v>
      </c>
    </row>
    <row r="14" spans="1:8" x14ac:dyDescent="0.25">
      <c r="A14">
        <v>13</v>
      </c>
      <c r="B14">
        <v>94</v>
      </c>
      <c r="C14" t="s">
        <v>206</v>
      </c>
      <c r="D14" s="123">
        <v>45809</v>
      </c>
      <c r="E14" t="s">
        <v>592</v>
      </c>
      <c r="F14" t="s">
        <v>229</v>
      </c>
      <c r="G14" t="s">
        <v>744</v>
      </c>
      <c r="H14" s="123">
        <v>45809</v>
      </c>
    </row>
    <row r="15" spans="1:8" x14ac:dyDescent="0.25">
      <c r="A15">
        <v>14</v>
      </c>
      <c r="B15">
        <v>95</v>
      </c>
      <c r="C15" t="s">
        <v>206</v>
      </c>
      <c r="D15" s="123">
        <v>45848</v>
      </c>
      <c r="E15" t="s">
        <v>217</v>
      </c>
      <c r="F15" t="s">
        <v>229</v>
      </c>
      <c r="G15" t="s">
        <v>742</v>
      </c>
      <c r="H15" s="123">
        <v>45848</v>
      </c>
    </row>
    <row r="16" spans="1:8" x14ac:dyDescent="0.25">
      <c r="A16">
        <v>15</v>
      </c>
      <c r="B16">
        <v>98</v>
      </c>
      <c r="C16" t="s">
        <v>206</v>
      </c>
      <c r="D16" s="123">
        <v>45854</v>
      </c>
      <c r="E16" t="s">
        <v>218</v>
      </c>
      <c r="F16" t="s">
        <v>229</v>
      </c>
      <c r="G16" t="s">
        <v>743</v>
      </c>
      <c r="H16" s="123">
        <v>45854</v>
      </c>
    </row>
    <row r="17" spans="1:8" x14ac:dyDescent="0.25">
      <c r="A17">
        <v>16</v>
      </c>
      <c r="B17">
        <v>99</v>
      </c>
      <c r="C17" t="s">
        <v>206</v>
      </c>
      <c r="D17" s="123">
        <v>45859</v>
      </c>
      <c r="E17" t="s">
        <v>604</v>
      </c>
      <c r="F17" t="s">
        <v>229</v>
      </c>
      <c r="G17" t="s">
        <v>744</v>
      </c>
      <c r="H17" s="123">
        <v>45859</v>
      </c>
    </row>
    <row r="18" spans="1:8" x14ac:dyDescent="0.25">
      <c r="A18">
        <v>17</v>
      </c>
      <c r="B18">
        <v>100</v>
      </c>
      <c r="C18" t="s">
        <v>206</v>
      </c>
      <c r="D18" s="123">
        <v>45859</v>
      </c>
      <c r="E18" t="s">
        <v>219</v>
      </c>
      <c r="F18" t="s">
        <v>229</v>
      </c>
      <c r="G18" t="s">
        <v>742</v>
      </c>
      <c r="H18" s="123">
        <v>45859</v>
      </c>
    </row>
    <row r="19" spans="1:8" x14ac:dyDescent="0.25">
      <c r="A19">
        <v>18</v>
      </c>
      <c r="B19">
        <v>102</v>
      </c>
      <c r="C19" t="s">
        <v>206</v>
      </c>
      <c r="D19" s="123">
        <v>45892</v>
      </c>
      <c r="E19" t="s">
        <v>220</v>
      </c>
      <c r="F19" t="s">
        <v>229</v>
      </c>
      <c r="G19" t="s">
        <v>744</v>
      </c>
      <c r="H19" s="123">
        <v>45892</v>
      </c>
    </row>
    <row r="20" spans="1:8" x14ac:dyDescent="0.25">
      <c r="A20">
        <v>19</v>
      </c>
      <c r="B20">
        <v>103</v>
      </c>
      <c r="C20" s="123" t="s">
        <v>620</v>
      </c>
      <c r="D20" s="123">
        <v>45880</v>
      </c>
      <c r="E20" t="s">
        <v>621</v>
      </c>
      <c r="F20" t="s">
        <v>617</v>
      </c>
      <c r="G20" t="s">
        <v>153</v>
      </c>
      <c r="H20" s="123">
        <v>45880</v>
      </c>
    </row>
    <row r="21" spans="1:8" x14ac:dyDescent="0.25">
      <c r="A21">
        <v>20</v>
      </c>
      <c r="B21">
        <v>107</v>
      </c>
      <c r="C21" s="123" t="s">
        <v>170</v>
      </c>
      <c r="D21" s="123">
        <v>45856</v>
      </c>
      <c r="E21" t="s">
        <v>622</v>
      </c>
      <c r="F21" t="s">
        <v>154</v>
      </c>
      <c r="G21" t="s">
        <v>153</v>
      </c>
      <c r="H21" s="123">
        <v>45856</v>
      </c>
    </row>
    <row r="22" spans="1:8" x14ac:dyDescent="0.25">
      <c r="A22">
        <v>21</v>
      </c>
      <c r="B22">
        <v>110</v>
      </c>
      <c r="C22" t="s">
        <v>206</v>
      </c>
      <c r="D22" s="123">
        <v>45890</v>
      </c>
      <c r="E22" t="s">
        <v>221</v>
      </c>
      <c r="F22" t="s">
        <v>229</v>
      </c>
      <c r="G22" t="s">
        <v>743</v>
      </c>
      <c r="H22" s="123">
        <v>45890</v>
      </c>
    </row>
    <row r="23" spans="1:8" x14ac:dyDescent="0.25">
      <c r="A23">
        <v>22</v>
      </c>
      <c r="B23">
        <v>121</v>
      </c>
      <c r="C23" t="s">
        <v>206</v>
      </c>
      <c r="D23" s="123">
        <v>45925</v>
      </c>
      <c r="E23" t="s">
        <v>222</v>
      </c>
      <c r="F23" t="s">
        <v>634</v>
      </c>
      <c r="G23" t="s">
        <v>743</v>
      </c>
      <c r="H23" s="123">
        <v>45925</v>
      </c>
    </row>
    <row r="24" spans="1:8" x14ac:dyDescent="0.25">
      <c r="A24">
        <v>23</v>
      </c>
      <c r="B24">
        <v>141</v>
      </c>
      <c r="C24" t="s">
        <v>206</v>
      </c>
      <c r="D24" s="123">
        <v>45601</v>
      </c>
      <c r="E24" t="s">
        <v>223</v>
      </c>
      <c r="F24" t="s">
        <v>229</v>
      </c>
      <c r="G24" t="s">
        <v>742</v>
      </c>
      <c r="H24" s="123">
        <v>45601</v>
      </c>
    </row>
    <row r="25" spans="1:8" x14ac:dyDescent="0.25">
      <c r="A25">
        <v>24</v>
      </c>
      <c r="B25">
        <v>150</v>
      </c>
      <c r="C25" t="s">
        <v>170</v>
      </c>
      <c r="D25" s="123">
        <v>45989</v>
      </c>
      <c r="E25" t="s">
        <v>224</v>
      </c>
      <c r="F25" t="s">
        <v>154</v>
      </c>
      <c r="G25" t="s">
        <v>153</v>
      </c>
      <c r="H25" s="123">
        <v>45989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07AD-B9AB-40AF-9A55-AD1DD852431D}">
  <sheetPr codeName="Sheet9"/>
  <dimension ref="A1:M233"/>
  <sheetViews>
    <sheetView workbookViewId="0">
      <selection activeCell="M179" sqref="M179"/>
    </sheetView>
  </sheetViews>
  <sheetFormatPr defaultRowHeight="15" x14ac:dyDescent="0.25"/>
  <cols>
    <col min="2" max="2" width="10.85546875" bestFit="1" customWidth="1"/>
    <col min="3" max="3" width="10.85546875" customWidth="1"/>
    <col min="4" max="4" width="4" bestFit="1" customWidth="1"/>
    <col min="5" max="5" width="77.42578125" bestFit="1" customWidth="1"/>
    <col min="6" max="6" width="7.28515625" bestFit="1" customWidth="1"/>
    <col min="7" max="7" width="8.140625" bestFit="1" customWidth="1"/>
    <col min="8" max="8" width="16.42578125" bestFit="1" customWidth="1"/>
    <col min="9" max="9" width="9.5703125" bestFit="1" customWidth="1"/>
    <col min="10" max="10" width="10.28515625" bestFit="1" customWidth="1"/>
    <col min="11" max="11" width="13.28515625" bestFit="1" customWidth="1"/>
    <col min="13" max="13" width="16" bestFit="1" customWidth="1"/>
  </cols>
  <sheetData>
    <row r="1" spans="1:13" x14ac:dyDescent="0.25">
      <c r="A1" t="s">
        <v>168</v>
      </c>
      <c r="B1" t="s">
        <v>175</v>
      </c>
      <c r="C1" t="s">
        <v>746</v>
      </c>
      <c r="D1" t="s">
        <v>707</v>
      </c>
      <c r="E1" t="s">
        <v>227</v>
      </c>
      <c r="F1" t="s">
        <v>180</v>
      </c>
      <c r="G1" t="s">
        <v>187</v>
      </c>
      <c r="H1" t="s">
        <v>231</v>
      </c>
      <c r="I1" t="s">
        <v>228</v>
      </c>
      <c r="J1" t="s">
        <v>230</v>
      </c>
      <c r="K1" t="s">
        <v>290</v>
      </c>
      <c r="L1" t="s">
        <v>711</v>
      </c>
      <c r="M1" t="s">
        <v>747</v>
      </c>
    </row>
    <row r="2" spans="1:13" x14ac:dyDescent="0.25">
      <c r="A2" cm="1">
        <f t="array" ref="A2:A233">_xlfn.SEQUENCE(ROWS(_xlfn._TRO_TRAILING(B:B))-1)</f>
        <v>1</v>
      </c>
      <c r="B2">
        <v>30</v>
      </c>
      <c r="D2">
        <v>1</v>
      </c>
      <c r="E2" t="s">
        <v>476</v>
      </c>
      <c r="F2" t="s">
        <v>650</v>
      </c>
      <c r="G2" t="b">
        <v>0</v>
      </c>
      <c r="H2">
        <v>183.33333333333334</v>
      </c>
      <c r="I2">
        <v>30</v>
      </c>
      <c r="J2">
        <v>5500</v>
      </c>
      <c r="K2" t="s">
        <v>424</v>
      </c>
      <c r="L2" t="s">
        <v>233</v>
      </c>
      <c r="M2" t="s">
        <v>731</v>
      </c>
    </row>
    <row r="3" spans="1:13" x14ac:dyDescent="0.25">
      <c r="A3">
        <v>2</v>
      </c>
      <c r="B3">
        <v>30</v>
      </c>
      <c r="D3">
        <v>2</v>
      </c>
      <c r="E3" t="s">
        <v>477</v>
      </c>
      <c r="F3" t="s">
        <v>650</v>
      </c>
      <c r="G3" t="b">
        <v>0</v>
      </c>
      <c r="H3">
        <v>183.33333333333334</v>
      </c>
      <c r="I3">
        <v>30</v>
      </c>
      <c r="J3">
        <v>5500</v>
      </c>
      <c r="K3" t="s">
        <v>424</v>
      </c>
      <c r="L3" t="s">
        <v>402</v>
      </c>
      <c r="M3" t="s">
        <v>731</v>
      </c>
    </row>
    <row r="4" spans="1:13" x14ac:dyDescent="0.25">
      <c r="A4">
        <v>3</v>
      </c>
      <c r="B4">
        <v>30</v>
      </c>
      <c r="D4">
        <v>3</v>
      </c>
      <c r="E4" t="s">
        <v>415</v>
      </c>
      <c r="F4" t="s">
        <v>183</v>
      </c>
      <c r="H4">
        <v>5500</v>
      </c>
      <c r="K4" t="s">
        <v>424</v>
      </c>
      <c r="L4" t="s">
        <v>233</v>
      </c>
      <c r="M4" t="s">
        <v>731</v>
      </c>
    </row>
    <row r="5" spans="1:13" x14ac:dyDescent="0.25">
      <c r="A5">
        <v>4</v>
      </c>
      <c r="B5">
        <v>30</v>
      </c>
      <c r="D5">
        <v>4</v>
      </c>
      <c r="E5" t="s">
        <v>416</v>
      </c>
      <c r="F5" t="s">
        <v>183</v>
      </c>
      <c r="H5">
        <v>5500</v>
      </c>
      <c r="K5" t="s">
        <v>424</v>
      </c>
      <c r="L5" t="s">
        <v>402</v>
      </c>
      <c r="M5" t="s">
        <v>731</v>
      </c>
    </row>
    <row r="6" spans="1:13" x14ac:dyDescent="0.25">
      <c r="A6">
        <v>5</v>
      </c>
      <c r="B6">
        <v>31</v>
      </c>
      <c r="D6">
        <v>1</v>
      </c>
      <c r="E6" t="s">
        <v>389</v>
      </c>
      <c r="F6" t="s">
        <v>650</v>
      </c>
      <c r="H6">
        <v>73.33</v>
      </c>
      <c r="I6">
        <v>30</v>
      </c>
      <c r="K6">
        <v>18</v>
      </c>
      <c r="L6" t="s">
        <v>238</v>
      </c>
      <c r="M6" t="s">
        <v>731</v>
      </c>
    </row>
    <row r="7" spans="1:13" x14ac:dyDescent="0.25">
      <c r="A7">
        <v>6</v>
      </c>
      <c r="B7">
        <v>31</v>
      </c>
      <c r="D7">
        <v>2</v>
      </c>
      <c r="E7" t="s">
        <v>388</v>
      </c>
      <c r="F7" t="s">
        <v>651</v>
      </c>
      <c r="H7">
        <v>7.3330000000000002</v>
      </c>
      <c r="K7">
        <v>18</v>
      </c>
      <c r="L7" t="s">
        <v>238</v>
      </c>
      <c r="M7" t="s">
        <v>731</v>
      </c>
    </row>
    <row r="8" spans="1:13" x14ac:dyDescent="0.25">
      <c r="A8">
        <v>7</v>
      </c>
      <c r="B8">
        <v>31</v>
      </c>
      <c r="D8">
        <v>3</v>
      </c>
      <c r="E8" t="s">
        <v>385</v>
      </c>
      <c r="F8" t="s">
        <v>650</v>
      </c>
      <c r="H8">
        <v>65</v>
      </c>
      <c r="I8">
        <v>30</v>
      </c>
      <c r="K8">
        <v>18</v>
      </c>
      <c r="L8" t="s">
        <v>260</v>
      </c>
      <c r="M8" t="s">
        <v>731</v>
      </c>
    </row>
    <row r="9" spans="1:13" x14ac:dyDescent="0.25">
      <c r="A9">
        <v>8</v>
      </c>
      <c r="B9">
        <v>31</v>
      </c>
      <c r="D9">
        <v>4</v>
      </c>
      <c r="E9" t="s">
        <v>384</v>
      </c>
      <c r="F9" t="s">
        <v>651</v>
      </c>
      <c r="H9">
        <v>6.5</v>
      </c>
      <c r="K9">
        <v>18</v>
      </c>
      <c r="L9" t="s">
        <v>260</v>
      </c>
      <c r="M9" t="s">
        <v>731</v>
      </c>
    </row>
    <row r="10" spans="1:13" x14ac:dyDescent="0.25">
      <c r="A10">
        <v>9</v>
      </c>
      <c r="B10">
        <v>31</v>
      </c>
      <c r="D10">
        <v>5</v>
      </c>
      <c r="E10" t="s">
        <v>358</v>
      </c>
      <c r="F10" t="s">
        <v>650</v>
      </c>
      <c r="H10">
        <v>73.33</v>
      </c>
      <c r="I10">
        <v>30</v>
      </c>
      <c r="K10">
        <v>18</v>
      </c>
      <c r="L10" t="s">
        <v>240</v>
      </c>
      <c r="M10" t="s">
        <v>731</v>
      </c>
    </row>
    <row r="11" spans="1:13" x14ac:dyDescent="0.25">
      <c r="A11">
        <v>10</v>
      </c>
      <c r="B11">
        <v>31</v>
      </c>
      <c r="D11">
        <v>6</v>
      </c>
      <c r="E11" t="s">
        <v>357</v>
      </c>
      <c r="F11" t="s">
        <v>651</v>
      </c>
      <c r="H11">
        <v>7.3330000000000002</v>
      </c>
      <c r="K11">
        <v>18</v>
      </c>
      <c r="L11" t="s">
        <v>240</v>
      </c>
      <c r="M11" t="s">
        <v>731</v>
      </c>
    </row>
    <row r="12" spans="1:13" x14ac:dyDescent="0.25">
      <c r="A12">
        <v>11</v>
      </c>
      <c r="B12">
        <v>31</v>
      </c>
      <c r="D12">
        <v>7</v>
      </c>
      <c r="E12" t="s">
        <v>348</v>
      </c>
      <c r="F12" t="s">
        <v>650</v>
      </c>
      <c r="H12">
        <v>65</v>
      </c>
      <c r="I12">
        <v>30</v>
      </c>
      <c r="K12" t="s">
        <v>424</v>
      </c>
      <c r="L12" t="s">
        <v>241</v>
      </c>
      <c r="M12" t="s">
        <v>731</v>
      </c>
    </row>
    <row r="13" spans="1:13" x14ac:dyDescent="0.25">
      <c r="A13">
        <v>12</v>
      </c>
      <c r="B13">
        <v>31</v>
      </c>
      <c r="D13">
        <v>8</v>
      </c>
      <c r="E13" t="s">
        <v>347</v>
      </c>
      <c r="F13" t="s">
        <v>651</v>
      </c>
      <c r="H13">
        <v>6.5</v>
      </c>
      <c r="K13" t="s">
        <v>424</v>
      </c>
      <c r="L13" t="s">
        <v>241</v>
      </c>
      <c r="M13" t="s">
        <v>731</v>
      </c>
    </row>
    <row r="14" spans="1:13" x14ac:dyDescent="0.25">
      <c r="A14">
        <v>13</v>
      </c>
      <c r="B14">
        <v>31</v>
      </c>
      <c r="D14">
        <v>9</v>
      </c>
      <c r="E14" t="s">
        <v>379</v>
      </c>
      <c r="F14" t="s">
        <v>650</v>
      </c>
      <c r="H14">
        <v>73.33</v>
      </c>
      <c r="I14">
        <v>30</v>
      </c>
      <c r="K14" t="s">
        <v>424</v>
      </c>
      <c r="L14" t="s">
        <v>239</v>
      </c>
      <c r="M14" t="s">
        <v>731</v>
      </c>
    </row>
    <row r="15" spans="1:13" x14ac:dyDescent="0.25">
      <c r="A15">
        <v>14</v>
      </c>
      <c r="B15">
        <v>31</v>
      </c>
      <c r="D15">
        <v>10</v>
      </c>
      <c r="E15" t="s">
        <v>378</v>
      </c>
      <c r="F15" t="s">
        <v>651</v>
      </c>
      <c r="H15">
        <v>7.3330000000000002</v>
      </c>
      <c r="K15" t="s">
        <v>424</v>
      </c>
      <c r="L15" t="s">
        <v>239</v>
      </c>
      <c r="M15" t="s">
        <v>731</v>
      </c>
    </row>
    <row r="16" spans="1:13" x14ac:dyDescent="0.25">
      <c r="A16">
        <v>15</v>
      </c>
      <c r="B16">
        <v>31</v>
      </c>
      <c r="D16">
        <v>11</v>
      </c>
      <c r="E16" t="s">
        <v>436</v>
      </c>
      <c r="F16" t="s">
        <v>650</v>
      </c>
      <c r="H16">
        <v>55.36</v>
      </c>
      <c r="K16">
        <v>15</v>
      </c>
      <c r="L16" t="s">
        <v>430</v>
      </c>
      <c r="M16" t="s">
        <v>731</v>
      </c>
    </row>
    <row r="17" spans="1:13" x14ac:dyDescent="0.25">
      <c r="A17">
        <v>16</v>
      </c>
      <c r="B17">
        <v>31</v>
      </c>
      <c r="D17">
        <v>12</v>
      </c>
      <c r="E17" t="s">
        <v>437</v>
      </c>
      <c r="F17" t="s">
        <v>651</v>
      </c>
      <c r="H17">
        <v>5.5359999999999996</v>
      </c>
      <c r="K17">
        <v>15</v>
      </c>
      <c r="L17" t="s">
        <v>430</v>
      </c>
      <c r="M17" t="s">
        <v>731</v>
      </c>
    </row>
    <row r="18" spans="1:13" x14ac:dyDescent="0.25">
      <c r="A18">
        <v>17</v>
      </c>
      <c r="B18">
        <v>31</v>
      </c>
      <c r="D18">
        <v>13</v>
      </c>
      <c r="E18" t="s">
        <v>328</v>
      </c>
      <c r="F18" t="s">
        <v>650</v>
      </c>
      <c r="H18">
        <v>46.67</v>
      </c>
      <c r="I18">
        <v>30</v>
      </c>
      <c r="K18">
        <v>15</v>
      </c>
      <c r="L18" t="s">
        <v>261</v>
      </c>
      <c r="M18" t="s">
        <v>731</v>
      </c>
    </row>
    <row r="19" spans="1:13" x14ac:dyDescent="0.25">
      <c r="A19">
        <v>18</v>
      </c>
      <c r="B19">
        <v>31</v>
      </c>
      <c r="D19">
        <v>14</v>
      </c>
      <c r="E19" t="s">
        <v>327</v>
      </c>
      <c r="F19" t="s">
        <v>651</v>
      </c>
      <c r="H19">
        <v>4.6669999999999998</v>
      </c>
      <c r="K19">
        <v>15</v>
      </c>
      <c r="L19" t="s">
        <v>261</v>
      </c>
      <c r="M19" t="s">
        <v>731</v>
      </c>
    </row>
    <row r="20" spans="1:13" x14ac:dyDescent="0.25">
      <c r="A20">
        <v>19</v>
      </c>
      <c r="B20">
        <v>31</v>
      </c>
      <c r="D20">
        <v>15</v>
      </c>
      <c r="E20" t="s">
        <v>326</v>
      </c>
      <c r="F20" t="s">
        <v>650</v>
      </c>
      <c r="H20">
        <v>55.36</v>
      </c>
      <c r="K20">
        <v>15</v>
      </c>
      <c r="L20" t="s">
        <v>242</v>
      </c>
      <c r="M20" t="s">
        <v>731</v>
      </c>
    </row>
    <row r="21" spans="1:13" x14ac:dyDescent="0.25">
      <c r="A21">
        <v>20</v>
      </c>
      <c r="B21">
        <v>31</v>
      </c>
      <c r="D21">
        <v>16</v>
      </c>
      <c r="E21" t="s">
        <v>325</v>
      </c>
      <c r="F21" t="s">
        <v>651</v>
      </c>
      <c r="H21">
        <v>5.5359999999999996</v>
      </c>
      <c r="K21">
        <v>15</v>
      </c>
      <c r="L21" t="s">
        <v>242</v>
      </c>
      <c r="M21" t="s">
        <v>731</v>
      </c>
    </row>
    <row r="22" spans="1:13" x14ac:dyDescent="0.25">
      <c r="A22">
        <v>21</v>
      </c>
      <c r="B22">
        <v>31</v>
      </c>
      <c r="D22">
        <v>17</v>
      </c>
      <c r="E22" t="s">
        <v>401</v>
      </c>
      <c r="F22" t="s">
        <v>650</v>
      </c>
      <c r="H22">
        <v>275</v>
      </c>
      <c r="K22" t="s">
        <v>424</v>
      </c>
      <c r="L22" t="s">
        <v>243</v>
      </c>
      <c r="M22" t="s">
        <v>731</v>
      </c>
    </row>
    <row r="23" spans="1:13" x14ac:dyDescent="0.25">
      <c r="A23">
        <v>22</v>
      </c>
      <c r="B23">
        <v>31</v>
      </c>
      <c r="D23">
        <v>18</v>
      </c>
      <c r="E23" t="s">
        <v>400</v>
      </c>
      <c r="F23" t="s">
        <v>651</v>
      </c>
      <c r="H23">
        <v>27.5</v>
      </c>
      <c r="K23" t="s">
        <v>424</v>
      </c>
      <c r="L23" t="s">
        <v>243</v>
      </c>
      <c r="M23" t="s">
        <v>731</v>
      </c>
    </row>
    <row r="24" spans="1:13" x14ac:dyDescent="0.25">
      <c r="A24">
        <v>23</v>
      </c>
      <c r="B24">
        <v>31</v>
      </c>
      <c r="D24">
        <v>19</v>
      </c>
      <c r="E24" t="s">
        <v>362</v>
      </c>
      <c r="F24" t="s">
        <v>650</v>
      </c>
      <c r="H24">
        <v>58.93</v>
      </c>
      <c r="K24">
        <v>12</v>
      </c>
      <c r="L24" t="s">
        <v>244</v>
      </c>
      <c r="M24" t="s">
        <v>731</v>
      </c>
    </row>
    <row r="25" spans="1:13" x14ac:dyDescent="0.25">
      <c r="A25">
        <v>24</v>
      </c>
      <c r="B25">
        <v>31</v>
      </c>
      <c r="D25">
        <v>20</v>
      </c>
      <c r="E25" t="s">
        <v>361</v>
      </c>
      <c r="F25" t="s">
        <v>651</v>
      </c>
      <c r="H25">
        <v>5.8929999999999998</v>
      </c>
      <c r="K25">
        <v>12</v>
      </c>
      <c r="L25" t="s">
        <v>244</v>
      </c>
      <c r="M25" t="s">
        <v>731</v>
      </c>
    </row>
    <row r="26" spans="1:13" x14ac:dyDescent="0.25">
      <c r="A26">
        <v>25</v>
      </c>
      <c r="B26">
        <v>31</v>
      </c>
      <c r="D26">
        <v>21</v>
      </c>
      <c r="E26" t="s">
        <v>475</v>
      </c>
      <c r="F26" t="s">
        <v>650</v>
      </c>
      <c r="H26">
        <v>96.43</v>
      </c>
      <c r="K26" t="s">
        <v>424</v>
      </c>
      <c r="L26" t="s">
        <v>286</v>
      </c>
      <c r="M26" t="s">
        <v>731</v>
      </c>
    </row>
    <row r="27" spans="1:13" x14ac:dyDescent="0.25">
      <c r="A27">
        <v>26</v>
      </c>
      <c r="B27">
        <v>31</v>
      </c>
      <c r="D27">
        <v>22</v>
      </c>
      <c r="E27" t="s">
        <v>474</v>
      </c>
      <c r="F27" t="s">
        <v>651</v>
      </c>
      <c r="H27">
        <v>9.6430000000000007</v>
      </c>
      <c r="K27" t="s">
        <v>424</v>
      </c>
      <c r="L27" t="s">
        <v>286</v>
      </c>
      <c r="M27" t="s">
        <v>731</v>
      </c>
    </row>
    <row r="28" spans="1:13" x14ac:dyDescent="0.25">
      <c r="A28">
        <v>27</v>
      </c>
      <c r="B28">
        <v>31</v>
      </c>
      <c r="D28">
        <v>23</v>
      </c>
      <c r="E28" t="s">
        <v>473</v>
      </c>
      <c r="F28" t="s">
        <v>650</v>
      </c>
      <c r="H28">
        <v>66.069999999999993</v>
      </c>
      <c r="K28">
        <v>15</v>
      </c>
      <c r="L28" t="s">
        <v>282</v>
      </c>
      <c r="M28" t="s">
        <v>731</v>
      </c>
    </row>
    <row r="29" spans="1:13" x14ac:dyDescent="0.25">
      <c r="A29">
        <v>28</v>
      </c>
      <c r="B29">
        <v>31</v>
      </c>
      <c r="D29">
        <v>24</v>
      </c>
      <c r="E29" t="s">
        <v>472</v>
      </c>
      <c r="F29" t="s">
        <v>651</v>
      </c>
      <c r="H29">
        <v>6.6070000000000002</v>
      </c>
      <c r="K29">
        <v>15</v>
      </c>
      <c r="L29" t="s">
        <v>282</v>
      </c>
      <c r="M29" t="s">
        <v>731</v>
      </c>
    </row>
    <row r="30" spans="1:13" x14ac:dyDescent="0.25">
      <c r="A30">
        <v>29</v>
      </c>
      <c r="B30">
        <v>31</v>
      </c>
      <c r="D30">
        <v>25</v>
      </c>
      <c r="E30" t="s">
        <v>292</v>
      </c>
      <c r="F30" t="s">
        <v>651</v>
      </c>
      <c r="H30">
        <v>5.5359999999999996</v>
      </c>
      <c r="K30">
        <v>15</v>
      </c>
      <c r="L30" t="s">
        <v>256</v>
      </c>
      <c r="M30" t="s">
        <v>731</v>
      </c>
    </row>
    <row r="31" spans="1:13" x14ac:dyDescent="0.25">
      <c r="A31">
        <v>30</v>
      </c>
      <c r="B31">
        <v>31</v>
      </c>
      <c r="D31">
        <v>26</v>
      </c>
      <c r="E31" t="s">
        <v>293</v>
      </c>
      <c r="F31" t="s">
        <v>650</v>
      </c>
      <c r="H31">
        <v>55.36</v>
      </c>
      <c r="K31">
        <v>15</v>
      </c>
      <c r="L31" t="s">
        <v>256</v>
      </c>
      <c r="M31" t="s">
        <v>731</v>
      </c>
    </row>
    <row r="32" spans="1:13" x14ac:dyDescent="0.25">
      <c r="A32">
        <v>31</v>
      </c>
      <c r="B32">
        <v>31</v>
      </c>
      <c r="D32">
        <v>27</v>
      </c>
      <c r="E32" t="s">
        <v>294</v>
      </c>
      <c r="F32" t="s">
        <v>651</v>
      </c>
      <c r="H32">
        <v>5.5359999999999996</v>
      </c>
      <c r="K32">
        <v>15</v>
      </c>
      <c r="L32" t="s">
        <v>288</v>
      </c>
      <c r="M32" t="s">
        <v>731</v>
      </c>
    </row>
    <row r="33" spans="1:13" x14ac:dyDescent="0.25">
      <c r="A33">
        <v>32</v>
      </c>
      <c r="B33">
        <v>31</v>
      </c>
      <c r="D33">
        <v>28</v>
      </c>
      <c r="E33" t="s">
        <v>295</v>
      </c>
      <c r="F33" t="s">
        <v>650</v>
      </c>
      <c r="H33">
        <v>55.36</v>
      </c>
      <c r="K33">
        <v>15</v>
      </c>
      <c r="L33" t="s">
        <v>288</v>
      </c>
      <c r="M33" t="s">
        <v>731</v>
      </c>
    </row>
    <row r="34" spans="1:13" x14ac:dyDescent="0.25">
      <c r="A34">
        <v>33</v>
      </c>
      <c r="B34">
        <v>31</v>
      </c>
      <c r="D34">
        <v>29</v>
      </c>
      <c r="E34" t="s">
        <v>296</v>
      </c>
      <c r="F34" t="s">
        <v>651</v>
      </c>
      <c r="H34">
        <v>5.5359999999999996</v>
      </c>
      <c r="K34">
        <v>15</v>
      </c>
      <c r="L34" t="s">
        <v>259</v>
      </c>
      <c r="M34" t="s">
        <v>731</v>
      </c>
    </row>
    <row r="35" spans="1:13" x14ac:dyDescent="0.25">
      <c r="A35">
        <v>34</v>
      </c>
      <c r="B35">
        <v>31</v>
      </c>
      <c r="D35">
        <v>30</v>
      </c>
      <c r="E35" t="s">
        <v>297</v>
      </c>
      <c r="F35" t="s">
        <v>651</v>
      </c>
      <c r="H35">
        <v>6.25</v>
      </c>
      <c r="K35">
        <v>15</v>
      </c>
      <c r="L35" t="s">
        <v>259</v>
      </c>
      <c r="M35" t="s">
        <v>731</v>
      </c>
    </row>
    <row r="36" spans="1:13" x14ac:dyDescent="0.25">
      <c r="A36">
        <v>35</v>
      </c>
      <c r="B36">
        <v>31</v>
      </c>
      <c r="D36">
        <v>31</v>
      </c>
      <c r="E36" t="s">
        <v>298</v>
      </c>
      <c r="F36" t="s">
        <v>650</v>
      </c>
      <c r="H36">
        <v>55.36</v>
      </c>
      <c r="K36">
        <v>15</v>
      </c>
      <c r="L36" t="s">
        <v>259</v>
      </c>
      <c r="M36" t="s">
        <v>731</v>
      </c>
    </row>
    <row r="37" spans="1:13" x14ac:dyDescent="0.25">
      <c r="A37">
        <v>36</v>
      </c>
      <c r="B37">
        <v>31</v>
      </c>
      <c r="D37">
        <v>32</v>
      </c>
      <c r="E37" t="s">
        <v>299</v>
      </c>
      <c r="F37" t="s">
        <v>650</v>
      </c>
      <c r="H37">
        <v>62.5</v>
      </c>
      <c r="K37">
        <v>15</v>
      </c>
      <c r="L37" t="s">
        <v>259</v>
      </c>
      <c r="M37" t="s">
        <v>731</v>
      </c>
    </row>
    <row r="38" spans="1:13" x14ac:dyDescent="0.25">
      <c r="A38">
        <v>37</v>
      </c>
      <c r="B38">
        <v>31</v>
      </c>
      <c r="D38">
        <v>33</v>
      </c>
      <c r="E38" t="s">
        <v>300</v>
      </c>
      <c r="F38" t="s">
        <v>650</v>
      </c>
      <c r="H38">
        <v>66.67</v>
      </c>
      <c r="I38">
        <v>30</v>
      </c>
      <c r="K38">
        <v>15</v>
      </c>
      <c r="L38" t="s">
        <v>289</v>
      </c>
      <c r="M38" t="s">
        <v>731</v>
      </c>
    </row>
    <row r="39" spans="1:13" x14ac:dyDescent="0.25">
      <c r="A39">
        <v>38</v>
      </c>
      <c r="B39">
        <v>31</v>
      </c>
      <c r="D39">
        <v>34</v>
      </c>
      <c r="E39" t="s">
        <v>301</v>
      </c>
      <c r="F39" t="s">
        <v>651</v>
      </c>
      <c r="H39">
        <v>5.5359999999999996</v>
      </c>
      <c r="K39">
        <v>15</v>
      </c>
      <c r="L39" t="s">
        <v>247</v>
      </c>
      <c r="M39" t="s">
        <v>731</v>
      </c>
    </row>
    <row r="40" spans="1:13" x14ac:dyDescent="0.25">
      <c r="A40">
        <v>39</v>
      </c>
      <c r="B40">
        <v>31</v>
      </c>
      <c r="D40">
        <v>35</v>
      </c>
      <c r="E40" t="s">
        <v>302</v>
      </c>
      <c r="F40" t="s">
        <v>650</v>
      </c>
      <c r="H40">
        <v>55.36</v>
      </c>
      <c r="K40">
        <v>15</v>
      </c>
      <c r="L40" t="s">
        <v>247</v>
      </c>
      <c r="M40" t="s">
        <v>731</v>
      </c>
    </row>
    <row r="41" spans="1:13" x14ac:dyDescent="0.25">
      <c r="A41">
        <v>40</v>
      </c>
      <c r="B41">
        <v>31</v>
      </c>
      <c r="D41">
        <v>36</v>
      </c>
      <c r="E41" t="s">
        <v>303</v>
      </c>
      <c r="F41" t="s">
        <v>651</v>
      </c>
      <c r="H41">
        <v>5.5359999999999996</v>
      </c>
      <c r="K41">
        <v>15</v>
      </c>
      <c r="L41" t="s">
        <v>284</v>
      </c>
      <c r="M41" t="s">
        <v>731</v>
      </c>
    </row>
    <row r="42" spans="1:13" x14ac:dyDescent="0.25">
      <c r="A42">
        <v>41</v>
      </c>
      <c r="B42">
        <v>31</v>
      </c>
      <c r="D42">
        <v>37</v>
      </c>
      <c r="E42" t="s">
        <v>304</v>
      </c>
      <c r="F42" t="s">
        <v>650</v>
      </c>
      <c r="H42">
        <v>55.36</v>
      </c>
      <c r="K42">
        <v>15</v>
      </c>
      <c r="L42" t="s">
        <v>284</v>
      </c>
      <c r="M42" t="s">
        <v>731</v>
      </c>
    </row>
    <row r="43" spans="1:13" x14ac:dyDescent="0.25">
      <c r="A43">
        <v>42</v>
      </c>
      <c r="B43">
        <v>31</v>
      </c>
      <c r="D43">
        <v>38</v>
      </c>
      <c r="E43" t="s">
        <v>305</v>
      </c>
      <c r="F43" t="s">
        <v>651</v>
      </c>
      <c r="H43">
        <v>5.5359999999999996</v>
      </c>
      <c r="K43">
        <v>13</v>
      </c>
      <c r="L43" t="s">
        <v>280</v>
      </c>
      <c r="M43" t="s">
        <v>731</v>
      </c>
    </row>
    <row r="44" spans="1:13" x14ac:dyDescent="0.25">
      <c r="A44">
        <v>43</v>
      </c>
      <c r="B44">
        <v>31</v>
      </c>
      <c r="D44">
        <v>39</v>
      </c>
      <c r="E44" t="s">
        <v>306</v>
      </c>
      <c r="F44" t="s">
        <v>650</v>
      </c>
      <c r="H44">
        <v>55.36</v>
      </c>
      <c r="K44">
        <v>13</v>
      </c>
      <c r="L44" t="s">
        <v>280</v>
      </c>
      <c r="M44" t="s">
        <v>731</v>
      </c>
    </row>
    <row r="45" spans="1:13" x14ac:dyDescent="0.25">
      <c r="A45">
        <v>44</v>
      </c>
      <c r="B45">
        <v>31</v>
      </c>
      <c r="D45">
        <v>40</v>
      </c>
      <c r="E45" t="s">
        <v>307</v>
      </c>
      <c r="F45" t="s">
        <v>651</v>
      </c>
      <c r="H45">
        <v>5.5359999999999996</v>
      </c>
      <c r="K45">
        <v>15</v>
      </c>
      <c r="L45" t="s">
        <v>269</v>
      </c>
      <c r="M45" t="s">
        <v>731</v>
      </c>
    </row>
    <row r="46" spans="1:13" x14ac:dyDescent="0.25">
      <c r="A46">
        <v>45</v>
      </c>
      <c r="B46">
        <v>31</v>
      </c>
      <c r="D46">
        <v>41</v>
      </c>
      <c r="E46" t="s">
        <v>308</v>
      </c>
      <c r="F46" t="s">
        <v>650</v>
      </c>
      <c r="H46">
        <v>55.36</v>
      </c>
      <c r="K46">
        <v>15</v>
      </c>
      <c r="L46" t="s">
        <v>269</v>
      </c>
      <c r="M46" t="s">
        <v>731</v>
      </c>
    </row>
    <row r="47" spans="1:13" x14ac:dyDescent="0.25">
      <c r="A47">
        <v>46</v>
      </c>
      <c r="B47">
        <v>31</v>
      </c>
      <c r="D47">
        <v>42</v>
      </c>
      <c r="E47" t="s">
        <v>309</v>
      </c>
      <c r="F47" t="s">
        <v>651</v>
      </c>
      <c r="H47">
        <v>6.6070000000000002</v>
      </c>
      <c r="K47">
        <v>18</v>
      </c>
      <c r="L47" t="s">
        <v>258</v>
      </c>
      <c r="M47" t="s">
        <v>731</v>
      </c>
    </row>
    <row r="48" spans="1:13" x14ac:dyDescent="0.25">
      <c r="A48">
        <v>47</v>
      </c>
      <c r="B48">
        <v>31</v>
      </c>
      <c r="D48">
        <v>43</v>
      </c>
      <c r="E48" t="s">
        <v>310</v>
      </c>
      <c r="F48" t="s">
        <v>650</v>
      </c>
      <c r="H48">
        <v>66.069999999999993</v>
      </c>
      <c r="K48">
        <v>18</v>
      </c>
      <c r="L48" t="s">
        <v>258</v>
      </c>
      <c r="M48" t="s">
        <v>731</v>
      </c>
    </row>
    <row r="49" spans="1:13" x14ac:dyDescent="0.25">
      <c r="A49">
        <v>48</v>
      </c>
      <c r="B49">
        <v>31</v>
      </c>
      <c r="D49">
        <v>44</v>
      </c>
      <c r="E49" t="s">
        <v>311</v>
      </c>
      <c r="F49" t="s">
        <v>651</v>
      </c>
      <c r="H49">
        <v>5.5359999999999996</v>
      </c>
      <c r="K49">
        <v>15</v>
      </c>
      <c r="L49" t="s">
        <v>257</v>
      </c>
      <c r="M49" t="s">
        <v>731</v>
      </c>
    </row>
    <row r="50" spans="1:13" x14ac:dyDescent="0.25">
      <c r="A50">
        <v>49</v>
      </c>
      <c r="B50">
        <v>31</v>
      </c>
      <c r="D50">
        <v>45</v>
      </c>
      <c r="E50" t="s">
        <v>312</v>
      </c>
      <c r="F50" t="s">
        <v>650</v>
      </c>
      <c r="H50">
        <v>55.36</v>
      </c>
      <c r="K50">
        <v>15</v>
      </c>
      <c r="L50" t="s">
        <v>257</v>
      </c>
      <c r="M50" t="s">
        <v>731</v>
      </c>
    </row>
    <row r="51" spans="1:13" x14ac:dyDescent="0.25">
      <c r="A51">
        <v>50</v>
      </c>
      <c r="B51">
        <v>31</v>
      </c>
      <c r="D51">
        <v>46</v>
      </c>
      <c r="E51" t="s">
        <v>313</v>
      </c>
      <c r="F51" t="s">
        <v>651</v>
      </c>
      <c r="H51">
        <v>5.5359999999999996</v>
      </c>
      <c r="K51">
        <v>14.999999999999998</v>
      </c>
      <c r="L51" t="s">
        <v>266</v>
      </c>
      <c r="M51" t="s">
        <v>731</v>
      </c>
    </row>
    <row r="52" spans="1:13" x14ac:dyDescent="0.25">
      <c r="A52">
        <v>51</v>
      </c>
      <c r="B52">
        <v>31</v>
      </c>
      <c r="D52">
        <v>47</v>
      </c>
      <c r="E52" t="s">
        <v>314</v>
      </c>
      <c r="F52" t="s">
        <v>650</v>
      </c>
      <c r="H52">
        <v>55.36</v>
      </c>
      <c r="K52">
        <v>14.999999999999998</v>
      </c>
      <c r="L52" t="s">
        <v>266</v>
      </c>
      <c r="M52" t="s">
        <v>731</v>
      </c>
    </row>
    <row r="53" spans="1:13" x14ac:dyDescent="0.25">
      <c r="A53">
        <v>52</v>
      </c>
      <c r="B53">
        <v>31</v>
      </c>
      <c r="D53">
        <v>48</v>
      </c>
      <c r="E53" t="s">
        <v>315</v>
      </c>
      <c r="F53" t="s">
        <v>651</v>
      </c>
      <c r="H53">
        <v>6.25</v>
      </c>
      <c r="K53">
        <v>15</v>
      </c>
      <c r="L53" t="s">
        <v>275</v>
      </c>
      <c r="M53" t="s">
        <v>731</v>
      </c>
    </row>
    <row r="54" spans="1:13" x14ac:dyDescent="0.25">
      <c r="A54">
        <v>53</v>
      </c>
      <c r="B54">
        <v>31</v>
      </c>
      <c r="D54">
        <v>49</v>
      </c>
      <c r="E54" t="s">
        <v>316</v>
      </c>
      <c r="F54" t="s">
        <v>650</v>
      </c>
      <c r="H54">
        <v>62.5</v>
      </c>
      <c r="K54">
        <v>15</v>
      </c>
      <c r="L54" t="s">
        <v>275</v>
      </c>
      <c r="M54" t="s">
        <v>731</v>
      </c>
    </row>
    <row r="55" spans="1:13" x14ac:dyDescent="0.25">
      <c r="A55">
        <v>54</v>
      </c>
      <c r="B55">
        <v>31</v>
      </c>
      <c r="D55">
        <v>50</v>
      </c>
      <c r="E55" t="s">
        <v>317</v>
      </c>
      <c r="F55" t="s">
        <v>651</v>
      </c>
      <c r="H55">
        <v>5.5359999999999996</v>
      </c>
      <c r="K55">
        <v>15</v>
      </c>
      <c r="L55" t="s">
        <v>250</v>
      </c>
      <c r="M55" t="s">
        <v>731</v>
      </c>
    </row>
    <row r="56" spans="1:13" x14ac:dyDescent="0.25">
      <c r="A56">
        <v>55</v>
      </c>
      <c r="B56">
        <v>31</v>
      </c>
      <c r="D56">
        <v>51</v>
      </c>
      <c r="E56" t="s">
        <v>318</v>
      </c>
      <c r="F56" t="s">
        <v>650</v>
      </c>
      <c r="H56">
        <v>55.36</v>
      </c>
      <c r="K56">
        <v>15</v>
      </c>
      <c r="L56" t="s">
        <v>250</v>
      </c>
      <c r="M56" t="s">
        <v>731</v>
      </c>
    </row>
    <row r="57" spans="1:13" x14ac:dyDescent="0.25">
      <c r="A57">
        <v>56</v>
      </c>
      <c r="B57">
        <v>31</v>
      </c>
      <c r="D57">
        <v>52</v>
      </c>
      <c r="E57" t="s">
        <v>319</v>
      </c>
      <c r="F57" t="s">
        <v>651</v>
      </c>
      <c r="H57">
        <v>0</v>
      </c>
      <c r="K57">
        <v>15</v>
      </c>
      <c r="L57" t="s">
        <v>254</v>
      </c>
      <c r="M57" t="s">
        <v>731</v>
      </c>
    </row>
    <row r="58" spans="1:13" x14ac:dyDescent="0.25">
      <c r="A58">
        <v>57</v>
      </c>
      <c r="B58">
        <v>31</v>
      </c>
      <c r="D58">
        <v>53</v>
      </c>
      <c r="E58" t="s">
        <v>320</v>
      </c>
      <c r="F58" t="s">
        <v>650</v>
      </c>
      <c r="H58">
        <v>55.36</v>
      </c>
      <c r="K58">
        <v>15</v>
      </c>
      <c r="L58" t="s">
        <v>254</v>
      </c>
      <c r="M58" t="s">
        <v>731</v>
      </c>
    </row>
    <row r="59" spans="1:13" x14ac:dyDescent="0.25">
      <c r="A59">
        <v>58</v>
      </c>
      <c r="B59">
        <v>31</v>
      </c>
      <c r="D59">
        <v>54</v>
      </c>
      <c r="E59" t="s">
        <v>321</v>
      </c>
      <c r="F59" t="s">
        <v>651</v>
      </c>
      <c r="H59">
        <v>5.5359999999999996</v>
      </c>
      <c r="K59">
        <v>15</v>
      </c>
      <c r="L59" t="s">
        <v>285</v>
      </c>
      <c r="M59" t="s">
        <v>731</v>
      </c>
    </row>
    <row r="60" spans="1:13" x14ac:dyDescent="0.25">
      <c r="A60">
        <v>59</v>
      </c>
      <c r="B60">
        <v>31</v>
      </c>
      <c r="D60">
        <v>55</v>
      </c>
      <c r="E60" t="s">
        <v>322</v>
      </c>
      <c r="F60" t="s">
        <v>650</v>
      </c>
      <c r="H60">
        <v>55.36</v>
      </c>
      <c r="K60">
        <v>15</v>
      </c>
      <c r="L60" t="s">
        <v>285</v>
      </c>
      <c r="M60" t="s">
        <v>731</v>
      </c>
    </row>
    <row r="61" spans="1:13" x14ac:dyDescent="0.25">
      <c r="A61">
        <v>60</v>
      </c>
      <c r="B61">
        <v>31</v>
      </c>
      <c r="D61">
        <v>56</v>
      </c>
      <c r="E61" t="s">
        <v>323</v>
      </c>
      <c r="F61" t="s">
        <v>651</v>
      </c>
      <c r="H61">
        <v>5.5359999999999996</v>
      </c>
      <c r="K61">
        <v>12</v>
      </c>
      <c r="L61" t="s">
        <v>265</v>
      </c>
      <c r="M61" t="s">
        <v>731</v>
      </c>
    </row>
    <row r="62" spans="1:13" x14ac:dyDescent="0.25">
      <c r="A62">
        <v>61</v>
      </c>
      <c r="B62">
        <v>31</v>
      </c>
      <c r="D62">
        <v>57</v>
      </c>
      <c r="E62" t="s">
        <v>324</v>
      </c>
      <c r="F62" t="s">
        <v>650</v>
      </c>
      <c r="H62">
        <v>55.36</v>
      </c>
      <c r="K62">
        <v>12</v>
      </c>
      <c r="L62" t="s">
        <v>265</v>
      </c>
      <c r="M62" t="s">
        <v>731</v>
      </c>
    </row>
    <row r="63" spans="1:13" x14ac:dyDescent="0.25">
      <c r="A63">
        <v>62</v>
      </c>
      <c r="B63">
        <v>31</v>
      </c>
      <c r="D63">
        <v>58</v>
      </c>
      <c r="E63" t="s">
        <v>329</v>
      </c>
      <c r="F63" t="s">
        <v>651</v>
      </c>
      <c r="H63">
        <v>5.5359999999999996</v>
      </c>
      <c r="K63">
        <v>15</v>
      </c>
      <c r="L63" t="s">
        <v>249</v>
      </c>
      <c r="M63" t="s">
        <v>731</v>
      </c>
    </row>
    <row r="64" spans="1:13" x14ac:dyDescent="0.25">
      <c r="A64">
        <v>63</v>
      </c>
      <c r="B64">
        <v>31</v>
      </c>
      <c r="D64">
        <v>59</v>
      </c>
      <c r="E64" t="s">
        <v>330</v>
      </c>
      <c r="F64" t="s">
        <v>650</v>
      </c>
      <c r="H64">
        <v>55.36</v>
      </c>
      <c r="K64">
        <v>15</v>
      </c>
      <c r="L64" t="s">
        <v>249</v>
      </c>
      <c r="M64" t="s">
        <v>731</v>
      </c>
    </row>
    <row r="65" spans="1:13" x14ac:dyDescent="0.25">
      <c r="A65">
        <v>64</v>
      </c>
      <c r="B65">
        <v>31</v>
      </c>
      <c r="D65">
        <v>60</v>
      </c>
      <c r="E65" t="s">
        <v>331</v>
      </c>
      <c r="F65" t="s">
        <v>651</v>
      </c>
      <c r="H65">
        <v>5.5359999999999996</v>
      </c>
      <c r="K65">
        <v>15</v>
      </c>
      <c r="L65" t="s">
        <v>245</v>
      </c>
      <c r="M65" t="s">
        <v>731</v>
      </c>
    </row>
    <row r="66" spans="1:13" x14ac:dyDescent="0.25">
      <c r="A66">
        <v>65</v>
      </c>
      <c r="B66">
        <v>31</v>
      </c>
      <c r="D66">
        <v>61</v>
      </c>
      <c r="E66" t="s">
        <v>332</v>
      </c>
      <c r="F66" t="s">
        <v>650</v>
      </c>
      <c r="H66">
        <v>55.36</v>
      </c>
      <c r="K66">
        <v>15</v>
      </c>
      <c r="L66" t="s">
        <v>245</v>
      </c>
      <c r="M66" t="s">
        <v>731</v>
      </c>
    </row>
    <row r="67" spans="1:13" x14ac:dyDescent="0.25">
      <c r="A67">
        <v>66</v>
      </c>
      <c r="B67">
        <v>31</v>
      </c>
      <c r="D67">
        <v>62</v>
      </c>
      <c r="E67" t="s">
        <v>333</v>
      </c>
      <c r="F67" t="s">
        <v>649</v>
      </c>
      <c r="H67">
        <v>91.34</v>
      </c>
      <c r="K67">
        <v>12</v>
      </c>
      <c r="L67" t="s">
        <v>255</v>
      </c>
      <c r="M67" t="s">
        <v>731</v>
      </c>
    </row>
    <row r="68" spans="1:13" x14ac:dyDescent="0.25">
      <c r="A68">
        <v>67</v>
      </c>
      <c r="B68">
        <v>31</v>
      </c>
      <c r="D68">
        <v>63</v>
      </c>
      <c r="E68" t="s">
        <v>334</v>
      </c>
      <c r="F68" t="s">
        <v>649</v>
      </c>
      <c r="H68">
        <v>99.65</v>
      </c>
      <c r="K68">
        <v>12</v>
      </c>
      <c r="L68" t="s">
        <v>255</v>
      </c>
      <c r="M68" t="s">
        <v>731</v>
      </c>
    </row>
    <row r="69" spans="1:13" x14ac:dyDescent="0.25">
      <c r="A69">
        <v>68</v>
      </c>
      <c r="B69">
        <v>31</v>
      </c>
      <c r="D69">
        <v>64</v>
      </c>
      <c r="E69" t="s">
        <v>335</v>
      </c>
      <c r="F69" t="s">
        <v>651</v>
      </c>
      <c r="H69">
        <v>5.5359999999999996</v>
      </c>
      <c r="K69">
        <v>12</v>
      </c>
      <c r="L69" t="s">
        <v>255</v>
      </c>
      <c r="M69" t="s">
        <v>731</v>
      </c>
    </row>
    <row r="70" spans="1:13" x14ac:dyDescent="0.25">
      <c r="A70">
        <v>69</v>
      </c>
      <c r="B70">
        <v>31</v>
      </c>
      <c r="D70">
        <v>65</v>
      </c>
      <c r="E70" t="s">
        <v>336</v>
      </c>
      <c r="F70" t="s">
        <v>650</v>
      </c>
      <c r="H70">
        <v>55.36</v>
      </c>
      <c r="K70">
        <v>12</v>
      </c>
      <c r="L70" t="s">
        <v>255</v>
      </c>
      <c r="M70" t="s">
        <v>731</v>
      </c>
    </row>
    <row r="71" spans="1:13" x14ac:dyDescent="0.25">
      <c r="A71">
        <v>70</v>
      </c>
      <c r="B71">
        <v>31</v>
      </c>
      <c r="D71">
        <v>66</v>
      </c>
      <c r="E71" t="s">
        <v>337</v>
      </c>
      <c r="F71" t="s">
        <v>651</v>
      </c>
      <c r="H71">
        <v>4</v>
      </c>
      <c r="K71" t="s">
        <v>424</v>
      </c>
      <c r="L71" t="s">
        <v>287</v>
      </c>
      <c r="M71" t="s">
        <v>731</v>
      </c>
    </row>
    <row r="72" spans="1:13" x14ac:dyDescent="0.25">
      <c r="A72">
        <v>71</v>
      </c>
      <c r="B72">
        <v>31</v>
      </c>
      <c r="D72">
        <v>67</v>
      </c>
      <c r="E72" t="s">
        <v>338</v>
      </c>
      <c r="F72" t="s">
        <v>650</v>
      </c>
      <c r="H72">
        <v>40</v>
      </c>
      <c r="I72">
        <v>30</v>
      </c>
      <c r="K72" t="s">
        <v>424</v>
      </c>
      <c r="L72" t="s">
        <v>287</v>
      </c>
      <c r="M72" t="s">
        <v>731</v>
      </c>
    </row>
    <row r="73" spans="1:13" x14ac:dyDescent="0.25">
      <c r="A73">
        <v>72</v>
      </c>
      <c r="B73">
        <v>31</v>
      </c>
      <c r="D73">
        <v>68</v>
      </c>
      <c r="E73" t="s">
        <v>339</v>
      </c>
      <c r="F73" t="s">
        <v>651</v>
      </c>
      <c r="H73">
        <v>7.3330000000000002</v>
      </c>
      <c r="K73">
        <v>18</v>
      </c>
      <c r="L73" t="s">
        <v>253</v>
      </c>
      <c r="M73" t="s">
        <v>731</v>
      </c>
    </row>
    <row r="74" spans="1:13" x14ac:dyDescent="0.25">
      <c r="A74">
        <v>73</v>
      </c>
      <c r="B74">
        <v>31</v>
      </c>
      <c r="D74">
        <v>69</v>
      </c>
      <c r="E74" t="s">
        <v>340</v>
      </c>
      <c r="F74" t="s">
        <v>650</v>
      </c>
      <c r="H74">
        <v>73.33</v>
      </c>
      <c r="I74">
        <v>30</v>
      </c>
      <c r="K74">
        <v>18</v>
      </c>
      <c r="L74" t="s">
        <v>253</v>
      </c>
      <c r="M74" t="s">
        <v>731</v>
      </c>
    </row>
    <row r="75" spans="1:13" x14ac:dyDescent="0.25">
      <c r="A75">
        <v>74</v>
      </c>
      <c r="B75">
        <v>31</v>
      </c>
      <c r="D75">
        <v>70</v>
      </c>
      <c r="E75" t="s">
        <v>341</v>
      </c>
      <c r="F75" t="s">
        <v>651</v>
      </c>
      <c r="H75">
        <v>7.3330000000000002</v>
      </c>
      <c r="K75">
        <v>18</v>
      </c>
      <c r="L75" t="s">
        <v>251</v>
      </c>
      <c r="M75" t="s">
        <v>731</v>
      </c>
    </row>
    <row r="76" spans="1:13" x14ac:dyDescent="0.25">
      <c r="A76">
        <v>75</v>
      </c>
      <c r="B76">
        <v>31</v>
      </c>
      <c r="D76">
        <v>71</v>
      </c>
      <c r="E76" t="s">
        <v>342</v>
      </c>
      <c r="F76" t="s">
        <v>650</v>
      </c>
      <c r="H76">
        <v>73.33</v>
      </c>
      <c r="I76">
        <v>30</v>
      </c>
      <c r="K76">
        <v>18</v>
      </c>
      <c r="L76" t="s">
        <v>251</v>
      </c>
      <c r="M76" t="s">
        <v>731</v>
      </c>
    </row>
    <row r="77" spans="1:13" x14ac:dyDescent="0.25">
      <c r="A77">
        <v>76</v>
      </c>
      <c r="B77">
        <v>31</v>
      </c>
      <c r="D77">
        <v>72</v>
      </c>
      <c r="E77" t="s">
        <v>343</v>
      </c>
      <c r="F77" t="s">
        <v>651</v>
      </c>
      <c r="H77">
        <v>7.3330000000000002</v>
      </c>
      <c r="K77">
        <v>17.999999999999996</v>
      </c>
      <c r="L77" t="s">
        <v>277</v>
      </c>
      <c r="M77" t="s">
        <v>731</v>
      </c>
    </row>
    <row r="78" spans="1:13" x14ac:dyDescent="0.25">
      <c r="A78">
        <v>77</v>
      </c>
      <c r="B78">
        <v>31</v>
      </c>
      <c r="D78">
        <v>73</v>
      </c>
      <c r="E78" t="s">
        <v>344</v>
      </c>
      <c r="F78" t="s">
        <v>650</v>
      </c>
      <c r="H78">
        <v>73.33</v>
      </c>
      <c r="I78">
        <v>30</v>
      </c>
      <c r="K78">
        <v>17.999999999999996</v>
      </c>
      <c r="L78" t="s">
        <v>277</v>
      </c>
      <c r="M78" t="s">
        <v>731</v>
      </c>
    </row>
    <row r="79" spans="1:13" x14ac:dyDescent="0.25">
      <c r="A79">
        <v>78</v>
      </c>
      <c r="B79">
        <v>31</v>
      </c>
      <c r="D79">
        <v>74</v>
      </c>
      <c r="E79" t="s">
        <v>345</v>
      </c>
      <c r="F79" t="s">
        <v>651</v>
      </c>
      <c r="H79">
        <v>5.5359999999999996</v>
      </c>
      <c r="K79">
        <v>15</v>
      </c>
      <c r="L79" t="s">
        <v>276</v>
      </c>
      <c r="M79" t="s">
        <v>731</v>
      </c>
    </row>
    <row r="80" spans="1:13" x14ac:dyDescent="0.25">
      <c r="A80">
        <v>79</v>
      </c>
      <c r="B80">
        <v>31</v>
      </c>
      <c r="D80">
        <v>75</v>
      </c>
      <c r="E80" t="s">
        <v>346</v>
      </c>
      <c r="F80" t="s">
        <v>650</v>
      </c>
      <c r="H80">
        <v>55.36</v>
      </c>
      <c r="K80">
        <v>15</v>
      </c>
      <c r="L80" t="s">
        <v>276</v>
      </c>
      <c r="M80" t="s">
        <v>731</v>
      </c>
    </row>
    <row r="81" spans="1:13" x14ac:dyDescent="0.25">
      <c r="A81">
        <v>80</v>
      </c>
      <c r="B81">
        <v>31</v>
      </c>
      <c r="D81">
        <v>76</v>
      </c>
      <c r="E81" t="s">
        <v>349</v>
      </c>
      <c r="F81" t="s">
        <v>651</v>
      </c>
      <c r="H81">
        <v>5.5359999999999996</v>
      </c>
      <c r="K81">
        <v>15</v>
      </c>
      <c r="L81" t="s">
        <v>271</v>
      </c>
      <c r="M81" t="s">
        <v>731</v>
      </c>
    </row>
    <row r="82" spans="1:13" x14ac:dyDescent="0.25">
      <c r="A82">
        <v>81</v>
      </c>
      <c r="B82">
        <v>31</v>
      </c>
      <c r="D82">
        <v>77</v>
      </c>
      <c r="E82" t="s">
        <v>350</v>
      </c>
      <c r="F82" t="s">
        <v>650</v>
      </c>
      <c r="H82">
        <v>55.36</v>
      </c>
      <c r="K82">
        <v>15</v>
      </c>
      <c r="L82" t="s">
        <v>271</v>
      </c>
      <c r="M82" t="s">
        <v>731</v>
      </c>
    </row>
    <row r="83" spans="1:13" x14ac:dyDescent="0.25">
      <c r="A83">
        <v>82</v>
      </c>
      <c r="B83">
        <v>31</v>
      </c>
      <c r="D83">
        <v>78</v>
      </c>
      <c r="E83" t="s">
        <v>351</v>
      </c>
      <c r="F83" t="s">
        <v>651</v>
      </c>
      <c r="H83">
        <v>6.25</v>
      </c>
      <c r="K83">
        <v>15</v>
      </c>
      <c r="L83" t="s">
        <v>281</v>
      </c>
      <c r="M83" t="s">
        <v>731</v>
      </c>
    </row>
    <row r="84" spans="1:13" x14ac:dyDescent="0.25">
      <c r="A84">
        <v>83</v>
      </c>
      <c r="B84">
        <v>31</v>
      </c>
      <c r="D84">
        <v>79</v>
      </c>
      <c r="E84" t="s">
        <v>352</v>
      </c>
      <c r="F84" t="s">
        <v>650</v>
      </c>
      <c r="H84">
        <v>62.5</v>
      </c>
      <c r="K84">
        <v>15</v>
      </c>
      <c r="L84" t="s">
        <v>281</v>
      </c>
      <c r="M84" t="s">
        <v>731</v>
      </c>
    </row>
    <row r="85" spans="1:13" x14ac:dyDescent="0.25">
      <c r="A85">
        <v>84</v>
      </c>
      <c r="B85">
        <v>31</v>
      </c>
      <c r="D85">
        <v>80</v>
      </c>
      <c r="E85" t="s">
        <v>353</v>
      </c>
      <c r="F85" t="s">
        <v>651</v>
      </c>
      <c r="H85">
        <v>5.5359999999999996</v>
      </c>
      <c r="K85">
        <v>14.999999999999998</v>
      </c>
      <c r="L85" t="s">
        <v>273</v>
      </c>
      <c r="M85" t="s">
        <v>731</v>
      </c>
    </row>
    <row r="86" spans="1:13" x14ac:dyDescent="0.25">
      <c r="A86">
        <v>85</v>
      </c>
      <c r="B86">
        <v>31</v>
      </c>
      <c r="D86">
        <v>81</v>
      </c>
      <c r="E86" t="s">
        <v>354</v>
      </c>
      <c r="F86" t="s">
        <v>650</v>
      </c>
      <c r="H86">
        <v>55.36</v>
      </c>
      <c r="K86">
        <v>14.999999999999998</v>
      </c>
      <c r="L86" t="s">
        <v>273</v>
      </c>
      <c r="M86" t="s">
        <v>731</v>
      </c>
    </row>
    <row r="87" spans="1:13" x14ac:dyDescent="0.25">
      <c r="A87">
        <v>86</v>
      </c>
      <c r="B87">
        <v>31</v>
      </c>
      <c r="D87">
        <v>82</v>
      </c>
      <c r="E87" t="s">
        <v>355</v>
      </c>
      <c r="F87" t="s">
        <v>651</v>
      </c>
      <c r="H87">
        <v>7.3330000000000002</v>
      </c>
      <c r="K87">
        <v>17.999999999999996</v>
      </c>
      <c r="L87" t="s">
        <v>274</v>
      </c>
      <c r="M87" t="s">
        <v>731</v>
      </c>
    </row>
    <row r="88" spans="1:13" x14ac:dyDescent="0.25">
      <c r="A88">
        <v>87</v>
      </c>
      <c r="B88">
        <v>31</v>
      </c>
      <c r="D88">
        <v>83</v>
      </c>
      <c r="E88" t="s">
        <v>356</v>
      </c>
      <c r="F88" t="s">
        <v>650</v>
      </c>
      <c r="H88">
        <v>73.33</v>
      </c>
      <c r="I88">
        <v>30</v>
      </c>
      <c r="K88">
        <v>17.999999999999996</v>
      </c>
      <c r="L88" t="s">
        <v>274</v>
      </c>
      <c r="M88" t="s">
        <v>731</v>
      </c>
    </row>
    <row r="89" spans="1:13" x14ac:dyDescent="0.25">
      <c r="A89">
        <v>88</v>
      </c>
      <c r="B89">
        <v>31</v>
      </c>
      <c r="D89">
        <v>84</v>
      </c>
      <c r="E89" t="s">
        <v>359</v>
      </c>
      <c r="F89" t="s">
        <v>651</v>
      </c>
      <c r="H89">
        <v>4</v>
      </c>
      <c r="K89" t="s">
        <v>424</v>
      </c>
      <c r="L89" t="s">
        <v>262</v>
      </c>
      <c r="M89" t="s">
        <v>731</v>
      </c>
    </row>
    <row r="90" spans="1:13" x14ac:dyDescent="0.25">
      <c r="A90">
        <v>89</v>
      </c>
      <c r="B90">
        <v>31</v>
      </c>
      <c r="D90">
        <v>85</v>
      </c>
      <c r="E90" t="s">
        <v>360</v>
      </c>
      <c r="F90" t="s">
        <v>650</v>
      </c>
      <c r="H90">
        <v>40</v>
      </c>
      <c r="I90">
        <v>30</v>
      </c>
      <c r="K90" t="s">
        <v>424</v>
      </c>
      <c r="L90" t="s">
        <v>262</v>
      </c>
      <c r="M90" t="s">
        <v>731</v>
      </c>
    </row>
    <row r="91" spans="1:13" x14ac:dyDescent="0.25">
      <c r="A91">
        <v>90</v>
      </c>
      <c r="B91">
        <v>31</v>
      </c>
      <c r="D91">
        <v>86</v>
      </c>
      <c r="E91" t="s">
        <v>363</v>
      </c>
      <c r="F91" t="s">
        <v>651</v>
      </c>
      <c r="H91">
        <v>5.5359999999999996</v>
      </c>
      <c r="K91">
        <v>15</v>
      </c>
      <c r="L91" t="s">
        <v>270</v>
      </c>
      <c r="M91" t="s">
        <v>731</v>
      </c>
    </row>
    <row r="92" spans="1:13" x14ac:dyDescent="0.25">
      <c r="A92">
        <v>91</v>
      </c>
      <c r="B92">
        <v>31</v>
      </c>
      <c r="D92">
        <v>87</v>
      </c>
      <c r="E92" t="s">
        <v>364</v>
      </c>
      <c r="F92" t="s">
        <v>650</v>
      </c>
      <c r="H92">
        <v>55.36</v>
      </c>
      <c r="K92">
        <v>15</v>
      </c>
      <c r="L92" t="s">
        <v>270</v>
      </c>
      <c r="M92" t="s">
        <v>731</v>
      </c>
    </row>
    <row r="93" spans="1:13" x14ac:dyDescent="0.25">
      <c r="A93">
        <v>92</v>
      </c>
      <c r="B93">
        <v>31</v>
      </c>
      <c r="D93">
        <v>88</v>
      </c>
      <c r="E93" t="s">
        <v>365</v>
      </c>
      <c r="F93" t="s">
        <v>651</v>
      </c>
      <c r="H93">
        <v>4</v>
      </c>
      <c r="K93">
        <v>15</v>
      </c>
      <c r="L93" t="s">
        <v>455</v>
      </c>
      <c r="M93" t="s">
        <v>731</v>
      </c>
    </row>
    <row r="94" spans="1:13" x14ac:dyDescent="0.25">
      <c r="A94">
        <v>93</v>
      </c>
      <c r="B94">
        <v>31</v>
      </c>
      <c r="D94">
        <v>89</v>
      </c>
      <c r="E94" t="s">
        <v>366</v>
      </c>
      <c r="F94" t="s">
        <v>650</v>
      </c>
      <c r="H94">
        <v>40</v>
      </c>
      <c r="K94">
        <v>15</v>
      </c>
      <c r="L94" t="s">
        <v>455</v>
      </c>
      <c r="M94" t="s">
        <v>731</v>
      </c>
    </row>
    <row r="95" spans="1:13" x14ac:dyDescent="0.25">
      <c r="A95">
        <v>94</v>
      </c>
      <c r="B95">
        <v>31</v>
      </c>
      <c r="D95">
        <v>90</v>
      </c>
      <c r="E95" t="s">
        <v>367</v>
      </c>
      <c r="F95" t="s">
        <v>649</v>
      </c>
      <c r="H95">
        <v>91.34</v>
      </c>
      <c r="K95">
        <v>15</v>
      </c>
      <c r="L95" t="s">
        <v>248</v>
      </c>
      <c r="M95" t="s">
        <v>731</v>
      </c>
    </row>
    <row r="96" spans="1:13" x14ac:dyDescent="0.25">
      <c r="A96">
        <v>95</v>
      </c>
      <c r="B96">
        <v>31</v>
      </c>
      <c r="D96">
        <v>91</v>
      </c>
      <c r="E96" t="s">
        <v>368</v>
      </c>
      <c r="F96" t="s">
        <v>649</v>
      </c>
      <c r="H96">
        <v>99.647999999999996</v>
      </c>
      <c r="K96">
        <v>15</v>
      </c>
      <c r="L96" t="s">
        <v>248</v>
      </c>
      <c r="M96" t="s">
        <v>731</v>
      </c>
    </row>
    <row r="97" spans="1:13" x14ac:dyDescent="0.25">
      <c r="A97">
        <v>96</v>
      </c>
      <c r="B97">
        <v>31</v>
      </c>
      <c r="D97">
        <v>92</v>
      </c>
      <c r="E97" t="s">
        <v>369</v>
      </c>
      <c r="F97" t="s">
        <v>651</v>
      </c>
      <c r="H97">
        <v>5.5359999999999996</v>
      </c>
      <c r="K97">
        <v>15</v>
      </c>
      <c r="L97" t="s">
        <v>248</v>
      </c>
      <c r="M97" t="s">
        <v>731</v>
      </c>
    </row>
    <row r="98" spans="1:13" x14ac:dyDescent="0.25">
      <c r="A98">
        <v>97</v>
      </c>
      <c r="B98">
        <v>31</v>
      </c>
      <c r="D98">
        <v>93</v>
      </c>
      <c r="E98" t="s">
        <v>370</v>
      </c>
      <c r="F98" t="s">
        <v>650</v>
      </c>
      <c r="H98">
        <v>55.36</v>
      </c>
      <c r="K98">
        <v>15</v>
      </c>
      <c r="L98" t="s">
        <v>248</v>
      </c>
      <c r="M98" t="s">
        <v>731</v>
      </c>
    </row>
    <row r="99" spans="1:13" x14ac:dyDescent="0.25">
      <c r="A99">
        <v>98</v>
      </c>
      <c r="B99">
        <v>31</v>
      </c>
      <c r="D99">
        <v>94</v>
      </c>
      <c r="E99" t="s">
        <v>372</v>
      </c>
      <c r="F99" t="s">
        <v>650</v>
      </c>
      <c r="H99">
        <v>55.36</v>
      </c>
      <c r="K99">
        <v>15</v>
      </c>
      <c r="L99" t="s">
        <v>232</v>
      </c>
      <c r="M99" t="s">
        <v>731</v>
      </c>
    </row>
    <row r="100" spans="1:13" x14ac:dyDescent="0.25">
      <c r="A100">
        <v>99</v>
      </c>
      <c r="B100">
        <v>31</v>
      </c>
      <c r="D100">
        <v>95</v>
      </c>
      <c r="E100" t="s">
        <v>371</v>
      </c>
      <c r="F100" t="s">
        <v>651</v>
      </c>
      <c r="H100">
        <v>5.5359999999999996</v>
      </c>
      <c r="K100">
        <v>15</v>
      </c>
      <c r="L100" t="s">
        <v>232</v>
      </c>
      <c r="M100" t="s">
        <v>731</v>
      </c>
    </row>
    <row r="101" spans="1:13" x14ac:dyDescent="0.25">
      <c r="A101">
        <v>100</v>
      </c>
      <c r="B101">
        <v>31</v>
      </c>
      <c r="D101">
        <v>96</v>
      </c>
      <c r="E101" t="s">
        <v>373</v>
      </c>
      <c r="F101" t="s">
        <v>651</v>
      </c>
      <c r="H101">
        <v>5.5359999999999996</v>
      </c>
      <c r="K101">
        <v>15</v>
      </c>
      <c r="L101" t="s">
        <v>246</v>
      </c>
      <c r="M101" t="s">
        <v>731</v>
      </c>
    </row>
    <row r="102" spans="1:13" x14ac:dyDescent="0.25">
      <c r="A102">
        <v>101</v>
      </c>
      <c r="B102">
        <v>31</v>
      </c>
      <c r="D102">
        <v>97</v>
      </c>
      <c r="E102" t="s">
        <v>374</v>
      </c>
      <c r="F102" t="s">
        <v>650</v>
      </c>
      <c r="H102">
        <v>55.36</v>
      </c>
      <c r="K102">
        <v>15</v>
      </c>
      <c r="L102" t="s">
        <v>246</v>
      </c>
      <c r="M102" t="s">
        <v>731</v>
      </c>
    </row>
    <row r="103" spans="1:13" x14ac:dyDescent="0.25">
      <c r="A103">
        <v>102</v>
      </c>
      <c r="B103">
        <v>31</v>
      </c>
      <c r="D103">
        <v>98</v>
      </c>
      <c r="E103" t="s">
        <v>375</v>
      </c>
      <c r="F103" t="s">
        <v>649</v>
      </c>
      <c r="H103">
        <v>99.65</v>
      </c>
      <c r="K103">
        <v>15</v>
      </c>
      <c r="L103" t="s">
        <v>263</v>
      </c>
      <c r="M103" t="s">
        <v>731</v>
      </c>
    </row>
    <row r="104" spans="1:13" x14ac:dyDescent="0.25">
      <c r="A104">
        <v>103</v>
      </c>
      <c r="B104">
        <v>31</v>
      </c>
      <c r="D104">
        <v>99</v>
      </c>
      <c r="E104" t="s">
        <v>376</v>
      </c>
      <c r="F104" t="s">
        <v>651</v>
      </c>
      <c r="H104">
        <v>5.5359999999999996</v>
      </c>
      <c r="K104">
        <v>15</v>
      </c>
      <c r="L104" t="s">
        <v>263</v>
      </c>
      <c r="M104" t="s">
        <v>731</v>
      </c>
    </row>
    <row r="105" spans="1:13" x14ac:dyDescent="0.25">
      <c r="A105">
        <v>104</v>
      </c>
      <c r="B105">
        <v>31</v>
      </c>
      <c r="D105">
        <v>100</v>
      </c>
      <c r="E105" t="s">
        <v>377</v>
      </c>
      <c r="F105" t="s">
        <v>650</v>
      </c>
      <c r="H105">
        <v>55.36</v>
      </c>
      <c r="K105">
        <v>15</v>
      </c>
      <c r="L105" t="s">
        <v>263</v>
      </c>
      <c r="M105" t="s">
        <v>731</v>
      </c>
    </row>
    <row r="106" spans="1:13" x14ac:dyDescent="0.25">
      <c r="A106">
        <v>105</v>
      </c>
      <c r="B106">
        <v>31</v>
      </c>
      <c r="D106">
        <v>101</v>
      </c>
      <c r="E106" t="s">
        <v>381</v>
      </c>
      <c r="F106" t="s">
        <v>650</v>
      </c>
      <c r="H106">
        <v>66.069999999999993</v>
      </c>
      <c r="K106">
        <v>15</v>
      </c>
      <c r="L106" t="s">
        <v>279</v>
      </c>
      <c r="M106" t="s">
        <v>731</v>
      </c>
    </row>
    <row r="107" spans="1:13" x14ac:dyDescent="0.25">
      <c r="A107">
        <v>106</v>
      </c>
      <c r="B107">
        <v>31</v>
      </c>
      <c r="D107">
        <v>102</v>
      </c>
      <c r="E107" t="s">
        <v>380</v>
      </c>
      <c r="F107" t="s">
        <v>651</v>
      </c>
      <c r="H107">
        <v>6.6070000000000002</v>
      </c>
      <c r="K107">
        <v>15</v>
      </c>
      <c r="L107" t="s">
        <v>279</v>
      </c>
      <c r="M107" t="s">
        <v>731</v>
      </c>
    </row>
    <row r="108" spans="1:13" x14ac:dyDescent="0.25">
      <c r="A108">
        <v>107</v>
      </c>
      <c r="B108">
        <v>31</v>
      </c>
      <c r="D108">
        <v>103</v>
      </c>
      <c r="E108" t="s">
        <v>382</v>
      </c>
      <c r="F108" t="s">
        <v>651</v>
      </c>
      <c r="H108">
        <v>6.25</v>
      </c>
      <c r="K108">
        <v>15</v>
      </c>
      <c r="L108" t="s">
        <v>283</v>
      </c>
      <c r="M108" t="s">
        <v>731</v>
      </c>
    </row>
    <row r="109" spans="1:13" x14ac:dyDescent="0.25">
      <c r="A109">
        <v>108</v>
      </c>
      <c r="B109">
        <v>31</v>
      </c>
      <c r="D109">
        <v>104</v>
      </c>
      <c r="E109" t="s">
        <v>383</v>
      </c>
      <c r="F109" t="s">
        <v>650</v>
      </c>
      <c r="H109">
        <v>62.5</v>
      </c>
      <c r="K109">
        <v>15</v>
      </c>
      <c r="L109" t="s">
        <v>283</v>
      </c>
      <c r="M109" t="s">
        <v>731</v>
      </c>
    </row>
    <row r="110" spans="1:13" x14ac:dyDescent="0.25">
      <c r="A110">
        <v>109</v>
      </c>
      <c r="B110">
        <v>31</v>
      </c>
      <c r="D110">
        <v>105</v>
      </c>
      <c r="E110" t="s">
        <v>386</v>
      </c>
      <c r="F110" t="s">
        <v>651</v>
      </c>
      <c r="H110">
        <v>5.5359999999999996</v>
      </c>
      <c r="K110">
        <v>15</v>
      </c>
      <c r="L110" t="s">
        <v>272</v>
      </c>
      <c r="M110" t="s">
        <v>731</v>
      </c>
    </row>
    <row r="111" spans="1:13" x14ac:dyDescent="0.25">
      <c r="A111">
        <v>110</v>
      </c>
      <c r="B111">
        <v>31</v>
      </c>
      <c r="D111">
        <v>106</v>
      </c>
      <c r="E111" t="s">
        <v>387</v>
      </c>
      <c r="F111" t="s">
        <v>650</v>
      </c>
      <c r="H111">
        <v>55.36</v>
      </c>
      <c r="K111">
        <v>15</v>
      </c>
      <c r="L111" t="s">
        <v>272</v>
      </c>
      <c r="M111" t="s">
        <v>731</v>
      </c>
    </row>
    <row r="112" spans="1:13" x14ac:dyDescent="0.25">
      <c r="A112">
        <v>111</v>
      </c>
      <c r="B112">
        <v>31</v>
      </c>
      <c r="D112">
        <v>107</v>
      </c>
      <c r="E112" t="s">
        <v>390</v>
      </c>
      <c r="F112" t="s">
        <v>651</v>
      </c>
      <c r="H112">
        <v>5.5359999999999996</v>
      </c>
      <c r="K112">
        <v>15</v>
      </c>
      <c r="L112" t="s">
        <v>267</v>
      </c>
      <c r="M112" t="s">
        <v>731</v>
      </c>
    </row>
    <row r="113" spans="1:13" x14ac:dyDescent="0.25">
      <c r="A113">
        <v>112</v>
      </c>
      <c r="B113">
        <v>31</v>
      </c>
      <c r="D113">
        <v>108</v>
      </c>
      <c r="E113" t="s">
        <v>391</v>
      </c>
      <c r="F113" t="s">
        <v>650</v>
      </c>
      <c r="H113">
        <v>55.36</v>
      </c>
      <c r="K113">
        <v>15</v>
      </c>
      <c r="L113" t="s">
        <v>267</v>
      </c>
      <c r="M113" t="s">
        <v>731</v>
      </c>
    </row>
    <row r="114" spans="1:13" x14ac:dyDescent="0.25">
      <c r="A114">
        <v>113</v>
      </c>
      <c r="B114">
        <v>31</v>
      </c>
      <c r="D114">
        <v>109</v>
      </c>
      <c r="E114" t="s">
        <v>393</v>
      </c>
      <c r="F114" t="s">
        <v>650</v>
      </c>
      <c r="H114">
        <v>55.36</v>
      </c>
      <c r="K114">
        <v>15</v>
      </c>
      <c r="L114" t="s">
        <v>234</v>
      </c>
      <c r="M114" t="s">
        <v>731</v>
      </c>
    </row>
    <row r="115" spans="1:13" x14ac:dyDescent="0.25">
      <c r="A115">
        <v>114</v>
      </c>
      <c r="B115">
        <v>31</v>
      </c>
      <c r="D115">
        <v>110</v>
      </c>
      <c r="E115" t="s">
        <v>392</v>
      </c>
      <c r="F115" t="s">
        <v>651</v>
      </c>
      <c r="H115">
        <v>5.5359999999999996</v>
      </c>
      <c r="K115">
        <v>15</v>
      </c>
      <c r="L115" t="s">
        <v>234</v>
      </c>
      <c r="M115" t="s">
        <v>731</v>
      </c>
    </row>
    <row r="116" spans="1:13" x14ac:dyDescent="0.25">
      <c r="A116">
        <v>115</v>
      </c>
      <c r="B116">
        <v>31</v>
      </c>
      <c r="D116">
        <v>111</v>
      </c>
      <c r="E116" t="s">
        <v>394</v>
      </c>
      <c r="F116" t="s">
        <v>651</v>
      </c>
      <c r="H116">
        <v>5.5359999999999996</v>
      </c>
      <c r="K116">
        <v>15</v>
      </c>
      <c r="L116" t="s">
        <v>252</v>
      </c>
      <c r="M116" t="s">
        <v>731</v>
      </c>
    </row>
    <row r="117" spans="1:13" x14ac:dyDescent="0.25">
      <c r="A117">
        <v>116</v>
      </c>
      <c r="B117">
        <v>31</v>
      </c>
      <c r="D117">
        <v>112</v>
      </c>
      <c r="E117" t="s">
        <v>395</v>
      </c>
      <c r="F117" t="s">
        <v>650</v>
      </c>
      <c r="H117">
        <v>55.36</v>
      </c>
      <c r="K117">
        <v>15</v>
      </c>
      <c r="L117" t="s">
        <v>252</v>
      </c>
      <c r="M117" t="s">
        <v>731</v>
      </c>
    </row>
    <row r="118" spans="1:13" x14ac:dyDescent="0.25">
      <c r="A118">
        <v>117</v>
      </c>
      <c r="B118">
        <v>31</v>
      </c>
      <c r="D118">
        <v>113</v>
      </c>
      <c r="E118" t="s">
        <v>396</v>
      </c>
      <c r="F118" t="s">
        <v>651</v>
      </c>
      <c r="H118">
        <v>5.8929999999999998</v>
      </c>
      <c r="K118">
        <v>12</v>
      </c>
      <c r="L118" t="s">
        <v>278</v>
      </c>
      <c r="M118" t="s">
        <v>731</v>
      </c>
    </row>
    <row r="119" spans="1:13" x14ac:dyDescent="0.25">
      <c r="A119">
        <v>118</v>
      </c>
      <c r="B119">
        <v>31</v>
      </c>
      <c r="D119">
        <v>114</v>
      </c>
      <c r="E119" t="s">
        <v>397</v>
      </c>
      <c r="F119" t="s">
        <v>650</v>
      </c>
      <c r="H119">
        <v>58.93</v>
      </c>
      <c r="K119">
        <v>12</v>
      </c>
      <c r="L119" t="s">
        <v>278</v>
      </c>
      <c r="M119" t="s">
        <v>731</v>
      </c>
    </row>
    <row r="120" spans="1:13" x14ac:dyDescent="0.25">
      <c r="A120">
        <v>119</v>
      </c>
      <c r="B120">
        <v>31</v>
      </c>
      <c r="D120">
        <v>115</v>
      </c>
      <c r="E120" t="s">
        <v>398</v>
      </c>
      <c r="F120" t="s">
        <v>651</v>
      </c>
      <c r="H120">
        <v>5.5359999999999996</v>
      </c>
      <c r="K120">
        <v>15</v>
      </c>
      <c r="L120" t="s">
        <v>268</v>
      </c>
      <c r="M120" t="s">
        <v>731</v>
      </c>
    </row>
    <row r="121" spans="1:13" x14ac:dyDescent="0.25">
      <c r="A121">
        <v>120</v>
      </c>
      <c r="B121">
        <v>31</v>
      </c>
      <c r="D121">
        <v>116</v>
      </c>
      <c r="E121" t="s">
        <v>399</v>
      </c>
      <c r="F121" t="s">
        <v>650</v>
      </c>
      <c r="H121">
        <v>55.36</v>
      </c>
      <c r="K121">
        <v>15</v>
      </c>
      <c r="L121" t="s">
        <v>268</v>
      </c>
      <c r="M121" t="s">
        <v>731</v>
      </c>
    </row>
    <row r="122" spans="1:13" x14ac:dyDescent="0.25">
      <c r="A122">
        <v>121</v>
      </c>
      <c r="B122">
        <v>31</v>
      </c>
      <c r="D122">
        <v>117</v>
      </c>
      <c r="E122" t="s">
        <v>421</v>
      </c>
      <c r="F122" t="s">
        <v>651</v>
      </c>
      <c r="H122">
        <v>27.5</v>
      </c>
      <c r="K122" t="s">
        <v>424</v>
      </c>
      <c r="L122" t="s">
        <v>264</v>
      </c>
      <c r="M122" t="s">
        <v>731</v>
      </c>
    </row>
    <row r="123" spans="1:13" x14ac:dyDescent="0.25">
      <c r="A123">
        <v>122</v>
      </c>
      <c r="B123">
        <v>31</v>
      </c>
      <c r="D123">
        <v>118</v>
      </c>
      <c r="E123" t="s">
        <v>422</v>
      </c>
      <c r="F123" t="s">
        <v>650</v>
      </c>
      <c r="H123">
        <v>275</v>
      </c>
      <c r="K123" t="s">
        <v>424</v>
      </c>
      <c r="L123" t="s">
        <v>264</v>
      </c>
      <c r="M123" t="s">
        <v>731</v>
      </c>
    </row>
    <row r="124" spans="1:13" x14ac:dyDescent="0.25">
      <c r="A124">
        <v>123</v>
      </c>
      <c r="B124">
        <v>31</v>
      </c>
      <c r="D124">
        <v>119</v>
      </c>
      <c r="E124" t="s">
        <v>461</v>
      </c>
      <c r="F124" t="s">
        <v>650</v>
      </c>
      <c r="H124">
        <v>62.5</v>
      </c>
      <c r="K124">
        <v>15</v>
      </c>
      <c r="L124" t="s">
        <v>456</v>
      </c>
      <c r="M124" t="s">
        <v>731</v>
      </c>
    </row>
    <row r="125" spans="1:13" x14ac:dyDescent="0.25">
      <c r="A125">
        <v>124</v>
      </c>
      <c r="B125">
        <v>31</v>
      </c>
      <c r="D125">
        <v>120</v>
      </c>
      <c r="E125" t="s">
        <v>460</v>
      </c>
      <c r="F125" t="s">
        <v>651</v>
      </c>
      <c r="H125">
        <v>6.25</v>
      </c>
      <c r="K125">
        <v>15</v>
      </c>
      <c r="L125" t="s">
        <v>456</v>
      </c>
      <c r="M125" t="s">
        <v>731</v>
      </c>
    </row>
    <row r="126" spans="1:13" x14ac:dyDescent="0.25">
      <c r="A126">
        <v>125</v>
      </c>
      <c r="B126">
        <v>31</v>
      </c>
      <c r="D126">
        <v>121</v>
      </c>
      <c r="E126" t="s">
        <v>463</v>
      </c>
      <c r="F126" t="s">
        <v>650</v>
      </c>
      <c r="H126">
        <v>62.5</v>
      </c>
      <c r="K126">
        <v>15</v>
      </c>
      <c r="L126" t="s">
        <v>458</v>
      </c>
      <c r="M126" t="s">
        <v>731</v>
      </c>
    </row>
    <row r="127" spans="1:13" x14ac:dyDescent="0.25">
      <c r="A127">
        <v>126</v>
      </c>
      <c r="B127">
        <v>31</v>
      </c>
      <c r="D127">
        <v>122</v>
      </c>
      <c r="E127" t="s">
        <v>462</v>
      </c>
      <c r="F127" t="s">
        <v>651</v>
      </c>
      <c r="H127">
        <v>6.25</v>
      </c>
      <c r="K127">
        <v>15</v>
      </c>
      <c r="L127" t="s">
        <v>458</v>
      </c>
      <c r="M127" t="s">
        <v>731</v>
      </c>
    </row>
    <row r="128" spans="1:13" x14ac:dyDescent="0.25">
      <c r="A128">
        <v>127</v>
      </c>
      <c r="B128">
        <v>31</v>
      </c>
      <c r="D128">
        <v>123</v>
      </c>
      <c r="E128" t="s">
        <v>465</v>
      </c>
      <c r="F128" t="s">
        <v>650</v>
      </c>
      <c r="H128">
        <v>55.36</v>
      </c>
      <c r="K128">
        <v>15</v>
      </c>
      <c r="L128" t="s">
        <v>459</v>
      </c>
      <c r="M128" t="s">
        <v>731</v>
      </c>
    </row>
    <row r="129" spans="1:13" x14ac:dyDescent="0.25">
      <c r="A129">
        <v>128</v>
      </c>
      <c r="B129">
        <v>31</v>
      </c>
      <c r="D129">
        <v>124</v>
      </c>
      <c r="E129" t="s">
        <v>464</v>
      </c>
      <c r="F129" t="s">
        <v>651</v>
      </c>
      <c r="H129">
        <v>5.5359999999999996</v>
      </c>
      <c r="K129">
        <v>15</v>
      </c>
      <c r="L129" t="s">
        <v>459</v>
      </c>
      <c r="M129" t="s">
        <v>731</v>
      </c>
    </row>
    <row r="130" spans="1:13" x14ac:dyDescent="0.25">
      <c r="A130">
        <v>129</v>
      </c>
      <c r="B130">
        <v>31</v>
      </c>
      <c r="D130">
        <v>125</v>
      </c>
      <c r="E130" t="s">
        <v>470</v>
      </c>
      <c r="F130" t="s">
        <v>650</v>
      </c>
      <c r="H130">
        <v>96.43</v>
      </c>
      <c r="K130">
        <v>15</v>
      </c>
      <c r="L130" t="s">
        <v>457</v>
      </c>
      <c r="M130" t="s">
        <v>731</v>
      </c>
    </row>
    <row r="131" spans="1:13" x14ac:dyDescent="0.25">
      <c r="A131">
        <v>130</v>
      </c>
      <c r="B131">
        <v>31</v>
      </c>
      <c r="D131">
        <v>126</v>
      </c>
      <c r="E131" t="s">
        <v>471</v>
      </c>
      <c r="F131" t="s">
        <v>651</v>
      </c>
      <c r="H131">
        <v>9.6430000000000007</v>
      </c>
      <c r="K131">
        <v>15</v>
      </c>
      <c r="L131" t="s">
        <v>457</v>
      </c>
      <c r="M131" t="s">
        <v>731</v>
      </c>
    </row>
    <row r="132" spans="1:13" x14ac:dyDescent="0.25">
      <c r="A132">
        <v>131</v>
      </c>
      <c r="B132">
        <v>46</v>
      </c>
      <c r="D132">
        <v>1</v>
      </c>
      <c r="E132" t="s">
        <v>414</v>
      </c>
      <c r="F132" t="s">
        <v>650</v>
      </c>
      <c r="H132">
        <v>214.28571428571428</v>
      </c>
      <c r="I132">
        <v>28</v>
      </c>
      <c r="J132">
        <v>6000</v>
      </c>
      <c r="K132" t="s">
        <v>424</v>
      </c>
      <c r="L132" t="s">
        <v>417</v>
      </c>
      <c r="M132" t="s">
        <v>742</v>
      </c>
    </row>
    <row r="133" spans="1:13" x14ac:dyDescent="0.25">
      <c r="A133">
        <v>132</v>
      </c>
      <c r="B133">
        <v>46</v>
      </c>
      <c r="D133">
        <v>2</v>
      </c>
      <c r="E133" t="s">
        <v>410</v>
      </c>
      <c r="F133" t="s">
        <v>649</v>
      </c>
      <c r="H133">
        <v>385.71444000000002</v>
      </c>
      <c r="K133" t="s">
        <v>424</v>
      </c>
      <c r="L133" t="s">
        <v>417</v>
      </c>
      <c r="M133" t="s">
        <v>742</v>
      </c>
    </row>
    <row r="134" spans="1:13" x14ac:dyDescent="0.25">
      <c r="A134">
        <v>133</v>
      </c>
      <c r="B134">
        <v>46</v>
      </c>
      <c r="D134">
        <v>3</v>
      </c>
      <c r="E134" t="s">
        <v>409</v>
      </c>
      <c r="F134" t="s">
        <v>651</v>
      </c>
      <c r="H134">
        <v>21.42858</v>
      </c>
      <c r="K134" t="s">
        <v>424</v>
      </c>
      <c r="L134" t="s">
        <v>417</v>
      </c>
      <c r="M134" t="s">
        <v>742</v>
      </c>
    </row>
    <row r="135" spans="1:13" x14ac:dyDescent="0.25">
      <c r="A135">
        <v>134</v>
      </c>
      <c r="B135">
        <v>46</v>
      </c>
      <c r="D135">
        <v>4</v>
      </c>
      <c r="E135" t="s">
        <v>411</v>
      </c>
      <c r="F135" t="s">
        <v>650</v>
      </c>
      <c r="H135">
        <v>446.42857142857144</v>
      </c>
      <c r="I135">
        <v>28</v>
      </c>
      <c r="J135">
        <v>12500</v>
      </c>
      <c r="K135" t="s">
        <v>424</v>
      </c>
      <c r="L135" t="s">
        <v>564</v>
      </c>
      <c r="M135" t="s">
        <v>742</v>
      </c>
    </row>
    <row r="136" spans="1:13" x14ac:dyDescent="0.25">
      <c r="A136">
        <v>135</v>
      </c>
      <c r="B136">
        <v>46</v>
      </c>
      <c r="D136">
        <v>5</v>
      </c>
      <c r="E136" t="s">
        <v>412</v>
      </c>
      <c r="F136" t="s">
        <v>649</v>
      </c>
      <c r="H136">
        <v>803.57147999999995</v>
      </c>
      <c r="K136" t="s">
        <v>424</v>
      </c>
      <c r="L136" t="s">
        <v>564</v>
      </c>
      <c r="M136" t="s">
        <v>742</v>
      </c>
    </row>
    <row r="137" spans="1:13" x14ac:dyDescent="0.25">
      <c r="A137">
        <v>136</v>
      </c>
      <c r="B137">
        <v>46</v>
      </c>
      <c r="D137">
        <v>6</v>
      </c>
      <c r="E137" t="s">
        <v>413</v>
      </c>
      <c r="F137" t="s">
        <v>651</v>
      </c>
      <c r="H137">
        <v>44.642859999999999</v>
      </c>
      <c r="K137" t="s">
        <v>424</v>
      </c>
      <c r="L137" t="s">
        <v>564</v>
      </c>
      <c r="M137" t="s">
        <v>742</v>
      </c>
    </row>
    <row r="138" spans="1:13" x14ac:dyDescent="0.25">
      <c r="A138">
        <v>137</v>
      </c>
      <c r="B138">
        <v>46</v>
      </c>
      <c r="D138">
        <v>7</v>
      </c>
      <c r="E138" t="s">
        <v>403</v>
      </c>
      <c r="F138" t="s">
        <v>650</v>
      </c>
      <c r="H138">
        <v>214.28571428571428</v>
      </c>
      <c r="I138">
        <v>28</v>
      </c>
      <c r="J138">
        <v>6000</v>
      </c>
      <c r="K138" t="s">
        <v>424</v>
      </c>
      <c r="L138" t="s">
        <v>418</v>
      </c>
      <c r="M138" t="s">
        <v>742</v>
      </c>
    </row>
    <row r="139" spans="1:13" x14ac:dyDescent="0.25">
      <c r="A139">
        <v>138</v>
      </c>
      <c r="B139">
        <v>46</v>
      </c>
      <c r="D139">
        <v>8</v>
      </c>
      <c r="E139" t="s">
        <v>404</v>
      </c>
      <c r="F139" t="s">
        <v>649</v>
      </c>
      <c r="H139">
        <v>385.71444000000002</v>
      </c>
      <c r="K139" t="s">
        <v>424</v>
      </c>
      <c r="L139" t="s">
        <v>418</v>
      </c>
      <c r="M139" t="s">
        <v>742</v>
      </c>
    </row>
    <row r="140" spans="1:13" x14ac:dyDescent="0.25">
      <c r="A140">
        <v>139</v>
      </c>
      <c r="B140">
        <v>46</v>
      </c>
      <c r="D140">
        <v>9</v>
      </c>
      <c r="E140" t="s">
        <v>405</v>
      </c>
      <c r="F140" t="s">
        <v>651</v>
      </c>
      <c r="H140">
        <v>21.42858</v>
      </c>
      <c r="K140" t="s">
        <v>424</v>
      </c>
      <c r="L140" t="s">
        <v>418</v>
      </c>
      <c r="M140" t="s">
        <v>742</v>
      </c>
    </row>
    <row r="141" spans="1:13" x14ac:dyDescent="0.25">
      <c r="A141">
        <v>140</v>
      </c>
      <c r="B141">
        <v>46</v>
      </c>
      <c r="D141">
        <v>10</v>
      </c>
      <c r="E141" t="s">
        <v>406</v>
      </c>
      <c r="F141" t="s">
        <v>650</v>
      </c>
      <c r="H141">
        <v>185.71430000000001</v>
      </c>
      <c r="I141">
        <v>28</v>
      </c>
      <c r="J141">
        <v>5200</v>
      </c>
      <c r="K141" t="s">
        <v>424</v>
      </c>
      <c r="L141" t="s">
        <v>565</v>
      </c>
      <c r="M141" t="s">
        <v>742</v>
      </c>
    </row>
    <row r="142" spans="1:13" x14ac:dyDescent="0.25">
      <c r="A142">
        <v>141</v>
      </c>
      <c r="B142">
        <v>46</v>
      </c>
      <c r="D142">
        <v>11</v>
      </c>
      <c r="E142" t="s">
        <v>407</v>
      </c>
      <c r="F142" t="s">
        <v>649</v>
      </c>
      <c r="H142">
        <v>334.28574000000003</v>
      </c>
      <c r="K142" t="s">
        <v>424</v>
      </c>
      <c r="L142" t="s">
        <v>565</v>
      </c>
      <c r="M142" t="s">
        <v>742</v>
      </c>
    </row>
    <row r="143" spans="1:13" x14ac:dyDescent="0.25">
      <c r="A143">
        <v>142</v>
      </c>
      <c r="B143">
        <v>46</v>
      </c>
      <c r="D143">
        <v>12</v>
      </c>
      <c r="E143" t="s">
        <v>408</v>
      </c>
      <c r="F143" t="s">
        <v>651</v>
      </c>
      <c r="H143">
        <v>18.571429999999999</v>
      </c>
      <c r="K143" t="s">
        <v>424</v>
      </c>
      <c r="L143" t="s">
        <v>565</v>
      </c>
      <c r="M143" t="s">
        <v>742</v>
      </c>
    </row>
    <row r="144" spans="1:13" x14ac:dyDescent="0.25">
      <c r="A144">
        <v>143</v>
      </c>
      <c r="B144">
        <v>50</v>
      </c>
      <c r="D144">
        <v>1</v>
      </c>
      <c r="E144" t="s">
        <v>568</v>
      </c>
      <c r="F144" t="s">
        <v>650</v>
      </c>
      <c r="H144">
        <v>357.1429</v>
      </c>
      <c r="L144" t="s">
        <v>567</v>
      </c>
      <c r="M144" t="s">
        <v>742</v>
      </c>
    </row>
    <row r="145" spans="1:13" x14ac:dyDescent="0.25">
      <c r="A145">
        <v>144</v>
      </c>
      <c r="B145">
        <v>50</v>
      </c>
      <c r="D145">
        <v>2</v>
      </c>
      <c r="E145" t="s">
        <v>569</v>
      </c>
      <c r="F145" t="s">
        <v>649</v>
      </c>
      <c r="H145">
        <v>678.57159999999999</v>
      </c>
      <c r="L145" t="s">
        <v>567</v>
      </c>
      <c r="M145" t="s">
        <v>742</v>
      </c>
    </row>
    <row r="146" spans="1:13" x14ac:dyDescent="0.25">
      <c r="A146">
        <v>145</v>
      </c>
      <c r="B146">
        <v>51</v>
      </c>
      <c r="D146">
        <v>1</v>
      </c>
      <c r="E146" t="s">
        <v>570</v>
      </c>
      <c r="F146" t="s">
        <v>650</v>
      </c>
      <c r="H146">
        <v>225</v>
      </c>
      <c r="L146" t="s">
        <v>572</v>
      </c>
      <c r="M146" t="s">
        <v>743</v>
      </c>
    </row>
    <row r="147" spans="1:13" x14ac:dyDescent="0.25">
      <c r="A147">
        <v>146</v>
      </c>
      <c r="B147">
        <v>51</v>
      </c>
      <c r="D147">
        <v>2</v>
      </c>
      <c r="E147" t="s">
        <v>571</v>
      </c>
      <c r="F147" t="s">
        <v>651</v>
      </c>
      <c r="H147">
        <v>25</v>
      </c>
      <c r="L147" t="s">
        <v>572</v>
      </c>
      <c r="M147" t="s">
        <v>743</v>
      </c>
    </row>
    <row r="148" spans="1:13" x14ac:dyDescent="0.25">
      <c r="A148">
        <v>147</v>
      </c>
      <c r="B148">
        <v>51</v>
      </c>
      <c r="D148">
        <v>3</v>
      </c>
      <c r="E148" t="s">
        <v>573</v>
      </c>
      <c r="F148" t="s">
        <v>650</v>
      </c>
      <c r="H148">
        <v>235.71</v>
      </c>
      <c r="L148" t="s">
        <v>575</v>
      </c>
      <c r="M148" t="s">
        <v>743</v>
      </c>
    </row>
    <row r="149" spans="1:13" x14ac:dyDescent="0.25">
      <c r="A149">
        <v>148</v>
      </c>
      <c r="B149">
        <v>51</v>
      </c>
      <c r="D149">
        <v>4</v>
      </c>
      <c r="E149" t="s">
        <v>574</v>
      </c>
      <c r="F149" t="s">
        <v>651</v>
      </c>
      <c r="H149">
        <v>26.071000000000002</v>
      </c>
      <c r="L149" t="s">
        <v>575</v>
      </c>
      <c r="M149" t="s">
        <v>743</v>
      </c>
    </row>
    <row r="150" spans="1:13" x14ac:dyDescent="0.25">
      <c r="A150">
        <v>149</v>
      </c>
      <c r="B150">
        <v>52</v>
      </c>
      <c r="D150">
        <v>1</v>
      </c>
      <c r="E150" t="s">
        <v>576</v>
      </c>
      <c r="F150" t="s">
        <v>650</v>
      </c>
      <c r="H150">
        <v>375</v>
      </c>
      <c r="L150" t="s">
        <v>578</v>
      </c>
      <c r="M150" t="s">
        <v>748</v>
      </c>
    </row>
    <row r="151" spans="1:13" x14ac:dyDescent="0.25">
      <c r="A151">
        <v>150</v>
      </c>
      <c r="B151">
        <v>52</v>
      </c>
      <c r="D151">
        <v>2</v>
      </c>
      <c r="E151" t="s">
        <v>579</v>
      </c>
      <c r="F151" t="s">
        <v>651</v>
      </c>
      <c r="H151">
        <v>37.5</v>
      </c>
      <c r="L151" t="s">
        <v>578</v>
      </c>
      <c r="M151" t="s">
        <v>748</v>
      </c>
    </row>
    <row r="152" spans="1:13" x14ac:dyDescent="0.25">
      <c r="A152">
        <v>151</v>
      </c>
      <c r="B152">
        <v>52</v>
      </c>
      <c r="D152">
        <v>3</v>
      </c>
      <c r="E152" t="s">
        <v>580</v>
      </c>
      <c r="F152" t="s">
        <v>650</v>
      </c>
      <c r="H152">
        <v>357.14</v>
      </c>
      <c r="L152" t="s">
        <v>581</v>
      </c>
      <c r="M152" t="s">
        <v>748</v>
      </c>
    </row>
    <row r="153" spans="1:13" x14ac:dyDescent="0.25">
      <c r="A153">
        <v>152</v>
      </c>
      <c r="B153">
        <v>65</v>
      </c>
      <c r="D153">
        <v>1</v>
      </c>
      <c r="E153" t="s">
        <v>582</v>
      </c>
      <c r="F153" t="s">
        <v>650</v>
      </c>
      <c r="H153">
        <v>196.42857142857142</v>
      </c>
      <c r="I153">
        <v>28</v>
      </c>
      <c r="J153">
        <v>5500</v>
      </c>
      <c r="L153" t="s">
        <v>584</v>
      </c>
      <c r="M153" t="s">
        <v>742</v>
      </c>
    </row>
    <row r="154" spans="1:13" x14ac:dyDescent="0.25">
      <c r="A154">
        <v>153</v>
      </c>
      <c r="B154">
        <v>65</v>
      </c>
      <c r="D154">
        <v>2</v>
      </c>
      <c r="E154" t="s">
        <v>583</v>
      </c>
      <c r="F154" t="s">
        <v>650</v>
      </c>
      <c r="H154">
        <v>160.71</v>
      </c>
      <c r="L154" t="s">
        <v>585</v>
      </c>
      <c r="M154" t="s">
        <v>742</v>
      </c>
    </row>
    <row r="155" spans="1:13" x14ac:dyDescent="0.25">
      <c r="A155">
        <v>154</v>
      </c>
      <c r="B155">
        <v>85</v>
      </c>
      <c r="D155">
        <v>1</v>
      </c>
      <c r="E155" t="s">
        <v>586</v>
      </c>
      <c r="F155" t="s">
        <v>650</v>
      </c>
      <c r="H155">
        <v>446.43</v>
      </c>
      <c r="L155" t="s">
        <v>588</v>
      </c>
      <c r="M155" t="s">
        <v>743</v>
      </c>
    </row>
    <row r="156" spans="1:13" x14ac:dyDescent="0.25">
      <c r="A156">
        <v>155</v>
      </c>
      <c r="B156">
        <v>85</v>
      </c>
      <c r="D156">
        <v>2</v>
      </c>
      <c r="E156" t="s">
        <v>587</v>
      </c>
      <c r="F156" t="s">
        <v>651</v>
      </c>
      <c r="H156">
        <v>44.643000000000001</v>
      </c>
      <c r="L156" t="s">
        <v>588</v>
      </c>
      <c r="M156" t="s">
        <v>743</v>
      </c>
    </row>
    <row r="157" spans="1:13" x14ac:dyDescent="0.25">
      <c r="A157">
        <v>156</v>
      </c>
      <c r="B157">
        <v>91</v>
      </c>
      <c r="D157">
        <v>1</v>
      </c>
      <c r="E157" t="s">
        <v>589</v>
      </c>
      <c r="F157" t="s">
        <v>650</v>
      </c>
      <c r="H157">
        <v>3500</v>
      </c>
      <c r="L157" t="s">
        <v>590</v>
      </c>
      <c r="M157" t="s">
        <v>745</v>
      </c>
    </row>
    <row r="158" spans="1:13" x14ac:dyDescent="0.25">
      <c r="A158">
        <v>157</v>
      </c>
      <c r="B158">
        <v>94</v>
      </c>
      <c r="D158">
        <v>1</v>
      </c>
      <c r="E158" t="s">
        <v>593</v>
      </c>
      <c r="F158" t="s">
        <v>650</v>
      </c>
      <c r="H158">
        <v>125</v>
      </c>
      <c r="L158" t="s">
        <v>598</v>
      </c>
      <c r="M158" t="s">
        <v>744</v>
      </c>
    </row>
    <row r="159" spans="1:13" x14ac:dyDescent="0.25">
      <c r="A159">
        <v>158</v>
      </c>
      <c r="B159">
        <v>94</v>
      </c>
      <c r="D159">
        <v>2</v>
      </c>
      <c r="E159" t="s">
        <v>594</v>
      </c>
      <c r="F159" t="s">
        <v>651</v>
      </c>
      <c r="H159">
        <v>12.5</v>
      </c>
      <c r="L159" t="s">
        <v>598</v>
      </c>
      <c r="M159" t="s">
        <v>744</v>
      </c>
    </row>
    <row r="160" spans="1:13" x14ac:dyDescent="0.25">
      <c r="A160">
        <v>159</v>
      </c>
      <c r="B160">
        <v>94</v>
      </c>
      <c r="D160">
        <v>3</v>
      </c>
      <c r="E160" t="s">
        <v>595</v>
      </c>
      <c r="F160" t="s">
        <v>650</v>
      </c>
      <c r="H160">
        <v>125</v>
      </c>
      <c r="L160" t="s">
        <v>599</v>
      </c>
      <c r="M160" t="s">
        <v>744</v>
      </c>
    </row>
    <row r="161" spans="1:13" x14ac:dyDescent="0.25">
      <c r="A161">
        <v>160</v>
      </c>
      <c r="B161">
        <v>94</v>
      </c>
      <c r="D161">
        <v>4</v>
      </c>
      <c r="E161" t="s">
        <v>596</v>
      </c>
      <c r="F161" t="s">
        <v>650</v>
      </c>
      <c r="H161">
        <v>125</v>
      </c>
      <c r="L161" t="s">
        <v>600</v>
      </c>
      <c r="M161" t="s">
        <v>743</v>
      </c>
    </row>
    <row r="162" spans="1:13" x14ac:dyDescent="0.25">
      <c r="A162">
        <v>161</v>
      </c>
      <c r="B162">
        <v>94</v>
      </c>
      <c r="D162">
        <v>5</v>
      </c>
      <c r="E162" t="s">
        <v>597</v>
      </c>
      <c r="F162" t="s">
        <v>651</v>
      </c>
      <c r="H162">
        <v>12.5</v>
      </c>
      <c r="L162" t="s">
        <v>600</v>
      </c>
      <c r="M162" t="s">
        <v>743</v>
      </c>
    </row>
    <row r="163" spans="1:13" x14ac:dyDescent="0.25">
      <c r="A163">
        <v>162</v>
      </c>
      <c r="B163">
        <v>95</v>
      </c>
      <c r="D163">
        <v>1</v>
      </c>
      <c r="E163" t="s">
        <v>602</v>
      </c>
      <c r="F163" t="s">
        <v>650</v>
      </c>
      <c r="H163">
        <v>285.70999999999998</v>
      </c>
      <c r="L163" t="s">
        <v>601</v>
      </c>
      <c r="M163" t="s">
        <v>742</v>
      </c>
    </row>
    <row r="164" spans="1:13" x14ac:dyDescent="0.25">
      <c r="A164">
        <v>163</v>
      </c>
      <c r="B164">
        <v>98</v>
      </c>
      <c r="D164">
        <v>1</v>
      </c>
      <c r="E164" t="s">
        <v>606</v>
      </c>
      <c r="F164" t="s">
        <v>650</v>
      </c>
      <c r="H164">
        <v>107.14</v>
      </c>
      <c r="L164" t="s">
        <v>608</v>
      </c>
      <c r="M164" t="s">
        <v>743</v>
      </c>
    </row>
    <row r="165" spans="1:13" x14ac:dyDescent="0.25">
      <c r="A165">
        <v>164</v>
      </c>
      <c r="B165">
        <v>98</v>
      </c>
      <c r="D165">
        <v>2</v>
      </c>
      <c r="E165" t="s">
        <v>607</v>
      </c>
      <c r="F165" t="s">
        <v>651</v>
      </c>
      <c r="H165">
        <v>10.714</v>
      </c>
      <c r="L165" t="s">
        <v>608</v>
      </c>
      <c r="M165" t="s">
        <v>743</v>
      </c>
    </row>
    <row r="166" spans="1:13" x14ac:dyDescent="0.25">
      <c r="A166">
        <v>165</v>
      </c>
      <c r="B166">
        <v>98</v>
      </c>
      <c r="D166" t="s">
        <v>419</v>
      </c>
      <c r="E166" t="s">
        <v>738</v>
      </c>
      <c r="F166" t="s">
        <v>237</v>
      </c>
      <c r="H166">
        <v>-1</v>
      </c>
      <c r="L166" t="s">
        <v>608</v>
      </c>
      <c r="M166" t="s">
        <v>743</v>
      </c>
    </row>
    <row r="167" spans="1:13" x14ac:dyDescent="0.25">
      <c r="A167">
        <v>166</v>
      </c>
      <c r="B167">
        <v>99</v>
      </c>
      <c r="D167">
        <v>1</v>
      </c>
      <c r="E167" t="s">
        <v>603</v>
      </c>
      <c r="F167" t="s">
        <v>650</v>
      </c>
      <c r="H167">
        <v>125</v>
      </c>
      <c r="L167" t="s">
        <v>605</v>
      </c>
      <c r="M167" t="s">
        <v>744</v>
      </c>
    </row>
    <row r="168" spans="1:13" x14ac:dyDescent="0.25">
      <c r="A168">
        <v>167</v>
      </c>
      <c r="B168">
        <v>99</v>
      </c>
      <c r="D168">
        <v>2</v>
      </c>
      <c r="E168" t="s">
        <v>609</v>
      </c>
      <c r="F168" t="s">
        <v>651</v>
      </c>
      <c r="H168">
        <v>12.5</v>
      </c>
      <c r="L168" t="s">
        <v>605</v>
      </c>
      <c r="M168" t="s">
        <v>744</v>
      </c>
    </row>
    <row r="169" spans="1:13" x14ac:dyDescent="0.25">
      <c r="A169">
        <v>168</v>
      </c>
      <c r="B169">
        <v>100</v>
      </c>
      <c r="D169">
        <v>1</v>
      </c>
      <c r="E169" t="s">
        <v>610</v>
      </c>
      <c r="F169" t="s">
        <v>650</v>
      </c>
      <c r="H169">
        <v>196.43</v>
      </c>
      <c r="L169" t="s">
        <v>611</v>
      </c>
      <c r="M169" t="s">
        <v>742</v>
      </c>
    </row>
    <row r="170" spans="1:13" x14ac:dyDescent="0.25">
      <c r="A170">
        <v>169</v>
      </c>
      <c r="B170">
        <v>102</v>
      </c>
      <c r="D170">
        <v>1</v>
      </c>
      <c r="E170" t="s">
        <v>612</v>
      </c>
      <c r="F170" t="s">
        <v>650</v>
      </c>
      <c r="H170">
        <v>125</v>
      </c>
      <c r="L170" t="s">
        <v>616</v>
      </c>
      <c r="M170" t="s">
        <v>744</v>
      </c>
    </row>
    <row r="171" spans="1:13" x14ac:dyDescent="0.25">
      <c r="A171">
        <v>170</v>
      </c>
      <c r="B171">
        <v>102</v>
      </c>
      <c r="D171">
        <v>2</v>
      </c>
      <c r="E171" t="s">
        <v>613</v>
      </c>
      <c r="F171" t="s">
        <v>651</v>
      </c>
      <c r="H171">
        <v>12.5</v>
      </c>
      <c r="L171" t="s">
        <v>616</v>
      </c>
      <c r="M171" t="s">
        <v>744</v>
      </c>
    </row>
    <row r="172" spans="1:13" x14ac:dyDescent="0.25">
      <c r="A172">
        <v>171</v>
      </c>
      <c r="B172">
        <v>102</v>
      </c>
      <c r="D172">
        <v>3</v>
      </c>
      <c r="E172" t="s">
        <v>614</v>
      </c>
      <c r="F172" t="s">
        <v>650</v>
      </c>
      <c r="H172">
        <v>125</v>
      </c>
      <c r="L172" t="s">
        <v>600</v>
      </c>
      <c r="M172" t="s">
        <v>743</v>
      </c>
    </row>
    <row r="173" spans="1:13" x14ac:dyDescent="0.25">
      <c r="A173">
        <v>172</v>
      </c>
      <c r="B173">
        <v>102</v>
      </c>
      <c r="D173">
        <v>4</v>
      </c>
      <c r="E173" t="s">
        <v>615</v>
      </c>
      <c r="F173" t="s">
        <v>651</v>
      </c>
      <c r="H173">
        <v>12.5</v>
      </c>
      <c r="L173" t="s">
        <v>600</v>
      </c>
      <c r="M173" t="s">
        <v>743</v>
      </c>
    </row>
    <row r="174" spans="1:13" x14ac:dyDescent="0.25">
      <c r="A174">
        <v>173</v>
      </c>
      <c r="B174">
        <v>102</v>
      </c>
      <c r="D174">
        <v>5</v>
      </c>
      <c r="E174" t="s">
        <v>593</v>
      </c>
      <c r="F174" t="s">
        <v>650</v>
      </c>
      <c r="H174">
        <v>125</v>
      </c>
      <c r="L174" t="s">
        <v>598</v>
      </c>
      <c r="M174" t="s">
        <v>744</v>
      </c>
    </row>
    <row r="175" spans="1:13" x14ac:dyDescent="0.25">
      <c r="A175">
        <v>174</v>
      </c>
      <c r="B175">
        <v>102</v>
      </c>
      <c r="D175">
        <v>6</v>
      </c>
      <c r="E175" t="s">
        <v>595</v>
      </c>
      <c r="F175" t="s">
        <v>650</v>
      </c>
      <c r="H175">
        <v>125</v>
      </c>
      <c r="L175" t="s">
        <v>599</v>
      </c>
      <c r="M175" t="s">
        <v>744</v>
      </c>
    </row>
    <row r="176" spans="1:13" x14ac:dyDescent="0.25">
      <c r="A176">
        <v>175</v>
      </c>
      <c r="B176">
        <v>110</v>
      </c>
      <c r="D176">
        <v>1</v>
      </c>
      <c r="E176" t="s">
        <v>633</v>
      </c>
      <c r="F176" t="s">
        <v>650</v>
      </c>
      <c r="H176">
        <v>221.42857142857142</v>
      </c>
      <c r="L176" t="s">
        <v>632</v>
      </c>
      <c r="M176" t="s">
        <v>743</v>
      </c>
    </row>
    <row r="177" spans="1:13" x14ac:dyDescent="0.25">
      <c r="A177">
        <v>176</v>
      </c>
      <c r="B177">
        <v>121</v>
      </c>
      <c r="D177">
        <v>1</v>
      </c>
      <c r="E177" t="s">
        <v>635</v>
      </c>
      <c r="F177" t="s">
        <v>650</v>
      </c>
      <c r="H177">
        <v>128.57</v>
      </c>
      <c r="L177" t="s">
        <v>637</v>
      </c>
      <c r="M177" t="s">
        <v>743</v>
      </c>
    </row>
    <row r="178" spans="1:13" x14ac:dyDescent="0.25">
      <c r="A178">
        <v>177</v>
      </c>
      <c r="B178">
        <v>121</v>
      </c>
      <c r="D178">
        <v>2</v>
      </c>
      <c r="E178" t="s">
        <v>636</v>
      </c>
      <c r="F178" t="s">
        <v>651</v>
      </c>
      <c r="H178">
        <v>12.856999999999999</v>
      </c>
      <c r="L178" t="s">
        <v>637</v>
      </c>
      <c r="M178" t="s">
        <v>743</v>
      </c>
    </row>
    <row r="179" spans="1:13" x14ac:dyDescent="0.25">
      <c r="A179">
        <v>178</v>
      </c>
      <c r="B179">
        <v>141</v>
      </c>
      <c r="D179">
        <v>1</v>
      </c>
      <c r="E179" t="s">
        <v>639</v>
      </c>
      <c r="F179" t="s">
        <v>650</v>
      </c>
      <c r="H179">
        <v>214.28571428571428</v>
      </c>
      <c r="L179" t="s">
        <v>638</v>
      </c>
      <c r="M179" t="s">
        <v>742</v>
      </c>
    </row>
    <row r="180" spans="1:13" x14ac:dyDescent="0.25">
      <c r="A180">
        <v>179</v>
      </c>
      <c r="B180">
        <v>141</v>
      </c>
      <c r="D180">
        <v>2</v>
      </c>
      <c r="E180" t="s">
        <v>640</v>
      </c>
      <c r="F180" t="s">
        <v>651</v>
      </c>
      <c r="H180">
        <v>21.428571428571427</v>
      </c>
      <c r="L180" t="s">
        <v>638</v>
      </c>
      <c r="M180" t="s">
        <v>742</v>
      </c>
    </row>
    <row r="181" spans="1:13" x14ac:dyDescent="0.25">
      <c r="A181">
        <v>180</v>
      </c>
      <c r="B181">
        <v>31</v>
      </c>
      <c r="D181">
        <v>127</v>
      </c>
      <c r="E181" t="s">
        <v>653</v>
      </c>
      <c r="F181" t="s">
        <v>706</v>
      </c>
      <c r="H181">
        <v>0.19800000000000001</v>
      </c>
      <c r="K181">
        <v>18</v>
      </c>
      <c r="L181" t="s">
        <v>238</v>
      </c>
      <c r="M181" t="s">
        <v>731</v>
      </c>
    </row>
    <row r="182" spans="1:13" x14ac:dyDescent="0.25">
      <c r="A182">
        <v>181</v>
      </c>
      <c r="B182">
        <v>31</v>
      </c>
      <c r="D182">
        <v>128</v>
      </c>
      <c r="E182" t="s">
        <v>654</v>
      </c>
      <c r="F182" t="s">
        <v>706</v>
      </c>
      <c r="H182">
        <v>0.19800000000000001</v>
      </c>
      <c r="K182">
        <v>18</v>
      </c>
      <c r="L182" t="s">
        <v>260</v>
      </c>
      <c r="M182" t="s">
        <v>731</v>
      </c>
    </row>
    <row r="183" spans="1:13" x14ac:dyDescent="0.25">
      <c r="A183">
        <v>182</v>
      </c>
      <c r="B183">
        <v>31</v>
      </c>
      <c r="D183">
        <v>129</v>
      </c>
      <c r="E183" t="s">
        <v>655</v>
      </c>
      <c r="F183" t="s">
        <v>706</v>
      </c>
      <c r="H183">
        <v>0.19800000000000001</v>
      </c>
      <c r="K183">
        <v>18</v>
      </c>
      <c r="L183" t="s">
        <v>240</v>
      </c>
      <c r="M183" t="s">
        <v>731</v>
      </c>
    </row>
    <row r="184" spans="1:13" x14ac:dyDescent="0.25">
      <c r="A184">
        <v>183</v>
      </c>
      <c r="B184">
        <v>31</v>
      </c>
      <c r="D184">
        <v>130</v>
      </c>
      <c r="E184" t="s">
        <v>656</v>
      </c>
      <c r="F184" t="s">
        <v>706</v>
      </c>
      <c r="H184">
        <v>0.16500000000000001</v>
      </c>
      <c r="K184">
        <v>15</v>
      </c>
      <c r="L184" t="s">
        <v>430</v>
      </c>
      <c r="M184" t="s">
        <v>731</v>
      </c>
    </row>
    <row r="185" spans="1:13" x14ac:dyDescent="0.25">
      <c r="A185">
        <v>184</v>
      </c>
      <c r="B185">
        <v>31</v>
      </c>
      <c r="D185">
        <v>131</v>
      </c>
      <c r="E185" t="s">
        <v>657</v>
      </c>
      <c r="F185" t="s">
        <v>706</v>
      </c>
      <c r="H185">
        <v>0.16500000000000001</v>
      </c>
      <c r="K185">
        <v>15</v>
      </c>
      <c r="L185" t="s">
        <v>261</v>
      </c>
      <c r="M185" t="s">
        <v>731</v>
      </c>
    </row>
    <row r="186" spans="1:13" x14ac:dyDescent="0.25">
      <c r="A186">
        <v>185</v>
      </c>
      <c r="B186">
        <v>31</v>
      </c>
      <c r="D186">
        <v>132</v>
      </c>
      <c r="E186" t="s">
        <v>658</v>
      </c>
      <c r="F186" t="s">
        <v>706</v>
      </c>
      <c r="H186">
        <v>0.16500000000000001</v>
      </c>
      <c r="K186">
        <v>15</v>
      </c>
      <c r="L186" t="s">
        <v>242</v>
      </c>
      <c r="M186" t="s">
        <v>731</v>
      </c>
    </row>
    <row r="187" spans="1:13" x14ac:dyDescent="0.25">
      <c r="A187">
        <v>186</v>
      </c>
      <c r="B187">
        <v>31</v>
      </c>
      <c r="D187">
        <v>133</v>
      </c>
      <c r="E187" t="s">
        <v>659</v>
      </c>
      <c r="F187" t="s">
        <v>706</v>
      </c>
      <c r="H187">
        <v>0.13200000000000001</v>
      </c>
      <c r="K187">
        <v>12</v>
      </c>
      <c r="L187" t="s">
        <v>244</v>
      </c>
      <c r="M187" t="s">
        <v>731</v>
      </c>
    </row>
    <row r="188" spans="1:13" x14ac:dyDescent="0.25">
      <c r="A188">
        <v>187</v>
      </c>
      <c r="B188">
        <v>31</v>
      </c>
      <c r="D188">
        <v>134</v>
      </c>
      <c r="E188" t="s">
        <v>660</v>
      </c>
      <c r="F188" t="s">
        <v>706</v>
      </c>
      <c r="H188">
        <v>0.16500000000000001</v>
      </c>
      <c r="K188">
        <v>15</v>
      </c>
      <c r="L188" t="s">
        <v>282</v>
      </c>
      <c r="M188" t="s">
        <v>731</v>
      </c>
    </row>
    <row r="189" spans="1:13" x14ac:dyDescent="0.25">
      <c r="A189">
        <v>188</v>
      </c>
      <c r="B189">
        <v>31</v>
      </c>
      <c r="D189">
        <v>135</v>
      </c>
      <c r="E189" t="s">
        <v>661</v>
      </c>
      <c r="F189" t="s">
        <v>706</v>
      </c>
      <c r="H189">
        <v>0.16500000000000001</v>
      </c>
      <c r="K189">
        <v>15</v>
      </c>
      <c r="L189" t="s">
        <v>256</v>
      </c>
      <c r="M189" t="s">
        <v>731</v>
      </c>
    </row>
    <row r="190" spans="1:13" x14ac:dyDescent="0.25">
      <c r="A190">
        <v>189</v>
      </c>
      <c r="B190">
        <v>31</v>
      </c>
      <c r="D190">
        <v>136</v>
      </c>
      <c r="E190" t="s">
        <v>662</v>
      </c>
      <c r="F190" t="s">
        <v>706</v>
      </c>
      <c r="H190">
        <v>0.16500000000000001</v>
      </c>
      <c r="K190">
        <v>15</v>
      </c>
      <c r="L190" t="s">
        <v>288</v>
      </c>
      <c r="M190" t="s">
        <v>731</v>
      </c>
    </row>
    <row r="191" spans="1:13" x14ac:dyDescent="0.25">
      <c r="A191">
        <v>190</v>
      </c>
      <c r="B191">
        <v>31</v>
      </c>
      <c r="D191">
        <v>137</v>
      </c>
      <c r="E191" t="s">
        <v>663</v>
      </c>
      <c r="F191" t="s">
        <v>706</v>
      </c>
      <c r="H191">
        <v>0.16500000000000001</v>
      </c>
      <c r="K191">
        <v>15</v>
      </c>
      <c r="L191" t="s">
        <v>259</v>
      </c>
      <c r="M191" t="s">
        <v>731</v>
      </c>
    </row>
    <row r="192" spans="1:13" x14ac:dyDescent="0.25">
      <c r="A192">
        <v>191</v>
      </c>
      <c r="B192">
        <v>31</v>
      </c>
      <c r="D192">
        <v>138</v>
      </c>
      <c r="E192" t="s">
        <v>664</v>
      </c>
      <c r="F192" t="s">
        <v>706</v>
      </c>
      <c r="H192">
        <v>0.16500000000000001</v>
      </c>
      <c r="K192">
        <v>15</v>
      </c>
      <c r="L192" t="s">
        <v>289</v>
      </c>
      <c r="M192" t="s">
        <v>731</v>
      </c>
    </row>
    <row r="193" spans="1:13" x14ac:dyDescent="0.25">
      <c r="A193">
        <v>192</v>
      </c>
      <c r="B193">
        <v>31</v>
      </c>
      <c r="D193">
        <v>139</v>
      </c>
      <c r="E193" t="s">
        <v>665</v>
      </c>
      <c r="F193" t="s">
        <v>706</v>
      </c>
      <c r="H193">
        <v>0.16500000000000001</v>
      </c>
      <c r="K193">
        <v>15</v>
      </c>
      <c r="L193" t="s">
        <v>247</v>
      </c>
      <c r="M193" t="s">
        <v>731</v>
      </c>
    </row>
    <row r="194" spans="1:13" x14ac:dyDescent="0.25">
      <c r="A194">
        <v>193</v>
      </c>
      <c r="B194">
        <v>31</v>
      </c>
      <c r="D194">
        <v>140</v>
      </c>
      <c r="E194" t="s">
        <v>666</v>
      </c>
      <c r="F194" t="s">
        <v>706</v>
      </c>
      <c r="H194">
        <v>0.16500000000000001</v>
      </c>
      <c r="K194">
        <v>15</v>
      </c>
      <c r="L194" t="s">
        <v>284</v>
      </c>
      <c r="M194" t="s">
        <v>731</v>
      </c>
    </row>
    <row r="195" spans="1:13" x14ac:dyDescent="0.25">
      <c r="A195">
        <v>194</v>
      </c>
      <c r="B195">
        <v>31</v>
      </c>
      <c r="D195">
        <v>141</v>
      </c>
      <c r="E195" t="s">
        <v>667</v>
      </c>
      <c r="F195" t="s">
        <v>706</v>
      </c>
      <c r="H195">
        <v>0.14300000000000002</v>
      </c>
      <c r="K195">
        <v>13</v>
      </c>
      <c r="L195" t="s">
        <v>280</v>
      </c>
      <c r="M195" t="s">
        <v>731</v>
      </c>
    </row>
    <row r="196" spans="1:13" x14ac:dyDescent="0.25">
      <c r="A196">
        <v>195</v>
      </c>
      <c r="B196">
        <v>31</v>
      </c>
      <c r="D196">
        <v>142</v>
      </c>
      <c r="E196" t="s">
        <v>668</v>
      </c>
      <c r="F196" t="s">
        <v>706</v>
      </c>
      <c r="H196">
        <v>0.16500000000000001</v>
      </c>
      <c r="K196">
        <v>15</v>
      </c>
      <c r="L196" t="s">
        <v>269</v>
      </c>
      <c r="M196" t="s">
        <v>731</v>
      </c>
    </row>
    <row r="197" spans="1:13" x14ac:dyDescent="0.25">
      <c r="A197">
        <v>196</v>
      </c>
      <c r="B197">
        <v>31</v>
      </c>
      <c r="D197">
        <v>143</v>
      </c>
      <c r="E197" t="s">
        <v>669</v>
      </c>
      <c r="F197" t="s">
        <v>706</v>
      </c>
      <c r="H197">
        <v>0.19800000000000001</v>
      </c>
      <c r="K197">
        <v>18</v>
      </c>
      <c r="L197" t="s">
        <v>258</v>
      </c>
      <c r="M197" t="s">
        <v>731</v>
      </c>
    </row>
    <row r="198" spans="1:13" x14ac:dyDescent="0.25">
      <c r="A198">
        <v>197</v>
      </c>
      <c r="B198">
        <v>31</v>
      </c>
      <c r="D198">
        <v>144</v>
      </c>
      <c r="E198" t="s">
        <v>670</v>
      </c>
      <c r="F198" t="s">
        <v>706</v>
      </c>
      <c r="H198">
        <v>0.16500000000000001</v>
      </c>
      <c r="K198">
        <v>15</v>
      </c>
      <c r="L198" t="s">
        <v>257</v>
      </c>
      <c r="M198" t="s">
        <v>731</v>
      </c>
    </row>
    <row r="199" spans="1:13" x14ac:dyDescent="0.25">
      <c r="A199">
        <v>198</v>
      </c>
      <c r="B199">
        <v>31</v>
      </c>
      <c r="D199">
        <v>145</v>
      </c>
      <c r="E199" t="s">
        <v>671</v>
      </c>
      <c r="F199" t="s">
        <v>706</v>
      </c>
      <c r="H199">
        <v>0.16500000000000001</v>
      </c>
      <c r="K199">
        <v>15</v>
      </c>
      <c r="L199" t="s">
        <v>266</v>
      </c>
      <c r="M199" t="s">
        <v>731</v>
      </c>
    </row>
    <row r="200" spans="1:13" x14ac:dyDescent="0.25">
      <c r="A200">
        <v>199</v>
      </c>
      <c r="B200">
        <v>31</v>
      </c>
      <c r="D200">
        <v>146</v>
      </c>
      <c r="E200" t="s">
        <v>672</v>
      </c>
      <c r="F200" t="s">
        <v>706</v>
      </c>
      <c r="H200">
        <v>0.16500000000000001</v>
      </c>
      <c r="K200">
        <v>15</v>
      </c>
      <c r="L200" t="s">
        <v>275</v>
      </c>
      <c r="M200" t="s">
        <v>731</v>
      </c>
    </row>
    <row r="201" spans="1:13" x14ac:dyDescent="0.25">
      <c r="A201">
        <v>200</v>
      </c>
      <c r="B201">
        <v>31</v>
      </c>
      <c r="D201">
        <v>147</v>
      </c>
      <c r="E201" t="s">
        <v>673</v>
      </c>
      <c r="F201" t="s">
        <v>706</v>
      </c>
      <c r="H201">
        <v>0.16500000000000001</v>
      </c>
      <c r="K201">
        <v>15</v>
      </c>
      <c r="L201" t="s">
        <v>250</v>
      </c>
      <c r="M201" t="s">
        <v>731</v>
      </c>
    </row>
    <row r="202" spans="1:13" x14ac:dyDescent="0.25">
      <c r="A202">
        <v>201</v>
      </c>
      <c r="B202">
        <v>31</v>
      </c>
      <c r="D202">
        <v>148</v>
      </c>
      <c r="E202" t="s">
        <v>674</v>
      </c>
      <c r="F202" t="s">
        <v>706</v>
      </c>
      <c r="H202">
        <v>0.16500000000000001</v>
      </c>
      <c r="K202">
        <v>15</v>
      </c>
      <c r="L202" t="s">
        <v>254</v>
      </c>
      <c r="M202" t="s">
        <v>731</v>
      </c>
    </row>
    <row r="203" spans="1:13" x14ac:dyDescent="0.25">
      <c r="A203">
        <v>202</v>
      </c>
      <c r="B203">
        <v>31</v>
      </c>
      <c r="D203">
        <v>149</v>
      </c>
      <c r="E203" t="s">
        <v>675</v>
      </c>
      <c r="F203" t="s">
        <v>706</v>
      </c>
      <c r="H203">
        <v>0.16500000000000001</v>
      </c>
      <c r="K203">
        <v>15</v>
      </c>
      <c r="L203" t="s">
        <v>285</v>
      </c>
      <c r="M203" t="s">
        <v>731</v>
      </c>
    </row>
    <row r="204" spans="1:13" x14ac:dyDescent="0.25">
      <c r="A204">
        <v>203</v>
      </c>
      <c r="B204">
        <v>31</v>
      </c>
      <c r="D204">
        <v>150</v>
      </c>
      <c r="E204" t="s">
        <v>676</v>
      </c>
      <c r="F204" t="s">
        <v>706</v>
      </c>
      <c r="H204">
        <v>0.13200000000000001</v>
      </c>
      <c r="K204">
        <v>12</v>
      </c>
      <c r="L204" t="s">
        <v>265</v>
      </c>
      <c r="M204" t="s">
        <v>731</v>
      </c>
    </row>
    <row r="205" spans="1:13" x14ac:dyDescent="0.25">
      <c r="A205">
        <v>204</v>
      </c>
      <c r="B205">
        <v>31</v>
      </c>
      <c r="D205">
        <v>151</v>
      </c>
      <c r="E205" t="s">
        <v>677</v>
      </c>
      <c r="F205" t="s">
        <v>706</v>
      </c>
      <c r="H205">
        <v>0.16500000000000001</v>
      </c>
      <c r="K205">
        <v>15</v>
      </c>
      <c r="L205" t="s">
        <v>249</v>
      </c>
      <c r="M205" t="s">
        <v>731</v>
      </c>
    </row>
    <row r="206" spans="1:13" x14ac:dyDescent="0.25">
      <c r="A206">
        <v>205</v>
      </c>
      <c r="B206">
        <v>31</v>
      </c>
      <c r="D206">
        <v>152</v>
      </c>
      <c r="E206" t="s">
        <v>678</v>
      </c>
      <c r="F206" t="s">
        <v>706</v>
      </c>
      <c r="H206">
        <v>0.16500000000000001</v>
      </c>
      <c r="K206">
        <v>15</v>
      </c>
      <c r="L206" t="s">
        <v>245</v>
      </c>
      <c r="M206" t="s">
        <v>731</v>
      </c>
    </row>
    <row r="207" spans="1:13" x14ac:dyDescent="0.25">
      <c r="A207">
        <v>206</v>
      </c>
      <c r="B207">
        <v>31</v>
      </c>
      <c r="D207">
        <v>153</v>
      </c>
      <c r="E207" t="s">
        <v>679</v>
      </c>
      <c r="F207" t="s">
        <v>706</v>
      </c>
      <c r="H207">
        <v>0.13200000000000001</v>
      </c>
      <c r="K207">
        <v>12</v>
      </c>
      <c r="L207" t="s">
        <v>255</v>
      </c>
      <c r="M207" t="s">
        <v>731</v>
      </c>
    </row>
    <row r="208" spans="1:13" x14ac:dyDescent="0.25">
      <c r="A208">
        <v>207</v>
      </c>
      <c r="B208">
        <v>31</v>
      </c>
      <c r="D208">
        <v>154</v>
      </c>
      <c r="E208" t="s">
        <v>680</v>
      </c>
      <c r="F208" t="s">
        <v>706</v>
      </c>
      <c r="H208">
        <v>0.19800000000000001</v>
      </c>
      <c r="K208">
        <v>18</v>
      </c>
      <c r="L208" t="s">
        <v>253</v>
      </c>
      <c r="M208" t="s">
        <v>731</v>
      </c>
    </row>
    <row r="209" spans="1:13" x14ac:dyDescent="0.25">
      <c r="A209">
        <v>208</v>
      </c>
      <c r="B209">
        <v>31</v>
      </c>
      <c r="D209">
        <v>155</v>
      </c>
      <c r="E209" t="s">
        <v>681</v>
      </c>
      <c r="F209" t="s">
        <v>706</v>
      </c>
      <c r="H209">
        <v>0.19800000000000001</v>
      </c>
      <c r="K209">
        <v>18</v>
      </c>
      <c r="L209" t="s">
        <v>251</v>
      </c>
      <c r="M209" t="s">
        <v>731</v>
      </c>
    </row>
    <row r="210" spans="1:13" x14ac:dyDescent="0.25">
      <c r="A210">
        <v>209</v>
      </c>
      <c r="B210">
        <v>31</v>
      </c>
      <c r="D210">
        <v>156</v>
      </c>
      <c r="E210" t="s">
        <v>682</v>
      </c>
      <c r="F210" t="s">
        <v>706</v>
      </c>
      <c r="H210">
        <v>0.19800000000000001</v>
      </c>
      <c r="K210">
        <v>18</v>
      </c>
      <c r="L210" t="s">
        <v>277</v>
      </c>
      <c r="M210" t="s">
        <v>731</v>
      </c>
    </row>
    <row r="211" spans="1:13" x14ac:dyDescent="0.25">
      <c r="A211">
        <v>210</v>
      </c>
      <c r="B211">
        <v>31</v>
      </c>
      <c r="D211">
        <v>157</v>
      </c>
      <c r="E211" t="s">
        <v>683</v>
      </c>
      <c r="F211" t="s">
        <v>706</v>
      </c>
      <c r="H211">
        <v>0.16500000000000001</v>
      </c>
      <c r="K211">
        <v>15</v>
      </c>
      <c r="L211" t="s">
        <v>276</v>
      </c>
      <c r="M211" t="s">
        <v>731</v>
      </c>
    </row>
    <row r="212" spans="1:13" x14ac:dyDescent="0.25">
      <c r="A212">
        <v>211</v>
      </c>
      <c r="B212">
        <v>31</v>
      </c>
      <c r="D212">
        <v>158</v>
      </c>
      <c r="E212" t="s">
        <v>684</v>
      </c>
      <c r="F212" t="s">
        <v>706</v>
      </c>
      <c r="H212">
        <v>0.16500000000000001</v>
      </c>
      <c r="K212">
        <v>15</v>
      </c>
      <c r="L212" t="s">
        <v>271</v>
      </c>
      <c r="M212" t="s">
        <v>731</v>
      </c>
    </row>
    <row r="213" spans="1:13" x14ac:dyDescent="0.25">
      <c r="A213">
        <v>212</v>
      </c>
      <c r="B213">
        <v>31</v>
      </c>
      <c r="D213">
        <v>159</v>
      </c>
      <c r="E213" t="s">
        <v>685</v>
      </c>
      <c r="F213" t="s">
        <v>706</v>
      </c>
      <c r="H213">
        <v>0.16500000000000001</v>
      </c>
      <c r="K213">
        <v>15</v>
      </c>
      <c r="L213" t="s">
        <v>281</v>
      </c>
      <c r="M213" t="s">
        <v>731</v>
      </c>
    </row>
    <row r="214" spans="1:13" x14ac:dyDescent="0.25">
      <c r="A214">
        <v>213</v>
      </c>
      <c r="B214">
        <v>31</v>
      </c>
      <c r="D214">
        <v>160</v>
      </c>
      <c r="E214" t="s">
        <v>686</v>
      </c>
      <c r="F214" t="s">
        <v>706</v>
      </c>
      <c r="H214">
        <v>0.16500000000000001</v>
      </c>
      <c r="K214">
        <v>15</v>
      </c>
      <c r="L214" t="s">
        <v>273</v>
      </c>
      <c r="M214" t="s">
        <v>731</v>
      </c>
    </row>
    <row r="215" spans="1:13" x14ac:dyDescent="0.25">
      <c r="A215">
        <v>214</v>
      </c>
      <c r="B215">
        <v>31</v>
      </c>
      <c r="D215">
        <v>161</v>
      </c>
      <c r="E215" t="s">
        <v>687</v>
      </c>
      <c r="F215" t="s">
        <v>706</v>
      </c>
      <c r="H215">
        <v>0.19800000000000001</v>
      </c>
      <c r="K215">
        <v>18</v>
      </c>
      <c r="L215" t="s">
        <v>274</v>
      </c>
      <c r="M215" t="s">
        <v>731</v>
      </c>
    </row>
    <row r="216" spans="1:13" x14ac:dyDescent="0.25">
      <c r="A216">
        <v>215</v>
      </c>
      <c r="B216">
        <v>31</v>
      </c>
      <c r="D216">
        <v>162</v>
      </c>
      <c r="E216" t="s">
        <v>688</v>
      </c>
      <c r="F216" t="s">
        <v>706</v>
      </c>
      <c r="H216">
        <v>0.16500000000000001</v>
      </c>
      <c r="K216">
        <v>15</v>
      </c>
      <c r="L216" t="s">
        <v>270</v>
      </c>
      <c r="M216" t="s">
        <v>731</v>
      </c>
    </row>
    <row r="217" spans="1:13" x14ac:dyDescent="0.25">
      <c r="A217">
        <v>216</v>
      </c>
      <c r="B217">
        <v>31</v>
      </c>
      <c r="D217">
        <v>163</v>
      </c>
      <c r="E217" t="s">
        <v>689</v>
      </c>
      <c r="F217" t="s">
        <v>706</v>
      </c>
      <c r="H217">
        <v>0.16500000000000001</v>
      </c>
      <c r="K217">
        <v>15</v>
      </c>
      <c r="L217" t="s">
        <v>455</v>
      </c>
      <c r="M217" t="s">
        <v>731</v>
      </c>
    </row>
    <row r="218" spans="1:13" x14ac:dyDescent="0.25">
      <c r="A218">
        <v>217</v>
      </c>
      <c r="B218">
        <v>31</v>
      </c>
      <c r="D218">
        <v>164</v>
      </c>
      <c r="E218" t="s">
        <v>690</v>
      </c>
      <c r="F218" t="s">
        <v>706</v>
      </c>
      <c r="H218">
        <v>0.16500000000000001</v>
      </c>
      <c r="K218">
        <v>15</v>
      </c>
      <c r="L218" t="s">
        <v>248</v>
      </c>
      <c r="M218" t="s">
        <v>731</v>
      </c>
    </row>
    <row r="219" spans="1:13" x14ac:dyDescent="0.25">
      <c r="A219">
        <v>218</v>
      </c>
      <c r="B219">
        <v>31</v>
      </c>
      <c r="D219">
        <v>165</v>
      </c>
      <c r="E219" t="s">
        <v>691</v>
      </c>
      <c r="F219" t="s">
        <v>706</v>
      </c>
      <c r="H219">
        <v>0.16500000000000001</v>
      </c>
      <c r="K219">
        <v>15</v>
      </c>
      <c r="L219" t="s">
        <v>232</v>
      </c>
      <c r="M219" t="s">
        <v>731</v>
      </c>
    </row>
    <row r="220" spans="1:13" x14ac:dyDescent="0.25">
      <c r="A220">
        <v>219</v>
      </c>
      <c r="B220">
        <v>31</v>
      </c>
      <c r="D220">
        <v>166</v>
      </c>
      <c r="E220" t="s">
        <v>692</v>
      </c>
      <c r="F220" t="s">
        <v>706</v>
      </c>
      <c r="H220">
        <v>0.16500000000000001</v>
      </c>
      <c r="K220">
        <v>15</v>
      </c>
      <c r="L220" t="s">
        <v>246</v>
      </c>
      <c r="M220" t="s">
        <v>731</v>
      </c>
    </row>
    <row r="221" spans="1:13" x14ac:dyDescent="0.25">
      <c r="A221">
        <v>220</v>
      </c>
      <c r="B221">
        <v>31</v>
      </c>
      <c r="D221">
        <v>167</v>
      </c>
      <c r="E221" t="s">
        <v>693</v>
      </c>
      <c r="F221" t="s">
        <v>706</v>
      </c>
      <c r="H221">
        <v>0.16500000000000001</v>
      </c>
      <c r="K221">
        <v>15</v>
      </c>
      <c r="L221" t="s">
        <v>263</v>
      </c>
      <c r="M221" t="s">
        <v>731</v>
      </c>
    </row>
    <row r="222" spans="1:13" x14ac:dyDescent="0.25">
      <c r="A222">
        <v>221</v>
      </c>
      <c r="B222">
        <v>31</v>
      </c>
      <c r="D222">
        <v>168</v>
      </c>
      <c r="E222" t="s">
        <v>694</v>
      </c>
      <c r="F222" t="s">
        <v>706</v>
      </c>
      <c r="H222">
        <v>0.16500000000000001</v>
      </c>
      <c r="K222">
        <v>15</v>
      </c>
      <c r="L222" t="s">
        <v>279</v>
      </c>
      <c r="M222" t="s">
        <v>731</v>
      </c>
    </row>
    <row r="223" spans="1:13" x14ac:dyDescent="0.25">
      <c r="A223">
        <v>222</v>
      </c>
      <c r="B223">
        <v>31</v>
      </c>
      <c r="D223">
        <v>169</v>
      </c>
      <c r="E223" t="s">
        <v>695</v>
      </c>
      <c r="F223" t="s">
        <v>706</v>
      </c>
      <c r="H223">
        <v>0.16500000000000001</v>
      </c>
      <c r="K223">
        <v>15</v>
      </c>
      <c r="L223" t="s">
        <v>283</v>
      </c>
      <c r="M223" t="s">
        <v>731</v>
      </c>
    </row>
    <row r="224" spans="1:13" x14ac:dyDescent="0.25">
      <c r="A224">
        <v>223</v>
      </c>
      <c r="B224">
        <v>31</v>
      </c>
      <c r="D224">
        <v>170</v>
      </c>
      <c r="E224" t="s">
        <v>696</v>
      </c>
      <c r="F224" t="s">
        <v>706</v>
      </c>
      <c r="H224">
        <v>0.16500000000000001</v>
      </c>
      <c r="K224">
        <v>15</v>
      </c>
      <c r="L224" t="s">
        <v>272</v>
      </c>
      <c r="M224" t="s">
        <v>731</v>
      </c>
    </row>
    <row r="225" spans="1:13" x14ac:dyDescent="0.25">
      <c r="A225">
        <v>224</v>
      </c>
      <c r="B225">
        <v>31</v>
      </c>
      <c r="D225">
        <v>171</v>
      </c>
      <c r="E225" t="s">
        <v>697</v>
      </c>
      <c r="F225" t="s">
        <v>706</v>
      </c>
      <c r="H225">
        <v>0.16500000000000001</v>
      </c>
      <c r="K225">
        <v>15</v>
      </c>
      <c r="L225" t="s">
        <v>267</v>
      </c>
      <c r="M225" t="s">
        <v>731</v>
      </c>
    </row>
    <row r="226" spans="1:13" x14ac:dyDescent="0.25">
      <c r="A226">
        <v>225</v>
      </c>
      <c r="B226">
        <v>31</v>
      </c>
      <c r="D226">
        <v>172</v>
      </c>
      <c r="E226" t="s">
        <v>698</v>
      </c>
      <c r="F226" t="s">
        <v>706</v>
      </c>
      <c r="H226">
        <v>0.16500000000000001</v>
      </c>
      <c r="K226">
        <v>15</v>
      </c>
      <c r="L226" t="s">
        <v>234</v>
      </c>
      <c r="M226" t="s">
        <v>731</v>
      </c>
    </row>
    <row r="227" spans="1:13" x14ac:dyDescent="0.25">
      <c r="A227">
        <v>226</v>
      </c>
      <c r="B227">
        <v>31</v>
      </c>
      <c r="D227">
        <v>173</v>
      </c>
      <c r="E227" t="s">
        <v>699</v>
      </c>
      <c r="F227" t="s">
        <v>706</v>
      </c>
      <c r="H227">
        <v>0.16500000000000001</v>
      </c>
      <c r="K227">
        <v>15</v>
      </c>
      <c r="L227" t="s">
        <v>252</v>
      </c>
      <c r="M227" t="s">
        <v>731</v>
      </c>
    </row>
    <row r="228" spans="1:13" x14ac:dyDescent="0.25">
      <c r="A228">
        <v>227</v>
      </c>
      <c r="B228">
        <v>31</v>
      </c>
      <c r="D228">
        <v>174</v>
      </c>
      <c r="E228" t="s">
        <v>700</v>
      </c>
      <c r="F228" t="s">
        <v>706</v>
      </c>
      <c r="H228">
        <v>0.13200000000000001</v>
      </c>
      <c r="K228">
        <v>12</v>
      </c>
      <c r="L228" t="s">
        <v>278</v>
      </c>
      <c r="M228" t="s">
        <v>731</v>
      </c>
    </row>
    <row r="229" spans="1:13" x14ac:dyDescent="0.25">
      <c r="A229">
        <v>228</v>
      </c>
      <c r="B229">
        <v>31</v>
      </c>
      <c r="D229">
        <v>175</v>
      </c>
      <c r="E229" t="s">
        <v>701</v>
      </c>
      <c r="F229" t="s">
        <v>706</v>
      </c>
      <c r="H229">
        <v>0.16500000000000001</v>
      </c>
      <c r="K229">
        <v>15</v>
      </c>
      <c r="L229" t="s">
        <v>268</v>
      </c>
      <c r="M229" t="s">
        <v>731</v>
      </c>
    </row>
    <row r="230" spans="1:13" x14ac:dyDescent="0.25">
      <c r="A230">
        <v>229</v>
      </c>
      <c r="B230">
        <v>31</v>
      </c>
      <c r="D230">
        <v>176</v>
      </c>
      <c r="E230" t="s">
        <v>702</v>
      </c>
      <c r="F230" t="s">
        <v>706</v>
      </c>
      <c r="H230">
        <v>0.16500000000000001</v>
      </c>
      <c r="K230">
        <v>15</v>
      </c>
      <c r="L230" t="s">
        <v>456</v>
      </c>
      <c r="M230" t="s">
        <v>731</v>
      </c>
    </row>
    <row r="231" spans="1:13" x14ac:dyDescent="0.25">
      <c r="A231">
        <v>230</v>
      </c>
      <c r="B231">
        <v>31</v>
      </c>
      <c r="D231">
        <v>177</v>
      </c>
      <c r="E231" t="s">
        <v>703</v>
      </c>
      <c r="F231" t="s">
        <v>706</v>
      </c>
      <c r="H231">
        <v>0.16500000000000001</v>
      </c>
      <c r="K231">
        <v>15</v>
      </c>
      <c r="L231" t="s">
        <v>457</v>
      </c>
      <c r="M231" t="s">
        <v>731</v>
      </c>
    </row>
    <row r="232" spans="1:13" x14ac:dyDescent="0.25">
      <c r="A232">
        <v>231</v>
      </c>
      <c r="B232">
        <v>31</v>
      </c>
      <c r="D232">
        <v>178</v>
      </c>
      <c r="E232" t="s">
        <v>704</v>
      </c>
      <c r="F232" t="s">
        <v>706</v>
      </c>
      <c r="H232">
        <v>0.16500000000000001</v>
      </c>
      <c r="K232">
        <v>15</v>
      </c>
      <c r="L232" t="s">
        <v>458</v>
      </c>
      <c r="M232" t="s">
        <v>731</v>
      </c>
    </row>
    <row r="233" spans="1:13" x14ac:dyDescent="0.25">
      <c r="A233">
        <v>232</v>
      </c>
      <c r="B233">
        <v>31</v>
      </c>
      <c r="D233">
        <v>179</v>
      </c>
      <c r="E233" t="s">
        <v>705</v>
      </c>
      <c r="F233" t="s">
        <v>706</v>
      </c>
      <c r="H233">
        <v>0.16500000000000001</v>
      </c>
      <c r="K233">
        <v>15</v>
      </c>
      <c r="L233" t="s">
        <v>459</v>
      </c>
      <c r="M233" t="s">
        <v>731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0010-9B2F-4050-BAA6-80AF808BAB53}">
  <sheetPr codeName="Sheet6" filterMode="1"/>
  <dimension ref="A1:P348"/>
  <sheetViews>
    <sheetView workbookViewId="0">
      <pane ySplit="1" topLeftCell="A210" activePane="bottomLeft" state="frozen"/>
      <selection pane="bottomLeft" activeCell="C1" sqref="C1"/>
    </sheetView>
  </sheetViews>
  <sheetFormatPr defaultRowHeight="15" x14ac:dyDescent="0.25"/>
  <cols>
    <col min="1" max="1" width="7.140625" bestFit="1" customWidth="1"/>
    <col min="2" max="2" width="8.140625" customWidth="1"/>
    <col min="3" max="3" width="10.5703125" bestFit="1" customWidth="1"/>
    <col min="5" max="5" width="8.42578125" bestFit="1" customWidth="1"/>
    <col min="6" max="6" width="55.7109375" customWidth="1"/>
    <col min="7" max="7" width="6.7109375" bestFit="1" customWidth="1"/>
    <col min="8" max="8" width="7.85546875" bestFit="1" customWidth="1"/>
    <col min="9" max="9" width="16" style="167" bestFit="1" customWidth="1"/>
    <col min="10" max="10" width="9.85546875" customWidth="1"/>
    <col min="11" max="11" width="10" bestFit="1" customWidth="1"/>
    <col min="12" max="12" width="13.28515625" bestFit="1" customWidth="1"/>
    <col min="13" max="13" width="11.7109375" customWidth="1"/>
    <col min="14" max="14" width="17" style="123" bestFit="1" customWidth="1"/>
    <col min="15" max="15" width="8.42578125" style="123" bestFit="1" customWidth="1"/>
  </cols>
  <sheetData>
    <row r="1" spans="1:14" x14ac:dyDescent="0.25">
      <c r="A1" s="124" t="s">
        <v>168</v>
      </c>
      <c r="B1" s="124" t="s">
        <v>167</v>
      </c>
      <c r="C1" s="124" t="s">
        <v>175</v>
      </c>
      <c r="D1" s="124" t="s">
        <v>186</v>
      </c>
      <c r="E1" s="124" t="s">
        <v>177</v>
      </c>
      <c r="F1" s="124" t="s">
        <v>227</v>
      </c>
      <c r="G1" s="124" t="s">
        <v>180</v>
      </c>
      <c r="H1" s="124" t="s">
        <v>187</v>
      </c>
      <c r="I1" s="166" t="s">
        <v>231</v>
      </c>
      <c r="J1" s="124" t="s">
        <v>228</v>
      </c>
      <c r="K1" s="124" t="s">
        <v>230</v>
      </c>
      <c r="L1" s="124" t="s">
        <v>290</v>
      </c>
      <c r="M1" s="124" t="s">
        <v>711</v>
      </c>
      <c r="N1" s="216" t="s">
        <v>709</v>
      </c>
    </row>
    <row r="2" spans="1:14" hidden="1" x14ac:dyDescent="0.25">
      <c r="A2" cm="1">
        <f t="array" ref="A2:A293">_xlfn.SEQUENCE(COUNTA(F:F)-1)</f>
        <v>1</v>
      </c>
      <c r="B2" t="str" cm="1">
        <f t="array" aca="1" ref="B2:B293" ca="1">INDIRECT("C2:C"&amp;COUNTA(F:F))&amp;"-"&amp;INDIRECT("E2:E"&amp;COUNTA(F:F))</f>
        <v>11-1</v>
      </c>
      <c r="C2">
        <v>11</v>
      </c>
      <c r="E2">
        <f>IF(C2=C1,IF(LEFT(F2,5)="Mazot","_",E1+1),1)</f>
        <v>1</v>
      </c>
      <c r="F2" t="s">
        <v>150</v>
      </c>
      <c r="G2" t="s">
        <v>149</v>
      </c>
      <c r="I2" s="167">
        <v>5500</v>
      </c>
      <c r="N2" s="123">
        <v>45646</v>
      </c>
    </row>
    <row r="3" spans="1:14" hidden="1" x14ac:dyDescent="0.25">
      <c r="A3">
        <v>2</v>
      </c>
      <c r="B3" t="str">
        <f ca="1"/>
        <v>11-2</v>
      </c>
      <c r="C3">
        <v>11</v>
      </c>
      <c r="E3">
        <f>IF(C3=C2,IF(LEFT(F3,5)="Mazot","_",E2+1),1)</f>
        <v>2</v>
      </c>
      <c r="F3" t="s">
        <v>151</v>
      </c>
      <c r="G3" t="s">
        <v>152</v>
      </c>
      <c r="I3" s="167">
        <v>200</v>
      </c>
      <c r="N3" s="123">
        <v>45646</v>
      </c>
    </row>
    <row r="4" spans="1:14" hidden="1" x14ac:dyDescent="0.25">
      <c r="A4">
        <v>3</v>
      </c>
      <c r="B4" t="str">
        <f ca="1"/>
        <v>11-3</v>
      </c>
      <c r="C4">
        <v>11</v>
      </c>
      <c r="E4">
        <f t="shared" ref="E4:E67" si="0">IF(C4=C3,IF(LEFT(F4,5)="Mazot","_",E3+1),1)</f>
        <v>3</v>
      </c>
      <c r="F4" t="s">
        <v>157</v>
      </c>
      <c r="G4" t="s">
        <v>189</v>
      </c>
      <c r="I4" s="167">
        <v>100</v>
      </c>
      <c r="N4" s="123">
        <v>45646</v>
      </c>
    </row>
    <row r="5" spans="1:14" hidden="1" x14ac:dyDescent="0.25">
      <c r="A5">
        <v>4</v>
      </c>
      <c r="B5" t="str">
        <f ca="1"/>
        <v>11-4</v>
      </c>
      <c r="C5">
        <v>11</v>
      </c>
      <c r="E5">
        <f t="shared" si="0"/>
        <v>4</v>
      </c>
      <c r="F5" t="s">
        <v>155</v>
      </c>
      <c r="G5" t="s">
        <v>189</v>
      </c>
      <c r="I5" s="167">
        <v>300</v>
      </c>
      <c r="N5" s="123">
        <v>45646</v>
      </c>
    </row>
    <row r="6" spans="1:14" hidden="1" x14ac:dyDescent="0.25">
      <c r="A6">
        <v>5</v>
      </c>
      <c r="B6" t="str">
        <f ca="1"/>
        <v>11-5</v>
      </c>
      <c r="C6">
        <v>11</v>
      </c>
      <c r="E6">
        <f t="shared" si="0"/>
        <v>5</v>
      </c>
      <c r="F6" t="s">
        <v>156</v>
      </c>
      <c r="G6" t="s">
        <v>189</v>
      </c>
      <c r="I6" s="167">
        <v>540</v>
      </c>
      <c r="N6" s="123">
        <v>45646</v>
      </c>
    </row>
    <row r="7" spans="1:14" hidden="1" x14ac:dyDescent="0.25">
      <c r="A7">
        <v>6</v>
      </c>
      <c r="B7" t="str">
        <f ca="1"/>
        <v>11-6</v>
      </c>
      <c r="C7">
        <v>11</v>
      </c>
      <c r="E7">
        <f t="shared" si="0"/>
        <v>6</v>
      </c>
      <c r="F7" t="s">
        <v>158</v>
      </c>
      <c r="G7" t="s">
        <v>152</v>
      </c>
      <c r="I7" s="167">
        <v>1000</v>
      </c>
      <c r="N7" s="123">
        <v>45646</v>
      </c>
    </row>
    <row r="8" spans="1:14" hidden="1" x14ac:dyDescent="0.25">
      <c r="A8">
        <v>7</v>
      </c>
      <c r="B8" t="str">
        <f ca="1"/>
        <v>11-7</v>
      </c>
      <c r="C8">
        <v>11</v>
      </c>
      <c r="E8">
        <f t="shared" si="0"/>
        <v>7</v>
      </c>
      <c r="F8" t="s">
        <v>159</v>
      </c>
      <c r="G8" t="s">
        <v>189</v>
      </c>
      <c r="I8" s="167">
        <v>110</v>
      </c>
      <c r="N8" s="123">
        <v>45646</v>
      </c>
    </row>
    <row r="9" spans="1:14" hidden="1" x14ac:dyDescent="0.25">
      <c r="A9">
        <v>8</v>
      </c>
      <c r="B9" t="str">
        <f ca="1"/>
        <v>11-8</v>
      </c>
      <c r="C9">
        <v>11</v>
      </c>
      <c r="E9">
        <f t="shared" si="0"/>
        <v>8</v>
      </c>
      <c r="F9" t="s">
        <v>161</v>
      </c>
      <c r="G9" t="s">
        <v>189</v>
      </c>
      <c r="I9" s="167">
        <v>357</v>
      </c>
      <c r="N9" s="123">
        <v>45646</v>
      </c>
    </row>
    <row r="10" spans="1:14" hidden="1" x14ac:dyDescent="0.25">
      <c r="A10">
        <v>9</v>
      </c>
      <c r="B10" t="str">
        <f ca="1"/>
        <v>11-9</v>
      </c>
      <c r="C10">
        <v>11</v>
      </c>
      <c r="E10">
        <f t="shared" si="0"/>
        <v>9</v>
      </c>
      <c r="F10" t="s">
        <v>162</v>
      </c>
      <c r="G10" t="s">
        <v>189</v>
      </c>
      <c r="I10" s="167">
        <v>215</v>
      </c>
      <c r="N10" s="123">
        <v>45646</v>
      </c>
    </row>
    <row r="11" spans="1:14" hidden="1" x14ac:dyDescent="0.25">
      <c r="A11">
        <v>10</v>
      </c>
      <c r="B11" t="str">
        <f ca="1"/>
        <v>14-1</v>
      </c>
      <c r="C11">
        <v>14</v>
      </c>
      <c r="E11">
        <f t="shared" si="0"/>
        <v>1</v>
      </c>
      <c r="F11" t="s">
        <v>190</v>
      </c>
      <c r="G11" t="s">
        <v>149</v>
      </c>
      <c r="I11" s="167">
        <v>730</v>
      </c>
      <c r="N11" s="123">
        <v>45652</v>
      </c>
    </row>
    <row r="12" spans="1:14" hidden="1" x14ac:dyDescent="0.25">
      <c r="A12">
        <v>11</v>
      </c>
      <c r="B12" t="str">
        <f ca="1"/>
        <v>14-2</v>
      </c>
      <c r="C12">
        <v>14</v>
      </c>
      <c r="E12">
        <f t="shared" si="0"/>
        <v>2</v>
      </c>
      <c r="F12" t="s">
        <v>191</v>
      </c>
      <c r="G12" t="s">
        <v>149</v>
      </c>
      <c r="I12" s="167">
        <v>1100</v>
      </c>
      <c r="N12" s="123">
        <v>45652</v>
      </c>
    </row>
    <row r="13" spans="1:14" hidden="1" x14ac:dyDescent="0.25">
      <c r="A13">
        <v>12</v>
      </c>
      <c r="B13" t="str">
        <f ca="1"/>
        <v>14-3</v>
      </c>
      <c r="C13">
        <v>14</v>
      </c>
      <c r="E13">
        <f t="shared" si="0"/>
        <v>3</v>
      </c>
      <c r="F13" t="s">
        <v>192</v>
      </c>
      <c r="G13" t="s">
        <v>149</v>
      </c>
      <c r="I13" s="167">
        <v>900</v>
      </c>
      <c r="N13" s="123">
        <v>45652</v>
      </c>
    </row>
    <row r="14" spans="1:14" hidden="1" x14ac:dyDescent="0.25">
      <c r="A14">
        <v>13</v>
      </c>
      <c r="B14" t="str">
        <f ca="1"/>
        <v>14-4</v>
      </c>
      <c r="C14">
        <v>14</v>
      </c>
      <c r="E14">
        <f t="shared" si="0"/>
        <v>4</v>
      </c>
      <c r="F14" t="s">
        <v>193</v>
      </c>
      <c r="G14" t="s">
        <v>149</v>
      </c>
      <c r="I14" s="167">
        <v>800</v>
      </c>
      <c r="N14" s="123">
        <v>45652</v>
      </c>
    </row>
    <row r="15" spans="1:14" hidden="1" x14ac:dyDescent="0.25">
      <c r="A15">
        <v>14</v>
      </c>
      <c r="B15" t="str">
        <f ca="1"/>
        <v>14-5</v>
      </c>
      <c r="C15">
        <v>14</v>
      </c>
      <c r="E15">
        <f t="shared" si="0"/>
        <v>5</v>
      </c>
      <c r="F15" t="s">
        <v>194</v>
      </c>
      <c r="G15" t="s">
        <v>149</v>
      </c>
      <c r="I15" s="167">
        <v>900</v>
      </c>
      <c r="N15" s="123">
        <v>45652</v>
      </c>
    </row>
    <row r="16" spans="1:14" hidden="1" x14ac:dyDescent="0.25">
      <c r="A16">
        <v>15</v>
      </c>
      <c r="B16" t="str">
        <f ca="1"/>
        <v>14-6</v>
      </c>
      <c r="C16">
        <v>14</v>
      </c>
      <c r="E16">
        <f t="shared" si="0"/>
        <v>6</v>
      </c>
      <c r="F16" t="s">
        <v>195</v>
      </c>
      <c r="G16" t="s">
        <v>149</v>
      </c>
      <c r="I16" s="167">
        <v>4000</v>
      </c>
      <c r="N16" s="123">
        <v>45652</v>
      </c>
    </row>
    <row r="17" spans="1:14" hidden="1" x14ac:dyDescent="0.25">
      <c r="A17">
        <v>16</v>
      </c>
      <c r="B17" t="str">
        <f ca="1"/>
        <v>14-7</v>
      </c>
      <c r="C17">
        <v>14</v>
      </c>
      <c r="E17">
        <f t="shared" si="0"/>
        <v>7</v>
      </c>
      <c r="F17" t="s">
        <v>196</v>
      </c>
      <c r="G17" t="s">
        <v>149</v>
      </c>
      <c r="I17" s="167">
        <v>900</v>
      </c>
      <c r="N17" s="123">
        <v>45652</v>
      </c>
    </row>
    <row r="18" spans="1:14" hidden="1" x14ac:dyDescent="0.25">
      <c r="A18">
        <v>17</v>
      </c>
      <c r="B18" t="str">
        <f ca="1"/>
        <v>14-8</v>
      </c>
      <c r="C18">
        <v>14</v>
      </c>
      <c r="E18">
        <f t="shared" si="0"/>
        <v>8</v>
      </c>
      <c r="F18" t="s">
        <v>197</v>
      </c>
      <c r="G18" t="s">
        <v>651</v>
      </c>
      <c r="I18" s="167">
        <v>2</v>
      </c>
      <c r="N18" s="123">
        <v>45652</v>
      </c>
    </row>
    <row r="19" spans="1:14" hidden="1" x14ac:dyDescent="0.25">
      <c r="A19">
        <v>18</v>
      </c>
      <c r="B19" t="str">
        <f ca="1"/>
        <v>14-9</v>
      </c>
      <c r="C19">
        <v>14</v>
      </c>
      <c r="E19">
        <f t="shared" si="0"/>
        <v>9</v>
      </c>
      <c r="F19" t="s">
        <v>198</v>
      </c>
      <c r="G19" t="s">
        <v>651</v>
      </c>
      <c r="I19" s="167">
        <v>2.5</v>
      </c>
      <c r="N19" s="123">
        <v>45652</v>
      </c>
    </row>
    <row r="20" spans="1:14" hidden="1" x14ac:dyDescent="0.25">
      <c r="A20">
        <v>19</v>
      </c>
      <c r="B20" t="str">
        <f ca="1"/>
        <v>14-10</v>
      </c>
      <c r="C20">
        <v>14</v>
      </c>
      <c r="E20">
        <f t="shared" si="0"/>
        <v>10</v>
      </c>
      <c r="F20" t="s">
        <v>199</v>
      </c>
      <c r="G20" t="s">
        <v>651</v>
      </c>
      <c r="I20" s="167">
        <v>2</v>
      </c>
      <c r="N20" s="123">
        <v>45652</v>
      </c>
    </row>
    <row r="21" spans="1:14" hidden="1" x14ac:dyDescent="0.25">
      <c r="A21">
        <v>20</v>
      </c>
      <c r="B21" t="str">
        <f ca="1"/>
        <v>14-11</v>
      </c>
      <c r="C21">
        <v>14</v>
      </c>
      <c r="E21">
        <f t="shared" si="0"/>
        <v>11</v>
      </c>
      <c r="F21" t="s">
        <v>200</v>
      </c>
      <c r="G21" t="s">
        <v>651</v>
      </c>
      <c r="I21" s="167">
        <v>2</v>
      </c>
      <c r="N21" s="123">
        <v>45652</v>
      </c>
    </row>
    <row r="22" spans="1:14" hidden="1" x14ac:dyDescent="0.25">
      <c r="A22">
        <v>21</v>
      </c>
      <c r="B22" t="str">
        <f ca="1"/>
        <v>14-12</v>
      </c>
      <c r="C22">
        <v>14</v>
      </c>
      <c r="E22">
        <f t="shared" si="0"/>
        <v>12</v>
      </c>
      <c r="F22" t="s">
        <v>201</v>
      </c>
      <c r="G22" t="s">
        <v>651</v>
      </c>
      <c r="I22" s="167">
        <v>2</v>
      </c>
      <c r="N22" s="123">
        <v>45652</v>
      </c>
    </row>
    <row r="23" spans="1:14" hidden="1" x14ac:dyDescent="0.25">
      <c r="A23">
        <v>22</v>
      </c>
      <c r="B23" t="str">
        <f ca="1"/>
        <v>14-13</v>
      </c>
      <c r="C23">
        <v>14</v>
      </c>
      <c r="E23">
        <f t="shared" si="0"/>
        <v>13</v>
      </c>
      <c r="F23" t="s">
        <v>202</v>
      </c>
      <c r="G23" t="s">
        <v>651</v>
      </c>
      <c r="I23" s="167">
        <v>4</v>
      </c>
      <c r="N23" s="123">
        <v>45652</v>
      </c>
    </row>
    <row r="24" spans="1:14" hidden="1" x14ac:dyDescent="0.25">
      <c r="A24">
        <v>23</v>
      </c>
      <c r="B24" t="str">
        <f ca="1"/>
        <v>14-14</v>
      </c>
      <c r="C24">
        <v>14</v>
      </c>
      <c r="E24">
        <f t="shared" si="0"/>
        <v>14</v>
      </c>
      <c r="F24" t="s">
        <v>203</v>
      </c>
      <c r="G24" t="s">
        <v>651</v>
      </c>
      <c r="I24" s="167">
        <v>2</v>
      </c>
      <c r="N24" s="123">
        <v>45652</v>
      </c>
    </row>
    <row r="25" spans="1:14" hidden="1" x14ac:dyDescent="0.25">
      <c r="A25">
        <v>24</v>
      </c>
      <c r="B25" t="str">
        <f ca="1"/>
        <v>14-15</v>
      </c>
      <c r="C25">
        <v>14</v>
      </c>
      <c r="E25">
        <f t="shared" si="0"/>
        <v>15</v>
      </c>
      <c r="F25" t="s">
        <v>204</v>
      </c>
      <c r="G25" t="s">
        <v>651</v>
      </c>
      <c r="I25" s="167">
        <v>4000</v>
      </c>
      <c r="N25" s="123">
        <v>45652</v>
      </c>
    </row>
    <row r="26" spans="1:14" hidden="1" x14ac:dyDescent="0.25">
      <c r="A26">
        <v>25</v>
      </c>
      <c r="B26" t="str">
        <f ca="1"/>
        <v>14-16</v>
      </c>
      <c r="C26">
        <v>14</v>
      </c>
      <c r="E26">
        <f t="shared" si="0"/>
        <v>16</v>
      </c>
      <c r="F26" t="s">
        <v>205</v>
      </c>
      <c r="G26" t="s">
        <v>651</v>
      </c>
      <c r="I26" s="167">
        <v>3.5</v>
      </c>
      <c r="N26" s="123">
        <v>45652</v>
      </c>
    </row>
    <row r="27" spans="1:14" hidden="1" x14ac:dyDescent="0.25">
      <c r="A27">
        <v>26</v>
      </c>
      <c r="B27" t="str">
        <f ca="1"/>
        <v>30-1</v>
      </c>
      <c r="C27">
        <v>30</v>
      </c>
      <c r="E27">
        <f t="shared" si="0"/>
        <v>1</v>
      </c>
      <c r="F27" t="s">
        <v>476</v>
      </c>
      <c r="G27" t="s">
        <v>650</v>
      </c>
      <c r="H27" t="b">
        <v>0</v>
      </c>
      <c r="I27" s="167">
        <f>K27/J27</f>
        <v>183.33333333333334</v>
      </c>
      <c r="J27">
        <v>30</v>
      </c>
      <c r="K27">
        <v>5500</v>
      </c>
      <c r="L27" t="s">
        <v>424</v>
      </c>
      <c r="M27" t="s">
        <v>233</v>
      </c>
      <c r="N27" s="123">
        <v>45658</v>
      </c>
    </row>
    <row r="28" spans="1:14" hidden="1" x14ac:dyDescent="0.25">
      <c r="A28">
        <v>27</v>
      </c>
      <c r="B28" t="str">
        <f ca="1"/>
        <v>30-2</v>
      </c>
      <c r="C28">
        <v>30</v>
      </c>
      <c r="E28">
        <f t="shared" si="0"/>
        <v>2</v>
      </c>
      <c r="F28" t="s">
        <v>477</v>
      </c>
      <c r="G28" t="s">
        <v>650</v>
      </c>
      <c r="H28" t="b">
        <v>0</v>
      </c>
      <c r="I28" s="167">
        <f>K28/J28</f>
        <v>183.33333333333334</v>
      </c>
      <c r="J28">
        <v>30</v>
      </c>
      <c r="K28">
        <v>5500</v>
      </c>
      <c r="L28" t="s">
        <v>424</v>
      </c>
      <c r="M28" t="s">
        <v>402</v>
      </c>
      <c r="N28" s="123">
        <v>45679</v>
      </c>
    </row>
    <row r="29" spans="1:14" hidden="1" x14ac:dyDescent="0.25">
      <c r="A29">
        <v>28</v>
      </c>
      <c r="B29" t="str">
        <f ca="1"/>
        <v>30-3</v>
      </c>
      <c r="C29">
        <v>30</v>
      </c>
      <c r="E29">
        <f t="shared" si="0"/>
        <v>3</v>
      </c>
      <c r="F29" t="s">
        <v>415</v>
      </c>
      <c r="G29" t="s">
        <v>183</v>
      </c>
      <c r="I29" s="167">
        <v>5500</v>
      </c>
      <c r="L29" t="s">
        <v>424</v>
      </c>
      <c r="M29" t="s">
        <v>233</v>
      </c>
      <c r="N29" s="123">
        <v>45658</v>
      </c>
    </row>
    <row r="30" spans="1:14" hidden="1" x14ac:dyDescent="0.25">
      <c r="A30">
        <v>29</v>
      </c>
      <c r="B30" t="str">
        <f ca="1"/>
        <v>30-4</v>
      </c>
      <c r="C30">
        <v>30</v>
      </c>
      <c r="E30">
        <f t="shared" si="0"/>
        <v>4</v>
      </c>
      <c r="F30" t="s">
        <v>416</v>
      </c>
      <c r="G30" t="s">
        <v>183</v>
      </c>
      <c r="I30" s="167">
        <v>5500</v>
      </c>
      <c r="L30" t="s">
        <v>424</v>
      </c>
      <c r="M30" t="s">
        <v>402</v>
      </c>
      <c r="N30" s="123">
        <v>45679</v>
      </c>
    </row>
    <row r="31" spans="1:14" hidden="1" x14ac:dyDescent="0.25">
      <c r="A31">
        <v>30</v>
      </c>
      <c r="B31" t="str">
        <f ca="1"/>
        <v>31-1</v>
      </c>
      <c r="C31">
        <v>31</v>
      </c>
      <c r="E31">
        <f t="shared" si="0"/>
        <v>1</v>
      </c>
      <c r="F31" t="s">
        <v>389</v>
      </c>
      <c r="G31" t="s">
        <v>650</v>
      </c>
      <c r="I31" s="167">
        <v>73.33</v>
      </c>
      <c r="J31">
        <f>VLOOKUP(SUBSTITUTE(F31,"-tək",""),[4]Prices!$C$156:$F$212,4,0)</f>
        <v>30</v>
      </c>
      <c r="L31">
        <v>18</v>
      </c>
      <c r="M31" t="s">
        <v>238</v>
      </c>
      <c r="N31" s="123">
        <v>45658</v>
      </c>
    </row>
    <row r="32" spans="1:14" hidden="1" x14ac:dyDescent="0.25">
      <c r="A32">
        <v>31</v>
      </c>
      <c r="B32" t="str">
        <f ca="1"/>
        <v>31-2</v>
      </c>
      <c r="C32">
        <v>31</v>
      </c>
      <c r="E32">
        <f t="shared" si="0"/>
        <v>2</v>
      </c>
      <c r="F32" t="s">
        <v>388</v>
      </c>
      <c r="G32" t="s">
        <v>651</v>
      </c>
      <c r="I32" s="167">
        <v>7.3330000000000002</v>
      </c>
      <c r="L32">
        <v>18</v>
      </c>
      <c r="M32" t="s">
        <v>238</v>
      </c>
      <c r="N32" s="123">
        <v>45658</v>
      </c>
    </row>
    <row r="33" spans="1:14" hidden="1" x14ac:dyDescent="0.25">
      <c r="A33">
        <v>32</v>
      </c>
      <c r="B33" t="str">
        <f ca="1"/>
        <v>31-3</v>
      </c>
      <c r="C33">
        <v>31</v>
      </c>
      <c r="E33">
        <f t="shared" si="0"/>
        <v>3</v>
      </c>
      <c r="F33" t="s">
        <v>385</v>
      </c>
      <c r="G33" t="s">
        <v>650</v>
      </c>
      <c r="I33" s="167">
        <v>65</v>
      </c>
      <c r="J33">
        <f>VLOOKUP(SUBSTITUTE(F33,"-tək",""),[4]Prices!$C$156:$F$212,4,0)</f>
        <v>30</v>
      </c>
      <c r="L33">
        <v>18</v>
      </c>
      <c r="M33" t="s">
        <v>260</v>
      </c>
      <c r="N33" s="123">
        <v>45658</v>
      </c>
    </row>
    <row r="34" spans="1:14" hidden="1" x14ac:dyDescent="0.25">
      <c r="A34">
        <v>33</v>
      </c>
      <c r="B34" t="str">
        <f ca="1"/>
        <v>31-4</v>
      </c>
      <c r="C34">
        <v>31</v>
      </c>
      <c r="E34">
        <f t="shared" si="0"/>
        <v>4</v>
      </c>
      <c r="F34" t="s">
        <v>384</v>
      </c>
      <c r="G34" t="s">
        <v>651</v>
      </c>
      <c r="I34" s="167">
        <v>6.5</v>
      </c>
      <c r="L34">
        <v>18</v>
      </c>
      <c r="M34" t="s">
        <v>260</v>
      </c>
      <c r="N34" s="123">
        <v>45658</v>
      </c>
    </row>
    <row r="35" spans="1:14" hidden="1" x14ac:dyDescent="0.25">
      <c r="A35">
        <v>34</v>
      </c>
      <c r="B35" t="str">
        <f ca="1"/>
        <v>31-5</v>
      </c>
      <c r="C35">
        <v>31</v>
      </c>
      <c r="E35">
        <f t="shared" si="0"/>
        <v>5</v>
      </c>
      <c r="F35" t="s">
        <v>358</v>
      </c>
      <c r="G35" t="s">
        <v>650</v>
      </c>
      <c r="I35" s="167">
        <v>73.33</v>
      </c>
      <c r="J35">
        <f>VLOOKUP(SUBSTITUTE(F35,"-tək",""),[4]Prices!$C$156:$F$212,4,0)</f>
        <v>30</v>
      </c>
      <c r="L35">
        <v>18</v>
      </c>
      <c r="M35" t="s">
        <v>240</v>
      </c>
      <c r="N35" s="123">
        <v>45658</v>
      </c>
    </row>
    <row r="36" spans="1:14" hidden="1" x14ac:dyDescent="0.25">
      <c r="A36">
        <v>35</v>
      </c>
      <c r="B36" t="str">
        <f ca="1"/>
        <v>31-6</v>
      </c>
      <c r="C36">
        <v>31</v>
      </c>
      <c r="E36">
        <f t="shared" si="0"/>
        <v>6</v>
      </c>
      <c r="F36" t="s">
        <v>357</v>
      </c>
      <c r="G36" t="s">
        <v>651</v>
      </c>
      <c r="I36" s="167">
        <v>7.3330000000000002</v>
      </c>
      <c r="L36">
        <v>18</v>
      </c>
      <c r="M36" t="s">
        <v>240</v>
      </c>
      <c r="N36" s="123">
        <v>45658</v>
      </c>
    </row>
    <row r="37" spans="1:14" hidden="1" x14ac:dyDescent="0.25">
      <c r="A37">
        <v>36</v>
      </c>
      <c r="B37" t="str">
        <f ca="1"/>
        <v>31-7</v>
      </c>
      <c r="C37">
        <v>31</v>
      </c>
      <c r="E37">
        <f t="shared" si="0"/>
        <v>7</v>
      </c>
      <c r="F37" t="s">
        <v>348</v>
      </c>
      <c r="G37" t="s">
        <v>650</v>
      </c>
      <c r="I37" s="167">
        <v>65</v>
      </c>
      <c r="J37">
        <f>VLOOKUP(SUBSTITUTE(F37,"-tək",""),[4]Prices!$C$156:$F$212,4,0)</f>
        <v>30</v>
      </c>
      <c r="L37" t="s">
        <v>424</v>
      </c>
      <c r="M37" t="s">
        <v>241</v>
      </c>
      <c r="N37" s="123">
        <v>45658</v>
      </c>
    </row>
    <row r="38" spans="1:14" hidden="1" x14ac:dyDescent="0.25">
      <c r="A38">
        <v>37</v>
      </c>
      <c r="B38" t="str">
        <f ca="1"/>
        <v>31-8</v>
      </c>
      <c r="C38">
        <v>31</v>
      </c>
      <c r="E38">
        <f t="shared" si="0"/>
        <v>8</v>
      </c>
      <c r="F38" t="s">
        <v>347</v>
      </c>
      <c r="G38" t="s">
        <v>651</v>
      </c>
      <c r="I38" s="167">
        <v>6.5</v>
      </c>
      <c r="L38" t="s">
        <v>424</v>
      </c>
      <c r="M38" t="s">
        <v>241</v>
      </c>
      <c r="N38" s="123">
        <v>45658</v>
      </c>
    </row>
    <row r="39" spans="1:14" hidden="1" x14ac:dyDescent="0.25">
      <c r="A39">
        <v>38</v>
      </c>
      <c r="B39" t="str">
        <f ca="1"/>
        <v>31-9</v>
      </c>
      <c r="C39">
        <v>31</v>
      </c>
      <c r="E39">
        <f t="shared" si="0"/>
        <v>9</v>
      </c>
      <c r="F39" t="s">
        <v>379</v>
      </c>
      <c r="G39" t="s">
        <v>650</v>
      </c>
      <c r="I39" s="167">
        <v>73.33</v>
      </c>
      <c r="J39">
        <f>VLOOKUP(SUBSTITUTE(F39,"-tək",""),[4]Prices!$C$156:$F$212,4,0)</f>
        <v>30</v>
      </c>
      <c r="L39" t="s">
        <v>424</v>
      </c>
      <c r="M39" t="s">
        <v>239</v>
      </c>
      <c r="N39" s="123">
        <v>45658</v>
      </c>
    </row>
    <row r="40" spans="1:14" hidden="1" x14ac:dyDescent="0.25">
      <c r="A40">
        <v>39</v>
      </c>
      <c r="B40" t="str">
        <f ca="1"/>
        <v>31-10</v>
      </c>
      <c r="C40">
        <v>31</v>
      </c>
      <c r="E40">
        <f t="shared" si="0"/>
        <v>10</v>
      </c>
      <c r="F40" t="s">
        <v>378</v>
      </c>
      <c r="G40" t="s">
        <v>651</v>
      </c>
      <c r="I40" s="167">
        <v>7.3330000000000002</v>
      </c>
      <c r="L40" t="s">
        <v>424</v>
      </c>
      <c r="M40" t="s">
        <v>239</v>
      </c>
      <c r="N40" s="123">
        <v>45658</v>
      </c>
    </row>
    <row r="41" spans="1:14" hidden="1" x14ac:dyDescent="0.25">
      <c r="A41">
        <v>40</v>
      </c>
      <c r="B41" t="str">
        <f ca="1"/>
        <v>31-11</v>
      </c>
      <c r="C41">
        <v>31</v>
      </c>
      <c r="E41">
        <f t="shared" si="0"/>
        <v>11</v>
      </c>
      <c r="F41" t="s">
        <v>436</v>
      </c>
      <c r="G41" t="s">
        <v>650</v>
      </c>
      <c r="I41" s="167">
        <v>55.36</v>
      </c>
      <c r="L41">
        <v>15</v>
      </c>
      <c r="M41" t="s">
        <v>430</v>
      </c>
      <c r="N41" s="123">
        <v>45658</v>
      </c>
    </row>
    <row r="42" spans="1:14" hidden="1" x14ac:dyDescent="0.25">
      <c r="A42">
        <v>41</v>
      </c>
      <c r="B42" t="str">
        <f ca="1"/>
        <v>31-12</v>
      </c>
      <c r="C42">
        <v>31</v>
      </c>
      <c r="E42">
        <f t="shared" si="0"/>
        <v>12</v>
      </c>
      <c r="F42" t="s">
        <v>437</v>
      </c>
      <c r="G42" t="s">
        <v>651</v>
      </c>
      <c r="I42" s="167">
        <v>5.5359999999999996</v>
      </c>
      <c r="L42">
        <v>15</v>
      </c>
      <c r="M42" t="s">
        <v>430</v>
      </c>
      <c r="N42" s="123">
        <v>45658</v>
      </c>
    </row>
    <row r="43" spans="1:14" hidden="1" x14ac:dyDescent="0.25">
      <c r="A43">
        <v>42</v>
      </c>
      <c r="B43" t="str">
        <f ca="1"/>
        <v>31-13</v>
      </c>
      <c r="C43">
        <v>31</v>
      </c>
      <c r="E43">
        <f t="shared" si="0"/>
        <v>13</v>
      </c>
      <c r="F43" t="s">
        <v>328</v>
      </c>
      <c r="G43" t="s">
        <v>650</v>
      </c>
      <c r="I43" s="167">
        <v>46.67</v>
      </c>
      <c r="J43">
        <v>30</v>
      </c>
      <c r="L43">
        <v>15</v>
      </c>
      <c r="M43" t="s">
        <v>261</v>
      </c>
      <c r="N43" s="123">
        <v>45658</v>
      </c>
    </row>
    <row r="44" spans="1:14" hidden="1" x14ac:dyDescent="0.25">
      <c r="A44">
        <v>43</v>
      </c>
      <c r="B44" t="str">
        <f ca="1"/>
        <v>31-14</v>
      </c>
      <c r="C44">
        <v>31</v>
      </c>
      <c r="E44">
        <f t="shared" si="0"/>
        <v>14</v>
      </c>
      <c r="F44" t="s">
        <v>327</v>
      </c>
      <c r="G44" t="s">
        <v>651</v>
      </c>
      <c r="I44" s="167">
        <v>4.6669999999999998</v>
      </c>
      <c r="L44">
        <v>15</v>
      </c>
      <c r="M44" t="s">
        <v>261</v>
      </c>
      <c r="N44" s="123">
        <v>45658</v>
      </c>
    </row>
    <row r="45" spans="1:14" hidden="1" x14ac:dyDescent="0.25">
      <c r="A45">
        <v>44</v>
      </c>
      <c r="B45" t="str">
        <f ca="1"/>
        <v>31-15</v>
      </c>
      <c r="C45">
        <v>31</v>
      </c>
      <c r="E45">
        <f t="shared" si="0"/>
        <v>15</v>
      </c>
      <c r="F45" t="s">
        <v>326</v>
      </c>
      <c r="G45" t="s">
        <v>650</v>
      </c>
      <c r="I45" s="167">
        <v>55.36</v>
      </c>
      <c r="L45">
        <v>15</v>
      </c>
      <c r="M45" t="s">
        <v>242</v>
      </c>
      <c r="N45" s="123">
        <v>45658</v>
      </c>
    </row>
    <row r="46" spans="1:14" hidden="1" x14ac:dyDescent="0.25">
      <c r="A46">
        <v>45</v>
      </c>
      <c r="B46" t="str">
        <f ca="1"/>
        <v>31-16</v>
      </c>
      <c r="C46">
        <v>31</v>
      </c>
      <c r="E46">
        <f t="shared" si="0"/>
        <v>16</v>
      </c>
      <c r="F46" t="s">
        <v>325</v>
      </c>
      <c r="G46" t="s">
        <v>651</v>
      </c>
      <c r="I46" s="167">
        <v>5.5359999999999996</v>
      </c>
      <c r="L46">
        <v>15</v>
      </c>
      <c r="M46" t="s">
        <v>242</v>
      </c>
      <c r="N46" s="123">
        <v>45658</v>
      </c>
    </row>
    <row r="47" spans="1:14" hidden="1" x14ac:dyDescent="0.25">
      <c r="A47">
        <v>46</v>
      </c>
      <c r="B47" t="str">
        <f ca="1"/>
        <v>31-17</v>
      </c>
      <c r="C47">
        <v>31</v>
      </c>
      <c r="E47">
        <f t="shared" si="0"/>
        <v>17</v>
      </c>
      <c r="F47" t="s">
        <v>401</v>
      </c>
      <c r="G47" t="s">
        <v>650</v>
      </c>
      <c r="I47" s="167">
        <v>275</v>
      </c>
      <c r="L47" t="s">
        <v>424</v>
      </c>
      <c r="M47" t="s">
        <v>243</v>
      </c>
      <c r="N47" s="123">
        <v>45658</v>
      </c>
    </row>
    <row r="48" spans="1:14" hidden="1" x14ac:dyDescent="0.25">
      <c r="A48">
        <v>47</v>
      </c>
      <c r="B48" t="str">
        <f ca="1"/>
        <v>31-18</v>
      </c>
      <c r="C48">
        <v>31</v>
      </c>
      <c r="E48">
        <f t="shared" si="0"/>
        <v>18</v>
      </c>
      <c r="F48" t="s">
        <v>400</v>
      </c>
      <c r="G48" t="s">
        <v>651</v>
      </c>
      <c r="I48" s="167">
        <v>27.5</v>
      </c>
      <c r="L48" t="s">
        <v>424</v>
      </c>
      <c r="M48" t="s">
        <v>243</v>
      </c>
      <c r="N48" s="123">
        <v>45658</v>
      </c>
    </row>
    <row r="49" spans="1:15" hidden="1" x14ac:dyDescent="0.25">
      <c r="A49">
        <v>48</v>
      </c>
      <c r="B49" t="str">
        <f ca="1"/>
        <v>31-19</v>
      </c>
      <c r="C49">
        <v>31</v>
      </c>
      <c r="E49">
        <f t="shared" si="0"/>
        <v>19</v>
      </c>
      <c r="F49" t="s">
        <v>362</v>
      </c>
      <c r="G49" t="s">
        <v>650</v>
      </c>
      <c r="I49" s="167">
        <v>58.93</v>
      </c>
      <c r="L49">
        <v>12</v>
      </c>
      <c r="M49" t="s">
        <v>244</v>
      </c>
      <c r="N49" s="123">
        <v>45693</v>
      </c>
    </row>
    <row r="50" spans="1:15" hidden="1" x14ac:dyDescent="0.25">
      <c r="A50">
        <v>49</v>
      </c>
      <c r="B50" t="str">
        <f ca="1"/>
        <v>31-20</v>
      </c>
      <c r="C50">
        <v>31</v>
      </c>
      <c r="E50">
        <f t="shared" si="0"/>
        <v>20</v>
      </c>
      <c r="F50" t="s">
        <v>361</v>
      </c>
      <c r="G50" t="s">
        <v>651</v>
      </c>
      <c r="I50" s="167">
        <v>5.8929999999999998</v>
      </c>
      <c r="L50">
        <v>12</v>
      </c>
      <c r="M50" t="s">
        <v>244</v>
      </c>
      <c r="N50" s="123">
        <v>45693</v>
      </c>
    </row>
    <row r="51" spans="1:15" hidden="1" x14ac:dyDescent="0.25">
      <c r="A51">
        <v>50</v>
      </c>
      <c r="B51" t="str">
        <f ca="1"/>
        <v>31-21</v>
      </c>
      <c r="C51">
        <v>31</v>
      </c>
      <c r="E51">
        <f t="shared" si="0"/>
        <v>21</v>
      </c>
      <c r="F51" t="s">
        <v>475</v>
      </c>
      <c r="G51" t="s">
        <v>650</v>
      </c>
      <c r="I51" s="167">
        <v>96.43</v>
      </c>
      <c r="L51" t="s">
        <v>424</v>
      </c>
      <c r="M51" t="s">
        <v>286</v>
      </c>
      <c r="N51" s="123">
        <v>45693</v>
      </c>
    </row>
    <row r="52" spans="1:15" hidden="1" x14ac:dyDescent="0.25">
      <c r="A52">
        <v>51</v>
      </c>
      <c r="B52" t="str">
        <f ca="1"/>
        <v>31-22</v>
      </c>
      <c r="C52">
        <v>31</v>
      </c>
      <c r="E52">
        <f t="shared" si="0"/>
        <v>22</v>
      </c>
      <c r="F52" t="s">
        <v>474</v>
      </c>
      <c r="G52" t="s">
        <v>651</v>
      </c>
      <c r="I52" s="167">
        <v>9.6430000000000007</v>
      </c>
      <c r="L52" t="s">
        <v>424</v>
      </c>
      <c r="M52" t="s">
        <v>286</v>
      </c>
      <c r="N52" s="123">
        <v>45693</v>
      </c>
    </row>
    <row r="53" spans="1:15" hidden="1" x14ac:dyDescent="0.25">
      <c r="A53">
        <v>52</v>
      </c>
      <c r="B53" t="str">
        <f ca="1"/>
        <v>31-23</v>
      </c>
      <c r="C53">
        <v>31</v>
      </c>
      <c r="E53">
        <f t="shared" si="0"/>
        <v>23</v>
      </c>
      <c r="F53" t="s">
        <v>473</v>
      </c>
      <c r="G53" t="s">
        <v>650</v>
      </c>
      <c r="I53" s="167">
        <v>66.069999999999993</v>
      </c>
      <c r="L53">
        <v>15</v>
      </c>
      <c r="M53" t="s">
        <v>282</v>
      </c>
      <c r="N53" s="123">
        <v>45693</v>
      </c>
    </row>
    <row r="54" spans="1:15" hidden="1" x14ac:dyDescent="0.25">
      <c r="A54">
        <v>53</v>
      </c>
      <c r="B54" t="str">
        <f ca="1"/>
        <v>31-24</v>
      </c>
      <c r="C54">
        <v>31</v>
      </c>
      <c r="E54">
        <f t="shared" si="0"/>
        <v>24</v>
      </c>
      <c r="F54" t="s">
        <v>472</v>
      </c>
      <c r="G54" t="s">
        <v>651</v>
      </c>
      <c r="I54" s="167">
        <v>6.6070000000000002</v>
      </c>
      <c r="L54">
        <v>15</v>
      </c>
      <c r="M54" t="s">
        <v>282</v>
      </c>
      <c r="N54" s="123">
        <v>45693</v>
      </c>
    </row>
    <row r="55" spans="1:15" hidden="1" x14ac:dyDescent="0.25">
      <c r="A55">
        <v>54</v>
      </c>
      <c r="B55" t="str">
        <f ca="1"/>
        <v>31-25</v>
      </c>
      <c r="C55">
        <v>31</v>
      </c>
      <c r="E55">
        <f t="shared" si="0"/>
        <v>25</v>
      </c>
      <c r="F55" t="s">
        <v>292</v>
      </c>
      <c r="G55" t="s">
        <v>651</v>
      </c>
      <c r="I55" s="167">
        <v>5.5359999999999996</v>
      </c>
      <c r="L55">
        <v>15</v>
      </c>
      <c r="M55" t="s">
        <v>256</v>
      </c>
      <c r="N55" s="123">
        <v>45693</v>
      </c>
    </row>
    <row r="56" spans="1:15" hidden="1" x14ac:dyDescent="0.25">
      <c r="A56">
        <v>55</v>
      </c>
      <c r="B56" t="str">
        <f ca="1"/>
        <v>31-26</v>
      </c>
      <c r="C56">
        <v>31</v>
      </c>
      <c r="E56">
        <f t="shared" si="0"/>
        <v>26</v>
      </c>
      <c r="F56" t="s">
        <v>293</v>
      </c>
      <c r="G56" t="s">
        <v>650</v>
      </c>
      <c r="I56" s="167">
        <v>55.36</v>
      </c>
      <c r="L56">
        <v>15</v>
      </c>
      <c r="M56" t="s">
        <v>256</v>
      </c>
      <c r="N56" s="123">
        <v>45693</v>
      </c>
    </row>
    <row r="57" spans="1:15" hidden="1" x14ac:dyDescent="0.25">
      <c r="A57">
        <v>56</v>
      </c>
      <c r="B57" t="str">
        <f ca="1"/>
        <v>31-27</v>
      </c>
      <c r="C57">
        <v>31</v>
      </c>
      <c r="E57">
        <f t="shared" si="0"/>
        <v>27</v>
      </c>
      <c r="F57" t="s">
        <v>294</v>
      </c>
      <c r="G57" t="s">
        <v>651</v>
      </c>
      <c r="I57" s="167">
        <v>5.5359999999999996</v>
      </c>
      <c r="L57">
        <v>15</v>
      </c>
      <c r="M57" t="s">
        <v>288</v>
      </c>
      <c r="N57" s="123">
        <v>45693</v>
      </c>
    </row>
    <row r="58" spans="1:15" hidden="1" x14ac:dyDescent="0.25">
      <c r="A58">
        <v>57</v>
      </c>
      <c r="B58" t="str">
        <f ca="1"/>
        <v>31-28</v>
      </c>
      <c r="C58">
        <v>31</v>
      </c>
      <c r="E58">
        <f t="shared" si="0"/>
        <v>28</v>
      </c>
      <c r="F58" t="s">
        <v>295</v>
      </c>
      <c r="G58" t="s">
        <v>650</v>
      </c>
      <c r="I58" s="167">
        <v>55.36</v>
      </c>
      <c r="L58">
        <v>15</v>
      </c>
      <c r="M58" t="s">
        <v>288</v>
      </c>
      <c r="N58" s="123">
        <v>45693</v>
      </c>
    </row>
    <row r="59" spans="1:15" hidden="1" x14ac:dyDescent="0.25">
      <c r="A59">
        <v>58</v>
      </c>
      <c r="B59" t="str">
        <f ca="1"/>
        <v>31-29</v>
      </c>
      <c r="C59">
        <v>31</v>
      </c>
      <c r="E59">
        <f t="shared" si="0"/>
        <v>29</v>
      </c>
      <c r="F59" t="s">
        <v>296</v>
      </c>
      <c r="G59" t="s">
        <v>651</v>
      </c>
      <c r="I59" s="167">
        <v>5.5359999999999996</v>
      </c>
      <c r="L59">
        <v>15</v>
      </c>
      <c r="M59" t="s">
        <v>259</v>
      </c>
      <c r="N59" s="123">
        <v>45693</v>
      </c>
    </row>
    <row r="60" spans="1:15" hidden="1" x14ac:dyDescent="0.25">
      <c r="A60">
        <v>59</v>
      </c>
      <c r="B60" t="str">
        <f ca="1"/>
        <v>31-30</v>
      </c>
      <c r="C60">
        <v>31</v>
      </c>
      <c r="E60">
        <f t="shared" si="0"/>
        <v>30</v>
      </c>
      <c r="F60" t="s">
        <v>297</v>
      </c>
      <c r="G60" t="s">
        <v>651</v>
      </c>
      <c r="I60" s="167">
        <v>6.25</v>
      </c>
      <c r="L60">
        <v>15</v>
      </c>
      <c r="M60" t="s">
        <v>259</v>
      </c>
      <c r="N60" s="123">
        <v>45870</v>
      </c>
    </row>
    <row r="61" spans="1:15" hidden="1" x14ac:dyDescent="0.25">
      <c r="A61">
        <v>60</v>
      </c>
      <c r="B61" t="str">
        <f ca="1"/>
        <v>31-31</v>
      </c>
      <c r="C61">
        <v>31</v>
      </c>
      <c r="E61">
        <f t="shared" si="0"/>
        <v>31</v>
      </c>
      <c r="F61" t="s">
        <v>298</v>
      </c>
      <c r="G61" t="s">
        <v>650</v>
      </c>
      <c r="I61" s="167">
        <v>55.36</v>
      </c>
      <c r="L61">
        <v>15</v>
      </c>
      <c r="M61" t="s">
        <v>259</v>
      </c>
      <c r="N61" s="123">
        <v>45693</v>
      </c>
    </row>
    <row r="62" spans="1:15" hidden="1" x14ac:dyDescent="0.25">
      <c r="A62">
        <v>61</v>
      </c>
      <c r="B62" t="str">
        <f ca="1"/>
        <v>31-32</v>
      </c>
      <c r="C62">
        <v>31</v>
      </c>
      <c r="E62">
        <f t="shared" si="0"/>
        <v>32</v>
      </c>
      <c r="F62" t="s">
        <v>299</v>
      </c>
      <c r="G62" t="s">
        <v>650</v>
      </c>
      <c r="I62" s="167">
        <v>62.5</v>
      </c>
      <c r="L62">
        <v>15</v>
      </c>
      <c r="M62" t="s">
        <v>259</v>
      </c>
      <c r="N62" s="123">
        <v>45870</v>
      </c>
      <c r="O62"/>
    </row>
    <row r="63" spans="1:15" hidden="1" x14ac:dyDescent="0.25">
      <c r="A63">
        <v>62</v>
      </c>
      <c r="B63" t="str">
        <f ca="1"/>
        <v>31-33</v>
      </c>
      <c r="C63">
        <v>31</v>
      </c>
      <c r="E63">
        <f t="shared" si="0"/>
        <v>33</v>
      </c>
      <c r="F63" t="s">
        <v>300</v>
      </c>
      <c r="G63" t="s">
        <v>650</v>
      </c>
      <c r="I63" s="167">
        <v>66.67</v>
      </c>
      <c r="J63">
        <v>30</v>
      </c>
      <c r="L63">
        <v>15</v>
      </c>
      <c r="M63" t="s">
        <v>289</v>
      </c>
      <c r="N63" s="123">
        <v>45693</v>
      </c>
    </row>
    <row r="64" spans="1:15" hidden="1" x14ac:dyDescent="0.25">
      <c r="A64">
        <v>63</v>
      </c>
      <c r="B64" t="str">
        <f ca="1"/>
        <v>31-34</v>
      </c>
      <c r="C64">
        <v>31</v>
      </c>
      <c r="E64">
        <f t="shared" si="0"/>
        <v>34</v>
      </c>
      <c r="F64" t="s">
        <v>301</v>
      </c>
      <c r="G64" t="s">
        <v>651</v>
      </c>
      <c r="I64" s="167">
        <v>5.5359999999999996</v>
      </c>
      <c r="L64">
        <v>15</v>
      </c>
      <c r="M64" t="s">
        <v>247</v>
      </c>
      <c r="N64" s="123">
        <v>45693</v>
      </c>
    </row>
    <row r="65" spans="1:14" hidden="1" x14ac:dyDescent="0.25">
      <c r="A65">
        <v>64</v>
      </c>
      <c r="B65" t="str">
        <f ca="1"/>
        <v>31-35</v>
      </c>
      <c r="C65">
        <v>31</v>
      </c>
      <c r="E65">
        <f t="shared" si="0"/>
        <v>35</v>
      </c>
      <c r="F65" t="s">
        <v>302</v>
      </c>
      <c r="G65" t="s">
        <v>650</v>
      </c>
      <c r="I65" s="167">
        <v>55.36</v>
      </c>
      <c r="L65">
        <v>15</v>
      </c>
      <c r="M65" t="s">
        <v>247</v>
      </c>
      <c r="N65" s="123">
        <v>45693</v>
      </c>
    </row>
    <row r="66" spans="1:14" hidden="1" x14ac:dyDescent="0.25">
      <c r="A66">
        <v>65</v>
      </c>
      <c r="B66" t="str">
        <f ca="1"/>
        <v>31-36</v>
      </c>
      <c r="C66">
        <v>31</v>
      </c>
      <c r="E66">
        <f t="shared" si="0"/>
        <v>36</v>
      </c>
      <c r="F66" t="s">
        <v>303</v>
      </c>
      <c r="G66" t="s">
        <v>651</v>
      </c>
      <c r="I66" s="167">
        <v>5.5359999999999996</v>
      </c>
      <c r="L66">
        <v>15</v>
      </c>
      <c r="M66" t="s">
        <v>284</v>
      </c>
      <c r="N66" s="123">
        <v>45693</v>
      </c>
    </row>
    <row r="67" spans="1:14" hidden="1" x14ac:dyDescent="0.25">
      <c r="A67">
        <v>66</v>
      </c>
      <c r="B67" t="str">
        <f ca="1"/>
        <v>31-37</v>
      </c>
      <c r="C67">
        <v>31</v>
      </c>
      <c r="E67">
        <f t="shared" si="0"/>
        <v>37</v>
      </c>
      <c r="F67" t="s">
        <v>304</v>
      </c>
      <c r="G67" t="s">
        <v>650</v>
      </c>
      <c r="I67" s="167">
        <v>55.36</v>
      </c>
      <c r="L67">
        <v>15</v>
      </c>
      <c r="M67" t="s">
        <v>284</v>
      </c>
      <c r="N67" s="123">
        <v>45693</v>
      </c>
    </row>
    <row r="68" spans="1:14" hidden="1" x14ac:dyDescent="0.25">
      <c r="A68">
        <v>67</v>
      </c>
      <c r="B68" t="str">
        <f ca="1"/>
        <v>31-38</v>
      </c>
      <c r="C68">
        <v>31</v>
      </c>
      <c r="E68">
        <f t="shared" ref="E68:E114" si="1">IF(C68=C67,IF(LEFT(F68,5)="Mazot","_",E67+1),1)</f>
        <v>38</v>
      </c>
      <c r="F68" t="s">
        <v>305</v>
      </c>
      <c r="G68" t="s">
        <v>651</v>
      </c>
      <c r="I68" s="167">
        <v>5.5359999999999996</v>
      </c>
      <c r="L68">
        <v>13</v>
      </c>
      <c r="M68" t="s">
        <v>280</v>
      </c>
      <c r="N68" s="123">
        <v>45693</v>
      </c>
    </row>
    <row r="69" spans="1:14" hidden="1" x14ac:dyDescent="0.25">
      <c r="A69">
        <v>68</v>
      </c>
      <c r="B69" t="str">
        <f ca="1"/>
        <v>31-39</v>
      </c>
      <c r="C69">
        <v>31</v>
      </c>
      <c r="E69">
        <f t="shared" si="1"/>
        <v>39</v>
      </c>
      <c r="F69" t="s">
        <v>306</v>
      </c>
      <c r="G69" t="s">
        <v>650</v>
      </c>
      <c r="I69" s="167">
        <v>55.36</v>
      </c>
      <c r="L69">
        <v>13</v>
      </c>
      <c r="M69" t="s">
        <v>280</v>
      </c>
      <c r="N69" s="123">
        <v>45693</v>
      </c>
    </row>
    <row r="70" spans="1:14" hidden="1" x14ac:dyDescent="0.25">
      <c r="A70">
        <v>69</v>
      </c>
      <c r="B70" t="str">
        <f ca="1"/>
        <v>31-40</v>
      </c>
      <c r="C70">
        <v>31</v>
      </c>
      <c r="E70">
        <f t="shared" si="1"/>
        <v>40</v>
      </c>
      <c r="F70" t="s">
        <v>307</v>
      </c>
      <c r="G70" t="s">
        <v>651</v>
      </c>
      <c r="I70" s="167">
        <v>5.5359999999999996</v>
      </c>
      <c r="L70">
        <v>15</v>
      </c>
      <c r="M70" t="s">
        <v>269</v>
      </c>
      <c r="N70" s="123">
        <v>45693</v>
      </c>
    </row>
    <row r="71" spans="1:14" hidden="1" x14ac:dyDescent="0.25">
      <c r="A71">
        <v>70</v>
      </c>
      <c r="B71" t="str">
        <f ca="1"/>
        <v>31-41</v>
      </c>
      <c r="C71">
        <v>31</v>
      </c>
      <c r="E71">
        <f t="shared" si="1"/>
        <v>41</v>
      </c>
      <c r="F71" t="s">
        <v>308</v>
      </c>
      <c r="G71" t="s">
        <v>650</v>
      </c>
      <c r="I71" s="167">
        <v>55.36</v>
      </c>
      <c r="L71">
        <v>15</v>
      </c>
      <c r="M71" t="s">
        <v>269</v>
      </c>
      <c r="N71" s="123">
        <v>45693</v>
      </c>
    </row>
    <row r="72" spans="1:14" hidden="1" x14ac:dyDescent="0.25">
      <c r="A72">
        <v>71</v>
      </c>
      <c r="B72" t="str">
        <f ca="1"/>
        <v>31-42</v>
      </c>
      <c r="C72">
        <v>31</v>
      </c>
      <c r="E72">
        <f t="shared" si="1"/>
        <v>42</v>
      </c>
      <c r="F72" t="s">
        <v>309</v>
      </c>
      <c r="G72" t="s">
        <v>651</v>
      </c>
      <c r="I72" s="167">
        <v>6.6070000000000002</v>
      </c>
      <c r="L72">
        <v>18</v>
      </c>
      <c r="M72" t="s">
        <v>258</v>
      </c>
      <c r="N72" s="123">
        <v>45693</v>
      </c>
    </row>
    <row r="73" spans="1:14" hidden="1" x14ac:dyDescent="0.25">
      <c r="A73">
        <v>72</v>
      </c>
      <c r="B73" t="str">
        <f ca="1"/>
        <v>31-43</v>
      </c>
      <c r="C73">
        <v>31</v>
      </c>
      <c r="E73">
        <f t="shared" si="1"/>
        <v>43</v>
      </c>
      <c r="F73" t="s">
        <v>310</v>
      </c>
      <c r="G73" t="s">
        <v>650</v>
      </c>
      <c r="I73" s="167">
        <v>66.069999999999993</v>
      </c>
      <c r="L73">
        <v>18</v>
      </c>
      <c r="M73" t="s">
        <v>258</v>
      </c>
      <c r="N73" s="123">
        <v>45693</v>
      </c>
    </row>
    <row r="74" spans="1:14" hidden="1" x14ac:dyDescent="0.25">
      <c r="A74">
        <v>73</v>
      </c>
      <c r="B74" t="str">
        <f ca="1"/>
        <v>31-44</v>
      </c>
      <c r="C74">
        <v>31</v>
      </c>
      <c r="E74">
        <f t="shared" si="1"/>
        <v>44</v>
      </c>
      <c r="F74" t="s">
        <v>311</v>
      </c>
      <c r="G74" t="s">
        <v>651</v>
      </c>
      <c r="I74" s="167">
        <v>5.5359999999999996</v>
      </c>
      <c r="L74">
        <v>15</v>
      </c>
      <c r="M74" t="s">
        <v>257</v>
      </c>
      <c r="N74" s="123">
        <v>45693</v>
      </c>
    </row>
    <row r="75" spans="1:14" hidden="1" x14ac:dyDescent="0.25">
      <c r="A75">
        <v>74</v>
      </c>
      <c r="B75" t="str">
        <f ca="1"/>
        <v>31-45</v>
      </c>
      <c r="C75">
        <v>31</v>
      </c>
      <c r="E75">
        <f t="shared" si="1"/>
        <v>45</v>
      </c>
      <c r="F75" t="s">
        <v>312</v>
      </c>
      <c r="G75" t="s">
        <v>650</v>
      </c>
      <c r="I75" s="167">
        <v>55.36</v>
      </c>
      <c r="L75">
        <v>15</v>
      </c>
      <c r="M75" t="s">
        <v>257</v>
      </c>
      <c r="N75" s="123">
        <v>45693</v>
      </c>
    </row>
    <row r="76" spans="1:14" hidden="1" x14ac:dyDescent="0.25">
      <c r="A76">
        <v>75</v>
      </c>
      <c r="B76" t="str">
        <f ca="1"/>
        <v>31-46</v>
      </c>
      <c r="C76">
        <v>31</v>
      </c>
      <c r="E76">
        <f t="shared" si="1"/>
        <v>46</v>
      </c>
      <c r="F76" t="s">
        <v>313</v>
      </c>
      <c r="G76" t="s">
        <v>651</v>
      </c>
      <c r="I76" s="167">
        <v>5.5359999999999996</v>
      </c>
      <c r="L76">
        <v>14.999999999999998</v>
      </c>
      <c r="M76" t="s">
        <v>266</v>
      </c>
      <c r="N76" s="123">
        <v>45693</v>
      </c>
    </row>
    <row r="77" spans="1:14" hidden="1" x14ac:dyDescent="0.25">
      <c r="A77">
        <v>76</v>
      </c>
      <c r="B77" t="str">
        <f ca="1"/>
        <v>31-47</v>
      </c>
      <c r="C77">
        <v>31</v>
      </c>
      <c r="E77">
        <f t="shared" si="1"/>
        <v>47</v>
      </c>
      <c r="F77" t="s">
        <v>314</v>
      </c>
      <c r="G77" t="s">
        <v>650</v>
      </c>
      <c r="I77" s="167">
        <v>55.36</v>
      </c>
      <c r="L77">
        <v>14.999999999999998</v>
      </c>
      <c r="M77" t="s">
        <v>266</v>
      </c>
      <c r="N77" s="123">
        <v>45693</v>
      </c>
    </row>
    <row r="78" spans="1:14" hidden="1" x14ac:dyDescent="0.25">
      <c r="A78">
        <v>77</v>
      </c>
      <c r="B78" t="str">
        <f ca="1"/>
        <v>31-48</v>
      </c>
      <c r="C78">
        <v>31</v>
      </c>
      <c r="E78">
        <f t="shared" si="1"/>
        <v>48</v>
      </c>
      <c r="F78" t="s">
        <v>315</v>
      </c>
      <c r="G78" t="s">
        <v>651</v>
      </c>
      <c r="I78" s="167">
        <v>6.25</v>
      </c>
      <c r="L78">
        <v>15</v>
      </c>
      <c r="M78" t="s">
        <v>275</v>
      </c>
      <c r="N78" s="123">
        <v>45693</v>
      </c>
    </row>
    <row r="79" spans="1:14" hidden="1" x14ac:dyDescent="0.25">
      <c r="A79">
        <v>78</v>
      </c>
      <c r="B79" t="str">
        <f ca="1"/>
        <v>31-49</v>
      </c>
      <c r="C79">
        <v>31</v>
      </c>
      <c r="E79">
        <f t="shared" si="1"/>
        <v>49</v>
      </c>
      <c r="F79" t="s">
        <v>316</v>
      </c>
      <c r="G79" t="s">
        <v>650</v>
      </c>
      <c r="I79" s="167">
        <v>62.5</v>
      </c>
      <c r="L79">
        <v>15</v>
      </c>
      <c r="M79" t="s">
        <v>275</v>
      </c>
      <c r="N79" s="123">
        <v>45693</v>
      </c>
    </row>
    <row r="80" spans="1:14" hidden="1" x14ac:dyDescent="0.25">
      <c r="A80">
        <v>79</v>
      </c>
      <c r="B80" t="str">
        <f ca="1"/>
        <v>31-50</v>
      </c>
      <c r="C80">
        <v>31</v>
      </c>
      <c r="E80">
        <f t="shared" si="1"/>
        <v>50</v>
      </c>
      <c r="F80" t="s">
        <v>317</v>
      </c>
      <c r="G80" t="s">
        <v>651</v>
      </c>
      <c r="I80" s="167">
        <v>5.5359999999999996</v>
      </c>
      <c r="L80">
        <v>15</v>
      </c>
      <c r="M80" t="s">
        <v>250</v>
      </c>
      <c r="N80" s="123">
        <v>45693</v>
      </c>
    </row>
    <row r="81" spans="1:15" hidden="1" x14ac:dyDescent="0.25">
      <c r="A81">
        <v>80</v>
      </c>
      <c r="B81" t="str">
        <f ca="1"/>
        <v>31-51</v>
      </c>
      <c r="C81">
        <v>31</v>
      </c>
      <c r="E81">
        <f t="shared" si="1"/>
        <v>51</v>
      </c>
      <c r="F81" t="s">
        <v>318</v>
      </c>
      <c r="G81" t="s">
        <v>650</v>
      </c>
      <c r="I81" s="167">
        <v>55.36</v>
      </c>
      <c r="L81">
        <v>15</v>
      </c>
      <c r="M81" t="s">
        <v>250</v>
      </c>
      <c r="N81" s="123">
        <v>45693</v>
      </c>
    </row>
    <row r="82" spans="1:15" hidden="1" x14ac:dyDescent="0.25">
      <c r="A82">
        <v>81</v>
      </c>
      <c r="B82" t="str">
        <f ca="1"/>
        <v>31-52</v>
      </c>
      <c r="C82">
        <v>31</v>
      </c>
      <c r="E82">
        <f t="shared" si="1"/>
        <v>52</v>
      </c>
      <c r="F82" t="s">
        <v>319</v>
      </c>
      <c r="G82" t="s">
        <v>651</v>
      </c>
      <c r="I82" s="167">
        <v>0</v>
      </c>
      <c r="L82">
        <v>15</v>
      </c>
      <c r="M82" t="s">
        <v>254</v>
      </c>
      <c r="N82" s="123">
        <v>45693</v>
      </c>
    </row>
    <row r="83" spans="1:15" hidden="1" x14ac:dyDescent="0.25">
      <c r="A83">
        <v>82</v>
      </c>
      <c r="B83" t="str">
        <f ca="1"/>
        <v>31-53</v>
      </c>
      <c r="C83">
        <v>31</v>
      </c>
      <c r="E83">
        <f t="shared" si="1"/>
        <v>53</v>
      </c>
      <c r="F83" t="s">
        <v>320</v>
      </c>
      <c r="G83" t="s">
        <v>650</v>
      </c>
      <c r="I83" s="167">
        <v>55.36</v>
      </c>
      <c r="L83">
        <v>15</v>
      </c>
      <c r="M83" t="s">
        <v>254</v>
      </c>
      <c r="N83" s="123">
        <v>45693</v>
      </c>
    </row>
    <row r="84" spans="1:15" hidden="1" x14ac:dyDescent="0.25">
      <c r="A84">
        <v>83</v>
      </c>
      <c r="B84" t="str">
        <f ca="1"/>
        <v>31-54</v>
      </c>
      <c r="C84">
        <v>31</v>
      </c>
      <c r="E84">
        <f t="shared" si="1"/>
        <v>54</v>
      </c>
      <c r="F84" t="s">
        <v>321</v>
      </c>
      <c r="G84" t="s">
        <v>651</v>
      </c>
      <c r="I84" s="167">
        <v>5.5359999999999996</v>
      </c>
      <c r="L84">
        <v>15</v>
      </c>
      <c r="M84" t="s">
        <v>285</v>
      </c>
      <c r="N84" s="123">
        <v>45693</v>
      </c>
    </row>
    <row r="85" spans="1:15" hidden="1" x14ac:dyDescent="0.25">
      <c r="A85">
        <v>84</v>
      </c>
      <c r="B85" t="str">
        <f ca="1"/>
        <v>31-55</v>
      </c>
      <c r="C85">
        <v>31</v>
      </c>
      <c r="E85">
        <f t="shared" si="1"/>
        <v>55</v>
      </c>
      <c r="F85" t="s">
        <v>322</v>
      </c>
      <c r="G85" t="s">
        <v>650</v>
      </c>
      <c r="I85" s="167">
        <v>55.36</v>
      </c>
      <c r="L85">
        <v>15</v>
      </c>
      <c r="M85" t="s">
        <v>285</v>
      </c>
      <c r="N85" s="123">
        <v>45693</v>
      </c>
    </row>
    <row r="86" spans="1:15" hidden="1" x14ac:dyDescent="0.25">
      <c r="A86">
        <v>85</v>
      </c>
      <c r="B86" t="str">
        <f ca="1"/>
        <v>31-56</v>
      </c>
      <c r="C86">
        <v>31</v>
      </c>
      <c r="E86">
        <f t="shared" si="1"/>
        <v>56</v>
      </c>
      <c r="F86" t="s">
        <v>323</v>
      </c>
      <c r="G86" t="s">
        <v>651</v>
      </c>
      <c r="I86" s="167">
        <v>5.5359999999999996</v>
      </c>
      <c r="L86">
        <v>12</v>
      </c>
      <c r="M86" t="s">
        <v>265</v>
      </c>
      <c r="N86" s="123">
        <v>45693</v>
      </c>
    </row>
    <row r="87" spans="1:15" hidden="1" x14ac:dyDescent="0.25">
      <c r="A87">
        <v>86</v>
      </c>
      <c r="B87" t="str">
        <f ca="1"/>
        <v>31-57</v>
      </c>
      <c r="C87">
        <v>31</v>
      </c>
      <c r="E87">
        <f t="shared" si="1"/>
        <v>57</v>
      </c>
      <c r="F87" t="s">
        <v>324</v>
      </c>
      <c r="G87" t="s">
        <v>650</v>
      </c>
      <c r="I87" s="167">
        <v>55.36</v>
      </c>
      <c r="L87">
        <v>12</v>
      </c>
      <c r="M87" t="s">
        <v>265</v>
      </c>
      <c r="N87" s="123">
        <v>45693</v>
      </c>
    </row>
    <row r="88" spans="1:15" hidden="1" x14ac:dyDescent="0.25">
      <c r="A88">
        <v>87</v>
      </c>
      <c r="B88" t="str">
        <f ca="1"/>
        <v>31-58</v>
      </c>
      <c r="C88">
        <v>31</v>
      </c>
      <c r="E88">
        <f t="shared" si="1"/>
        <v>58</v>
      </c>
      <c r="F88" t="s">
        <v>329</v>
      </c>
      <c r="G88" t="s">
        <v>651</v>
      </c>
      <c r="I88" s="167">
        <v>5.5359999999999996</v>
      </c>
      <c r="L88">
        <v>15</v>
      </c>
      <c r="M88" t="s">
        <v>249</v>
      </c>
      <c r="N88" s="123">
        <v>45693</v>
      </c>
    </row>
    <row r="89" spans="1:15" hidden="1" x14ac:dyDescent="0.25">
      <c r="A89">
        <v>88</v>
      </c>
      <c r="B89" t="str">
        <f ca="1"/>
        <v>31-59</v>
      </c>
      <c r="C89">
        <v>31</v>
      </c>
      <c r="E89">
        <f t="shared" si="1"/>
        <v>59</v>
      </c>
      <c r="F89" t="s">
        <v>330</v>
      </c>
      <c r="G89" t="s">
        <v>650</v>
      </c>
      <c r="I89" s="167">
        <v>55.36</v>
      </c>
      <c r="L89">
        <v>15</v>
      </c>
      <c r="M89" t="s">
        <v>249</v>
      </c>
      <c r="N89" s="123">
        <v>45693</v>
      </c>
    </row>
    <row r="90" spans="1:15" hidden="1" x14ac:dyDescent="0.25">
      <c r="A90">
        <v>89</v>
      </c>
      <c r="B90" t="str">
        <f ca="1"/>
        <v>31-60</v>
      </c>
      <c r="C90">
        <v>31</v>
      </c>
      <c r="E90">
        <f t="shared" si="1"/>
        <v>60</v>
      </c>
      <c r="F90" t="s">
        <v>331</v>
      </c>
      <c r="G90" t="s">
        <v>651</v>
      </c>
      <c r="I90" s="167">
        <v>5.5359999999999996</v>
      </c>
      <c r="L90">
        <v>15</v>
      </c>
      <c r="M90" t="s">
        <v>245</v>
      </c>
      <c r="N90" s="123">
        <v>45693</v>
      </c>
    </row>
    <row r="91" spans="1:15" hidden="1" x14ac:dyDescent="0.25">
      <c r="A91">
        <v>90</v>
      </c>
      <c r="B91" t="str">
        <f ca="1"/>
        <v>31-61</v>
      </c>
      <c r="C91">
        <v>31</v>
      </c>
      <c r="E91">
        <f t="shared" si="1"/>
        <v>61</v>
      </c>
      <c r="F91" t="s">
        <v>332</v>
      </c>
      <c r="G91" t="s">
        <v>650</v>
      </c>
      <c r="I91" s="167">
        <v>55.36</v>
      </c>
      <c r="L91">
        <v>15</v>
      </c>
      <c r="M91" t="s">
        <v>245</v>
      </c>
      <c r="N91" s="123">
        <v>45693</v>
      </c>
    </row>
    <row r="92" spans="1:15" hidden="1" x14ac:dyDescent="0.25">
      <c r="A92">
        <v>91</v>
      </c>
      <c r="B92" t="str">
        <f ca="1"/>
        <v>31-62</v>
      </c>
      <c r="C92">
        <v>31</v>
      </c>
      <c r="E92">
        <f t="shared" si="1"/>
        <v>62</v>
      </c>
      <c r="F92" t="s">
        <v>333</v>
      </c>
      <c r="G92" t="s">
        <v>649</v>
      </c>
      <c r="I92" s="167">
        <v>91.34</v>
      </c>
      <c r="L92">
        <v>12</v>
      </c>
      <c r="M92" t="s">
        <v>255</v>
      </c>
      <c r="N92" s="123">
        <v>45809</v>
      </c>
    </row>
    <row r="93" spans="1:15" hidden="1" x14ac:dyDescent="0.25">
      <c r="A93">
        <v>92</v>
      </c>
      <c r="B93" t="str">
        <f ca="1"/>
        <v>31-63</v>
      </c>
      <c r="C93">
        <v>31</v>
      </c>
      <c r="E93">
        <f t="shared" si="1"/>
        <v>63</v>
      </c>
      <c r="F93" t="s">
        <v>334</v>
      </c>
      <c r="G93" t="s">
        <v>649</v>
      </c>
      <c r="I93" s="167">
        <v>99.65</v>
      </c>
      <c r="L93">
        <v>12</v>
      </c>
      <c r="M93" t="s">
        <v>255</v>
      </c>
      <c r="N93" s="123">
        <v>45839</v>
      </c>
      <c r="O93"/>
    </row>
    <row r="94" spans="1:15" hidden="1" x14ac:dyDescent="0.25">
      <c r="A94">
        <v>93</v>
      </c>
      <c r="B94" t="str">
        <f ca="1"/>
        <v>31-64</v>
      </c>
      <c r="C94">
        <v>31</v>
      </c>
      <c r="E94">
        <f t="shared" si="1"/>
        <v>64</v>
      </c>
      <c r="F94" t="s">
        <v>335</v>
      </c>
      <c r="G94" t="s">
        <v>651</v>
      </c>
      <c r="I94" s="167">
        <v>5.5359999999999996</v>
      </c>
      <c r="L94">
        <v>12</v>
      </c>
      <c r="M94" t="s">
        <v>255</v>
      </c>
      <c r="N94" s="123">
        <v>45693</v>
      </c>
    </row>
    <row r="95" spans="1:15" hidden="1" x14ac:dyDescent="0.25">
      <c r="A95">
        <v>94</v>
      </c>
      <c r="B95" t="str">
        <f ca="1"/>
        <v>31-65</v>
      </c>
      <c r="C95">
        <v>31</v>
      </c>
      <c r="E95">
        <f t="shared" si="1"/>
        <v>65</v>
      </c>
      <c r="F95" t="s">
        <v>336</v>
      </c>
      <c r="G95" t="s">
        <v>650</v>
      </c>
      <c r="I95" s="167">
        <v>55.36</v>
      </c>
      <c r="L95">
        <v>12</v>
      </c>
      <c r="M95" t="s">
        <v>255</v>
      </c>
      <c r="N95" s="123">
        <v>45693</v>
      </c>
    </row>
    <row r="96" spans="1:15" hidden="1" x14ac:dyDescent="0.25">
      <c r="A96">
        <v>95</v>
      </c>
      <c r="B96" t="str">
        <f ca="1"/>
        <v>31-66</v>
      </c>
      <c r="C96">
        <v>31</v>
      </c>
      <c r="E96">
        <f t="shared" si="1"/>
        <v>66</v>
      </c>
      <c r="F96" t="s">
        <v>337</v>
      </c>
      <c r="G96" t="s">
        <v>651</v>
      </c>
      <c r="I96" s="167">
        <v>4</v>
      </c>
      <c r="L96" t="s">
        <v>424</v>
      </c>
      <c r="M96" t="s">
        <v>287</v>
      </c>
      <c r="N96" s="123">
        <v>45693</v>
      </c>
    </row>
    <row r="97" spans="1:14" hidden="1" x14ac:dyDescent="0.25">
      <c r="A97">
        <v>96</v>
      </c>
      <c r="B97" t="str">
        <f ca="1"/>
        <v>31-67</v>
      </c>
      <c r="C97">
        <v>31</v>
      </c>
      <c r="E97">
        <f t="shared" si="1"/>
        <v>67</v>
      </c>
      <c r="F97" t="s">
        <v>338</v>
      </c>
      <c r="G97" t="s">
        <v>650</v>
      </c>
      <c r="I97" s="167">
        <v>40</v>
      </c>
      <c r="J97">
        <f>VLOOKUP(SUBSTITUTE(F97,"-tək",""),[4]Prices!$C$156:$F$212,4,0)</f>
        <v>30</v>
      </c>
      <c r="L97" t="s">
        <v>424</v>
      </c>
      <c r="M97" t="s">
        <v>287</v>
      </c>
      <c r="N97" s="123">
        <v>45693</v>
      </c>
    </row>
    <row r="98" spans="1:14" hidden="1" x14ac:dyDescent="0.25">
      <c r="A98">
        <v>97</v>
      </c>
      <c r="B98" t="str">
        <f ca="1"/>
        <v>31-68</v>
      </c>
      <c r="C98">
        <v>31</v>
      </c>
      <c r="E98">
        <f t="shared" si="1"/>
        <v>68</v>
      </c>
      <c r="F98" t="s">
        <v>339</v>
      </c>
      <c r="G98" t="s">
        <v>651</v>
      </c>
      <c r="I98" s="167">
        <v>7.3330000000000002</v>
      </c>
      <c r="L98">
        <v>18</v>
      </c>
      <c r="M98" t="s">
        <v>253</v>
      </c>
      <c r="N98" s="123">
        <v>45693</v>
      </c>
    </row>
    <row r="99" spans="1:14" hidden="1" x14ac:dyDescent="0.25">
      <c r="A99">
        <v>98</v>
      </c>
      <c r="B99" t="str">
        <f ca="1"/>
        <v>31-69</v>
      </c>
      <c r="C99">
        <v>31</v>
      </c>
      <c r="E99">
        <f t="shared" si="1"/>
        <v>69</v>
      </c>
      <c r="F99" t="s">
        <v>340</v>
      </c>
      <c r="G99" t="s">
        <v>650</v>
      </c>
      <c r="I99" s="167">
        <v>73.33</v>
      </c>
      <c r="J99">
        <f>VLOOKUP(SUBSTITUTE(F99,"-tək",""),[4]Prices!$C$156:$F$212,4,0)</f>
        <v>30</v>
      </c>
      <c r="L99">
        <v>18</v>
      </c>
      <c r="M99" t="s">
        <v>253</v>
      </c>
      <c r="N99" s="123">
        <v>45693</v>
      </c>
    </row>
    <row r="100" spans="1:14" hidden="1" x14ac:dyDescent="0.25">
      <c r="A100">
        <v>99</v>
      </c>
      <c r="B100" t="str">
        <f ca="1"/>
        <v>31-70</v>
      </c>
      <c r="C100">
        <v>31</v>
      </c>
      <c r="E100">
        <f t="shared" si="1"/>
        <v>70</v>
      </c>
      <c r="F100" t="s">
        <v>341</v>
      </c>
      <c r="G100" t="s">
        <v>651</v>
      </c>
      <c r="I100" s="167">
        <v>7.3330000000000002</v>
      </c>
      <c r="L100">
        <v>18</v>
      </c>
      <c r="M100" t="s">
        <v>251</v>
      </c>
      <c r="N100" s="123">
        <v>45693</v>
      </c>
    </row>
    <row r="101" spans="1:14" hidden="1" x14ac:dyDescent="0.25">
      <c r="A101">
        <v>100</v>
      </c>
      <c r="B101" t="str">
        <f ca="1"/>
        <v>31-71</v>
      </c>
      <c r="C101">
        <v>31</v>
      </c>
      <c r="E101">
        <f t="shared" si="1"/>
        <v>71</v>
      </c>
      <c r="F101" t="s">
        <v>342</v>
      </c>
      <c r="G101" t="s">
        <v>650</v>
      </c>
      <c r="I101" s="167">
        <v>73.33</v>
      </c>
      <c r="J101">
        <f>VLOOKUP(SUBSTITUTE(F101,"-tək",""),[4]Prices!$C$156:$F$212,4,0)</f>
        <v>30</v>
      </c>
      <c r="L101">
        <v>18</v>
      </c>
      <c r="M101" t="s">
        <v>251</v>
      </c>
      <c r="N101" s="123">
        <v>45693</v>
      </c>
    </row>
    <row r="102" spans="1:14" hidden="1" x14ac:dyDescent="0.25">
      <c r="A102">
        <v>101</v>
      </c>
      <c r="B102" t="str">
        <f ca="1"/>
        <v>31-72</v>
      </c>
      <c r="C102">
        <v>31</v>
      </c>
      <c r="E102">
        <f t="shared" si="1"/>
        <v>72</v>
      </c>
      <c r="F102" t="s">
        <v>343</v>
      </c>
      <c r="G102" t="s">
        <v>651</v>
      </c>
      <c r="I102" s="167">
        <v>7.3330000000000002</v>
      </c>
      <c r="L102">
        <v>17.999999999999996</v>
      </c>
      <c r="M102" t="s">
        <v>277</v>
      </c>
      <c r="N102" s="123">
        <v>45693</v>
      </c>
    </row>
    <row r="103" spans="1:14" hidden="1" x14ac:dyDescent="0.25">
      <c r="A103">
        <v>102</v>
      </c>
      <c r="B103" t="str">
        <f ca="1"/>
        <v>31-73</v>
      </c>
      <c r="C103">
        <v>31</v>
      </c>
      <c r="E103">
        <f t="shared" si="1"/>
        <v>73</v>
      </c>
      <c r="F103" t="s">
        <v>344</v>
      </c>
      <c r="G103" t="s">
        <v>650</v>
      </c>
      <c r="I103" s="167">
        <v>73.33</v>
      </c>
      <c r="J103">
        <f>VLOOKUP(SUBSTITUTE(F103,"-tək",""),[4]Prices!$C$156:$F$212,4,0)</f>
        <v>30</v>
      </c>
      <c r="L103">
        <v>17.999999999999996</v>
      </c>
      <c r="M103" t="s">
        <v>277</v>
      </c>
      <c r="N103" s="123">
        <v>45693</v>
      </c>
    </row>
    <row r="104" spans="1:14" hidden="1" x14ac:dyDescent="0.25">
      <c r="A104">
        <v>103</v>
      </c>
      <c r="B104" t="str">
        <f ca="1"/>
        <v>31-74</v>
      </c>
      <c r="C104">
        <v>31</v>
      </c>
      <c r="E104">
        <f t="shared" si="1"/>
        <v>74</v>
      </c>
      <c r="F104" t="s">
        <v>345</v>
      </c>
      <c r="G104" t="s">
        <v>651</v>
      </c>
      <c r="I104" s="167">
        <v>5.5359999999999996</v>
      </c>
      <c r="L104">
        <v>15</v>
      </c>
      <c r="M104" t="s">
        <v>276</v>
      </c>
      <c r="N104" s="123">
        <v>45693</v>
      </c>
    </row>
    <row r="105" spans="1:14" hidden="1" x14ac:dyDescent="0.25">
      <c r="A105">
        <v>104</v>
      </c>
      <c r="B105" t="str">
        <f ca="1"/>
        <v>31-75</v>
      </c>
      <c r="C105">
        <v>31</v>
      </c>
      <c r="E105">
        <f t="shared" si="1"/>
        <v>75</v>
      </c>
      <c r="F105" t="s">
        <v>346</v>
      </c>
      <c r="G105" t="s">
        <v>650</v>
      </c>
      <c r="I105" s="167">
        <v>55.36</v>
      </c>
      <c r="L105">
        <v>15</v>
      </c>
      <c r="M105" t="s">
        <v>276</v>
      </c>
      <c r="N105" s="123">
        <v>45693</v>
      </c>
    </row>
    <row r="106" spans="1:14" hidden="1" x14ac:dyDescent="0.25">
      <c r="A106">
        <v>105</v>
      </c>
      <c r="B106" t="str">
        <f ca="1"/>
        <v>31-76</v>
      </c>
      <c r="C106">
        <v>31</v>
      </c>
      <c r="E106">
        <f t="shared" si="1"/>
        <v>76</v>
      </c>
      <c r="F106" t="s">
        <v>349</v>
      </c>
      <c r="G106" t="s">
        <v>651</v>
      </c>
      <c r="I106" s="167">
        <v>5.5359999999999996</v>
      </c>
      <c r="L106">
        <v>15</v>
      </c>
      <c r="M106" t="s">
        <v>271</v>
      </c>
      <c r="N106" s="123">
        <v>45693</v>
      </c>
    </row>
    <row r="107" spans="1:14" hidden="1" x14ac:dyDescent="0.25">
      <c r="A107">
        <v>106</v>
      </c>
      <c r="B107" t="str">
        <f ca="1"/>
        <v>31-77</v>
      </c>
      <c r="C107">
        <v>31</v>
      </c>
      <c r="E107">
        <f t="shared" si="1"/>
        <v>77</v>
      </c>
      <c r="F107" t="s">
        <v>350</v>
      </c>
      <c r="G107" t="s">
        <v>650</v>
      </c>
      <c r="I107" s="167">
        <v>55.36</v>
      </c>
      <c r="L107">
        <v>15</v>
      </c>
      <c r="M107" t="s">
        <v>271</v>
      </c>
      <c r="N107" s="123">
        <v>45693</v>
      </c>
    </row>
    <row r="108" spans="1:14" hidden="1" x14ac:dyDescent="0.25">
      <c r="A108">
        <v>107</v>
      </c>
      <c r="B108" t="str">
        <f ca="1"/>
        <v>31-78</v>
      </c>
      <c r="C108">
        <v>31</v>
      </c>
      <c r="E108">
        <f t="shared" si="1"/>
        <v>78</v>
      </c>
      <c r="F108" t="s">
        <v>351</v>
      </c>
      <c r="G108" t="s">
        <v>651</v>
      </c>
      <c r="I108" s="167">
        <v>6.25</v>
      </c>
      <c r="L108">
        <v>15</v>
      </c>
      <c r="M108" t="s">
        <v>281</v>
      </c>
      <c r="N108" s="123">
        <v>45693</v>
      </c>
    </row>
    <row r="109" spans="1:14" hidden="1" x14ac:dyDescent="0.25">
      <c r="A109">
        <v>108</v>
      </c>
      <c r="B109" t="str">
        <f ca="1"/>
        <v>31-79</v>
      </c>
      <c r="C109">
        <v>31</v>
      </c>
      <c r="E109">
        <f t="shared" si="1"/>
        <v>79</v>
      </c>
      <c r="F109" t="s">
        <v>352</v>
      </c>
      <c r="G109" t="s">
        <v>650</v>
      </c>
      <c r="I109" s="167">
        <v>62.5</v>
      </c>
      <c r="L109">
        <v>15</v>
      </c>
      <c r="M109" t="s">
        <v>281</v>
      </c>
      <c r="N109" s="123">
        <v>45693</v>
      </c>
    </row>
    <row r="110" spans="1:14" hidden="1" x14ac:dyDescent="0.25">
      <c r="A110">
        <v>109</v>
      </c>
      <c r="B110" t="str">
        <f ca="1"/>
        <v>31-80</v>
      </c>
      <c r="C110">
        <v>31</v>
      </c>
      <c r="E110">
        <f t="shared" si="1"/>
        <v>80</v>
      </c>
      <c r="F110" t="s">
        <v>353</v>
      </c>
      <c r="G110" t="s">
        <v>651</v>
      </c>
      <c r="I110" s="167">
        <v>5.5359999999999996</v>
      </c>
      <c r="L110">
        <v>14.999999999999998</v>
      </c>
      <c r="M110" t="s">
        <v>273</v>
      </c>
      <c r="N110" s="123">
        <v>45693</v>
      </c>
    </row>
    <row r="111" spans="1:14" hidden="1" x14ac:dyDescent="0.25">
      <c r="A111">
        <v>110</v>
      </c>
      <c r="B111" t="str">
        <f ca="1"/>
        <v>31-81</v>
      </c>
      <c r="C111">
        <v>31</v>
      </c>
      <c r="E111">
        <f t="shared" si="1"/>
        <v>81</v>
      </c>
      <c r="F111" t="s">
        <v>354</v>
      </c>
      <c r="G111" t="s">
        <v>650</v>
      </c>
      <c r="I111" s="167">
        <v>55.36</v>
      </c>
      <c r="L111">
        <v>14.999999999999998</v>
      </c>
      <c r="M111" t="s">
        <v>273</v>
      </c>
      <c r="N111" s="123">
        <v>45693</v>
      </c>
    </row>
    <row r="112" spans="1:14" hidden="1" x14ac:dyDescent="0.25">
      <c r="A112">
        <v>111</v>
      </c>
      <c r="B112" t="str">
        <f ca="1"/>
        <v>31-82</v>
      </c>
      <c r="C112">
        <v>31</v>
      </c>
      <c r="E112">
        <f t="shared" si="1"/>
        <v>82</v>
      </c>
      <c r="F112" t="s">
        <v>355</v>
      </c>
      <c r="G112" t="s">
        <v>651</v>
      </c>
      <c r="I112" s="167">
        <v>7.3330000000000002</v>
      </c>
      <c r="L112">
        <v>17.999999999999996</v>
      </c>
      <c r="M112" t="s">
        <v>274</v>
      </c>
      <c r="N112" s="123">
        <v>45693</v>
      </c>
    </row>
    <row r="113" spans="1:15" hidden="1" x14ac:dyDescent="0.25">
      <c r="A113">
        <v>112</v>
      </c>
      <c r="B113" t="str">
        <f ca="1"/>
        <v>31-83</v>
      </c>
      <c r="C113">
        <v>31</v>
      </c>
      <c r="E113">
        <f t="shared" si="1"/>
        <v>83</v>
      </c>
      <c r="F113" t="s">
        <v>356</v>
      </c>
      <c r="G113" t="s">
        <v>650</v>
      </c>
      <c r="I113" s="167">
        <v>73.33</v>
      </c>
      <c r="J113">
        <f>VLOOKUP(SUBSTITUTE(F113,"-tək",""),[4]Prices!$C$156:$F$212,4,0)</f>
        <v>30</v>
      </c>
      <c r="L113">
        <v>17.999999999999996</v>
      </c>
      <c r="M113" t="s">
        <v>274</v>
      </c>
      <c r="N113" s="123">
        <v>45693</v>
      </c>
    </row>
    <row r="114" spans="1:15" hidden="1" x14ac:dyDescent="0.25">
      <c r="A114">
        <v>113</v>
      </c>
      <c r="B114" t="str">
        <f ca="1"/>
        <v>31-84</v>
      </c>
      <c r="C114">
        <v>31</v>
      </c>
      <c r="E114">
        <f t="shared" si="1"/>
        <v>84</v>
      </c>
      <c r="F114" t="s">
        <v>359</v>
      </c>
      <c r="G114" t="s">
        <v>651</v>
      </c>
      <c r="I114" s="167">
        <v>4</v>
      </c>
      <c r="L114" t="s">
        <v>424</v>
      </c>
      <c r="M114" t="s">
        <v>262</v>
      </c>
      <c r="N114" s="123">
        <v>45693</v>
      </c>
    </row>
    <row r="115" spans="1:15" hidden="1" x14ac:dyDescent="0.25">
      <c r="A115">
        <v>114</v>
      </c>
      <c r="B115" t="str">
        <f ca="1"/>
        <v>31-85</v>
      </c>
      <c r="C115">
        <v>31</v>
      </c>
      <c r="E115">
        <f t="shared" ref="E115:E156" si="2">IF(C115=C114,IF(LEFT(F115,5)="Mazot","_",E114+1),1)</f>
        <v>85</v>
      </c>
      <c r="F115" t="s">
        <v>360</v>
      </c>
      <c r="G115" t="s">
        <v>650</v>
      </c>
      <c r="I115" s="167">
        <v>40</v>
      </c>
      <c r="J115">
        <f>VLOOKUP(SUBSTITUTE(F115,"-tək",""),[4]Prices!$C$156:$F$212,4,0)</f>
        <v>30</v>
      </c>
      <c r="L115" t="s">
        <v>424</v>
      </c>
      <c r="M115" t="s">
        <v>262</v>
      </c>
      <c r="N115" s="123">
        <v>45693</v>
      </c>
    </row>
    <row r="116" spans="1:15" hidden="1" x14ac:dyDescent="0.25">
      <c r="A116">
        <v>115</v>
      </c>
      <c r="B116" t="str">
        <f ca="1"/>
        <v>31-86</v>
      </c>
      <c r="C116">
        <v>31</v>
      </c>
      <c r="E116">
        <f t="shared" si="2"/>
        <v>86</v>
      </c>
      <c r="F116" t="s">
        <v>363</v>
      </c>
      <c r="G116" t="s">
        <v>651</v>
      </c>
      <c r="I116" s="167">
        <v>5.5359999999999996</v>
      </c>
      <c r="L116">
        <v>15</v>
      </c>
      <c r="M116" t="s">
        <v>270</v>
      </c>
      <c r="N116" s="123">
        <v>45693</v>
      </c>
    </row>
    <row r="117" spans="1:15" hidden="1" x14ac:dyDescent="0.25">
      <c r="A117">
        <v>116</v>
      </c>
      <c r="B117" t="str">
        <f ca="1"/>
        <v>31-87</v>
      </c>
      <c r="C117">
        <v>31</v>
      </c>
      <c r="E117">
        <f t="shared" si="2"/>
        <v>87</v>
      </c>
      <c r="F117" t="s">
        <v>364</v>
      </c>
      <c r="G117" t="s">
        <v>650</v>
      </c>
      <c r="I117" s="167">
        <v>55.36</v>
      </c>
      <c r="L117">
        <v>15</v>
      </c>
      <c r="M117" t="s">
        <v>270</v>
      </c>
      <c r="N117" s="123">
        <v>45693</v>
      </c>
    </row>
    <row r="118" spans="1:15" hidden="1" x14ac:dyDescent="0.25">
      <c r="A118">
        <v>117</v>
      </c>
      <c r="B118" t="str">
        <f ca="1"/>
        <v>31-88</v>
      </c>
      <c r="C118">
        <v>31</v>
      </c>
      <c r="E118">
        <f t="shared" si="2"/>
        <v>88</v>
      </c>
      <c r="F118" t="s">
        <v>365</v>
      </c>
      <c r="G118" t="s">
        <v>651</v>
      </c>
      <c r="I118" s="167">
        <v>4</v>
      </c>
      <c r="L118">
        <v>15</v>
      </c>
      <c r="M118" t="s">
        <v>455</v>
      </c>
      <c r="N118" s="123">
        <v>45693</v>
      </c>
    </row>
    <row r="119" spans="1:15" hidden="1" x14ac:dyDescent="0.25">
      <c r="A119">
        <v>118</v>
      </c>
      <c r="B119" t="str">
        <f ca="1"/>
        <v>31-89</v>
      </c>
      <c r="C119">
        <v>31</v>
      </c>
      <c r="E119">
        <f t="shared" si="2"/>
        <v>89</v>
      </c>
      <c r="F119" t="s">
        <v>366</v>
      </c>
      <c r="G119" t="s">
        <v>650</v>
      </c>
      <c r="I119" s="167">
        <v>40</v>
      </c>
      <c r="L119">
        <v>15</v>
      </c>
      <c r="M119" t="s">
        <v>455</v>
      </c>
      <c r="N119" s="123">
        <v>45693</v>
      </c>
    </row>
    <row r="120" spans="1:15" hidden="1" x14ac:dyDescent="0.25">
      <c r="A120">
        <v>119</v>
      </c>
      <c r="B120" t="str">
        <f ca="1"/>
        <v>31-90</v>
      </c>
      <c r="C120">
        <v>31</v>
      </c>
      <c r="E120">
        <f t="shared" si="2"/>
        <v>90</v>
      </c>
      <c r="F120" t="s">
        <v>367</v>
      </c>
      <c r="G120" t="s">
        <v>649</v>
      </c>
      <c r="I120" s="167">
        <v>91.34</v>
      </c>
      <c r="L120">
        <v>15</v>
      </c>
      <c r="M120" t="s">
        <v>248</v>
      </c>
      <c r="N120" s="123">
        <v>45809</v>
      </c>
    </row>
    <row r="121" spans="1:15" hidden="1" x14ac:dyDescent="0.25">
      <c r="A121">
        <v>120</v>
      </c>
      <c r="B121" t="str">
        <f ca="1"/>
        <v>31-91</v>
      </c>
      <c r="C121">
        <v>31</v>
      </c>
      <c r="E121">
        <f t="shared" si="2"/>
        <v>91</v>
      </c>
      <c r="F121" t="s">
        <v>368</v>
      </c>
      <c r="G121" t="s">
        <v>649</v>
      </c>
      <c r="I121" s="167">
        <v>99.647999999999996</v>
      </c>
      <c r="L121">
        <v>15</v>
      </c>
      <c r="M121" t="s">
        <v>248</v>
      </c>
      <c r="N121" s="123">
        <v>45839</v>
      </c>
      <c r="O121"/>
    </row>
    <row r="122" spans="1:15" hidden="1" x14ac:dyDescent="0.25">
      <c r="A122">
        <v>121</v>
      </c>
      <c r="B122" t="str">
        <f ca="1"/>
        <v>31-92</v>
      </c>
      <c r="C122">
        <v>31</v>
      </c>
      <c r="E122">
        <f t="shared" si="2"/>
        <v>92</v>
      </c>
      <c r="F122" t="s">
        <v>369</v>
      </c>
      <c r="G122" t="s">
        <v>651</v>
      </c>
      <c r="I122" s="167">
        <v>5.5359999999999996</v>
      </c>
      <c r="L122">
        <v>15</v>
      </c>
      <c r="M122" t="s">
        <v>248</v>
      </c>
      <c r="N122" s="123">
        <v>45693</v>
      </c>
    </row>
    <row r="123" spans="1:15" hidden="1" x14ac:dyDescent="0.25">
      <c r="A123">
        <v>122</v>
      </c>
      <c r="B123" t="str">
        <f ca="1"/>
        <v>31-93</v>
      </c>
      <c r="C123">
        <v>31</v>
      </c>
      <c r="E123">
        <f t="shared" si="2"/>
        <v>93</v>
      </c>
      <c r="F123" t="s">
        <v>370</v>
      </c>
      <c r="G123" t="s">
        <v>650</v>
      </c>
      <c r="I123" s="167">
        <v>55.36</v>
      </c>
      <c r="L123">
        <v>15</v>
      </c>
      <c r="M123" t="s">
        <v>248</v>
      </c>
      <c r="N123" s="123">
        <v>45693</v>
      </c>
    </row>
    <row r="124" spans="1:15" hidden="1" x14ac:dyDescent="0.25">
      <c r="A124">
        <v>123</v>
      </c>
      <c r="B124" t="str">
        <f ca="1"/>
        <v>31-94</v>
      </c>
      <c r="C124">
        <v>31</v>
      </c>
      <c r="E124">
        <f t="shared" si="2"/>
        <v>94</v>
      </c>
      <c r="F124" t="s">
        <v>372</v>
      </c>
      <c r="G124" t="s">
        <v>650</v>
      </c>
      <c r="I124" s="167">
        <v>55.36</v>
      </c>
      <c r="L124">
        <v>15</v>
      </c>
      <c r="M124" t="s">
        <v>232</v>
      </c>
      <c r="N124" s="123">
        <v>45693</v>
      </c>
    </row>
    <row r="125" spans="1:15" hidden="1" x14ac:dyDescent="0.25">
      <c r="A125">
        <v>124</v>
      </c>
      <c r="B125" t="str">
        <f ca="1"/>
        <v>31-95</v>
      </c>
      <c r="C125">
        <v>31</v>
      </c>
      <c r="E125">
        <f t="shared" si="2"/>
        <v>95</v>
      </c>
      <c r="F125" t="s">
        <v>371</v>
      </c>
      <c r="G125" t="s">
        <v>651</v>
      </c>
      <c r="I125" s="167">
        <v>5.5359999999999996</v>
      </c>
      <c r="L125">
        <v>15</v>
      </c>
      <c r="M125" t="s">
        <v>232</v>
      </c>
      <c r="N125" s="123">
        <v>45693</v>
      </c>
    </row>
    <row r="126" spans="1:15" hidden="1" x14ac:dyDescent="0.25">
      <c r="A126">
        <v>125</v>
      </c>
      <c r="B126" t="str">
        <f ca="1"/>
        <v>31-96</v>
      </c>
      <c r="C126">
        <v>31</v>
      </c>
      <c r="E126">
        <f t="shared" si="2"/>
        <v>96</v>
      </c>
      <c r="F126" t="s">
        <v>373</v>
      </c>
      <c r="G126" t="s">
        <v>651</v>
      </c>
      <c r="I126" s="167">
        <v>5.5359999999999996</v>
      </c>
      <c r="L126">
        <v>15</v>
      </c>
      <c r="M126" t="s">
        <v>246</v>
      </c>
      <c r="N126" s="123">
        <v>45693</v>
      </c>
    </row>
    <row r="127" spans="1:15" hidden="1" x14ac:dyDescent="0.25">
      <c r="A127">
        <v>126</v>
      </c>
      <c r="B127" t="str">
        <f ca="1"/>
        <v>31-97</v>
      </c>
      <c r="C127">
        <v>31</v>
      </c>
      <c r="E127">
        <f t="shared" si="2"/>
        <v>97</v>
      </c>
      <c r="F127" t="s">
        <v>374</v>
      </c>
      <c r="G127" t="s">
        <v>650</v>
      </c>
      <c r="I127" s="167">
        <v>55.36</v>
      </c>
      <c r="L127">
        <v>15</v>
      </c>
      <c r="M127" t="s">
        <v>246</v>
      </c>
      <c r="N127" s="123">
        <v>45693</v>
      </c>
    </row>
    <row r="128" spans="1:15" hidden="1" x14ac:dyDescent="0.25">
      <c r="A128">
        <v>127</v>
      </c>
      <c r="B128" t="str">
        <f ca="1"/>
        <v>31-98</v>
      </c>
      <c r="C128">
        <v>31</v>
      </c>
      <c r="E128">
        <f t="shared" si="2"/>
        <v>98</v>
      </c>
      <c r="F128" t="s">
        <v>375</v>
      </c>
      <c r="G128" t="s">
        <v>649</v>
      </c>
      <c r="I128" s="167">
        <v>99.65</v>
      </c>
      <c r="L128">
        <v>15</v>
      </c>
      <c r="M128" t="s">
        <v>263</v>
      </c>
      <c r="N128" s="123">
        <v>45693</v>
      </c>
    </row>
    <row r="129" spans="1:14" hidden="1" x14ac:dyDescent="0.25">
      <c r="A129">
        <v>128</v>
      </c>
      <c r="B129" t="str">
        <f ca="1"/>
        <v>31-99</v>
      </c>
      <c r="C129">
        <v>31</v>
      </c>
      <c r="E129">
        <f t="shared" si="2"/>
        <v>99</v>
      </c>
      <c r="F129" t="s">
        <v>376</v>
      </c>
      <c r="G129" t="s">
        <v>651</v>
      </c>
      <c r="I129" s="167">
        <v>5.5359999999999996</v>
      </c>
      <c r="L129">
        <v>15</v>
      </c>
      <c r="M129" t="s">
        <v>263</v>
      </c>
      <c r="N129" s="123">
        <v>45693</v>
      </c>
    </row>
    <row r="130" spans="1:14" hidden="1" x14ac:dyDescent="0.25">
      <c r="A130">
        <v>129</v>
      </c>
      <c r="B130" t="str">
        <f ca="1"/>
        <v>31-100</v>
      </c>
      <c r="C130">
        <v>31</v>
      </c>
      <c r="E130">
        <f t="shared" si="2"/>
        <v>100</v>
      </c>
      <c r="F130" t="s">
        <v>377</v>
      </c>
      <c r="G130" t="s">
        <v>650</v>
      </c>
      <c r="I130" s="167">
        <v>55.36</v>
      </c>
      <c r="L130">
        <v>15</v>
      </c>
      <c r="M130" t="s">
        <v>263</v>
      </c>
      <c r="N130" s="123">
        <v>45693</v>
      </c>
    </row>
    <row r="131" spans="1:14" hidden="1" x14ac:dyDescent="0.25">
      <c r="A131">
        <v>130</v>
      </c>
      <c r="B131" t="str">
        <f ca="1"/>
        <v>31-101</v>
      </c>
      <c r="C131">
        <v>31</v>
      </c>
      <c r="E131">
        <f t="shared" si="2"/>
        <v>101</v>
      </c>
      <c r="F131" t="s">
        <v>381</v>
      </c>
      <c r="G131" t="s">
        <v>650</v>
      </c>
      <c r="I131" s="167">
        <v>66.069999999999993</v>
      </c>
      <c r="L131">
        <v>15</v>
      </c>
      <c r="M131" t="s">
        <v>279</v>
      </c>
      <c r="N131" s="123">
        <v>45693</v>
      </c>
    </row>
    <row r="132" spans="1:14" hidden="1" x14ac:dyDescent="0.25">
      <c r="A132">
        <v>131</v>
      </c>
      <c r="B132" t="str">
        <f ca="1"/>
        <v>31-102</v>
      </c>
      <c r="C132">
        <v>31</v>
      </c>
      <c r="E132">
        <f t="shared" si="2"/>
        <v>102</v>
      </c>
      <c r="F132" t="s">
        <v>380</v>
      </c>
      <c r="G132" t="s">
        <v>651</v>
      </c>
      <c r="I132" s="167">
        <v>6.6070000000000002</v>
      </c>
      <c r="L132">
        <v>15</v>
      </c>
      <c r="M132" t="s">
        <v>279</v>
      </c>
      <c r="N132" s="123">
        <v>45693</v>
      </c>
    </row>
    <row r="133" spans="1:14" hidden="1" x14ac:dyDescent="0.25">
      <c r="A133">
        <v>132</v>
      </c>
      <c r="B133" t="str">
        <f ca="1"/>
        <v>31-103</v>
      </c>
      <c r="C133">
        <v>31</v>
      </c>
      <c r="E133">
        <f t="shared" si="2"/>
        <v>103</v>
      </c>
      <c r="F133" t="s">
        <v>382</v>
      </c>
      <c r="G133" t="s">
        <v>651</v>
      </c>
      <c r="I133" s="167">
        <v>6.25</v>
      </c>
      <c r="L133">
        <v>15</v>
      </c>
      <c r="M133" t="s">
        <v>283</v>
      </c>
      <c r="N133" s="123">
        <v>45693</v>
      </c>
    </row>
    <row r="134" spans="1:14" hidden="1" x14ac:dyDescent="0.25">
      <c r="A134">
        <v>133</v>
      </c>
      <c r="B134" t="str">
        <f ca="1"/>
        <v>31-104</v>
      </c>
      <c r="C134">
        <v>31</v>
      </c>
      <c r="E134">
        <f t="shared" si="2"/>
        <v>104</v>
      </c>
      <c r="F134" t="s">
        <v>383</v>
      </c>
      <c r="G134" t="s">
        <v>650</v>
      </c>
      <c r="I134" s="167">
        <v>62.5</v>
      </c>
      <c r="L134">
        <v>15</v>
      </c>
      <c r="M134" t="s">
        <v>283</v>
      </c>
      <c r="N134" s="123">
        <v>45693</v>
      </c>
    </row>
    <row r="135" spans="1:14" hidden="1" x14ac:dyDescent="0.25">
      <c r="A135">
        <v>134</v>
      </c>
      <c r="B135" t="str">
        <f ca="1"/>
        <v>31-105</v>
      </c>
      <c r="C135">
        <v>31</v>
      </c>
      <c r="E135">
        <f t="shared" si="2"/>
        <v>105</v>
      </c>
      <c r="F135" t="s">
        <v>386</v>
      </c>
      <c r="G135" t="s">
        <v>651</v>
      </c>
      <c r="I135" s="167">
        <v>5.5359999999999996</v>
      </c>
      <c r="L135">
        <v>15</v>
      </c>
      <c r="M135" t="s">
        <v>272</v>
      </c>
      <c r="N135" s="123">
        <v>45693</v>
      </c>
    </row>
    <row r="136" spans="1:14" hidden="1" x14ac:dyDescent="0.25">
      <c r="A136">
        <v>135</v>
      </c>
      <c r="B136" t="str">
        <f ca="1"/>
        <v>31-106</v>
      </c>
      <c r="C136">
        <v>31</v>
      </c>
      <c r="E136">
        <f t="shared" si="2"/>
        <v>106</v>
      </c>
      <c r="F136" t="s">
        <v>387</v>
      </c>
      <c r="G136" t="s">
        <v>650</v>
      </c>
      <c r="I136" s="167">
        <v>55.36</v>
      </c>
      <c r="L136">
        <v>15</v>
      </c>
      <c r="M136" t="s">
        <v>272</v>
      </c>
      <c r="N136" s="123">
        <v>45693</v>
      </c>
    </row>
    <row r="137" spans="1:14" hidden="1" x14ac:dyDescent="0.25">
      <c r="A137">
        <v>136</v>
      </c>
      <c r="B137" t="str">
        <f ca="1"/>
        <v>31-107</v>
      </c>
      <c r="C137">
        <v>31</v>
      </c>
      <c r="E137">
        <f t="shared" si="2"/>
        <v>107</v>
      </c>
      <c r="F137" t="s">
        <v>390</v>
      </c>
      <c r="G137" t="s">
        <v>651</v>
      </c>
      <c r="I137" s="167">
        <v>5.5359999999999996</v>
      </c>
      <c r="L137">
        <v>15</v>
      </c>
      <c r="M137" t="s">
        <v>267</v>
      </c>
      <c r="N137" s="123">
        <v>45693</v>
      </c>
    </row>
    <row r="138" spans="1:14" hidden="1" x14ac:dyDescent="0.25">
      <c r="A138">
        <v>137</v>
      </c>
      <c r="B138" t="str">
        <f ca="1"/>
        <v>31-108</v>
      </c>
      <c r="C138">
        <v>31</v>
      </c>
      <c r="E138">
        <f t="shared" si="2"/>
        <v>108</v>
      </c>
      <c r="F138" t="s">
        <v>391</v>
      </c>
      <c r="G138" t="s">
        <v>650</v>
      </c>
      <c r="I138" s="167">
        <v>55.36</v>
      </c>
      <c r="L138">
        <v>15</v>
      </c>
      <c r="M138" t="s">
        <v>267</v>
      </c>
      <c r="N138" s="123">
        <v>45693</v>
      </c>
    </row>
    <row r="139" spans="1:14" hidden="1" x14ac:dyDescent="0.25">
      <c r="A139">
        <v>138</v>
      </c>
      <c r="B139" t="str">
        <f ca="1"/>
        <v>31-109</v>
      </c>
      <c r="C139">
        <v>31</v>
      </c>
      <c r="E139">
        <f t="shared" si="2"/>
        <v>109</v>
      </c>
      <c r="F139" t="s">
        <v>393</v>
      </c>
      <c r="G139" t="s">
        <v>650</v>
      </c>
      <c r="I139" s="167">
        <v>55.36</v>
      </c>
      <c r="L139">
        <v>15</v>
      </c>
      <c r="M139" t="s">
        <v>234</v>
      </c>
      <c r="N139" s="123">
        <v>45693</v>
      </c>
    </row>
    <row r="140" spans="1:14" hidden="1" x14ac:dyDescent="0.25">
      <c r="A140">
        <v>139</v>
      </c>
      <c r="B140" t="str">
        <f ca="1"/>
        <v>31-110</v>
      </c>
      <c r="C140">
        <v>31</v>
      </c>
      <c r="E140">
        <f t="shared" si="2"/>
        <v>110</v>
      </c>
      <c r="F140" t="s">
        <v>392</v>
      </c>
      <c r="G140" t="s">
        <v>651</v>
      </c>
      <c r="I140" s="167">
        <v>5.5359999999999996</v>
      </c>
      <c r="L140">
        <v>15</v>
      </c>
      <c r="M140" t="s">
        <v>234</v>
      </c>
      <c r="N140" s="123">
        <v>45693</v>
      </c>
    </row>
    <row r="141" spans="1:14" hidden="1" x14ac:dyDescent="0.25">
      <c r="A141">
        <v>140</v>
      </c>
      <c r="B141" t="str">
        <f ca="1"/>
        <v>31-111</v>
      </c>
      <c r="C141">
        <v>31</v>
      </c>
      <c r="E141">
        <f t="shared" si="2"/>
        <v>111</v>
      </c>
      <c r="F141" t="s">
        <v>394</v>
      </c>
      <c r="G141" t="s">
        <v>651</v>
      </c>
      <c r="I141" s="167">
        <v>5.5359999999999996</v>
      </c>
      <c r="L141">
        <v>15</v>
      </c>
      <c r="M141" t="s">
        <v>252</v>
      </c>
      <c r="N141" s="123">
        <v>45693</v>
      </c>
    </row>
    <row r="142" spans="1:14" hidden="1" x14ac:dyDescent="0.25">
      <c r="A142">
        <v>141</v>
      </c>
      <c r="B142" t="str">
        <f ca="1"/>
        <v>31-112</v>
      </c>
      <c r="C142">
        <v>31</v>
      </c>
      <c r="E142">
        <f t="shared" si="2"/>
        <v>112</v>
      </c>
      <c r="F142" t="s">
        <v>395</v>
      </c>
      <c r="G142" t="s">
        <v>650</v>
      </c>
      <c r="I142" s="167">
        <v>55.36</v>
      </c>
      <c r="L142">
        <v>15</v>
      </c>
      <c r="M142" t="s">
        <v>252</v>
      </c>
      <c r="N142" s="123">
        <v>45693</v>
      </c>
    </row>
    <row r="143" spans="1:14" hidden="1" x14ac:dyDescent="0.25">
      <c r="A143">
        <v>142</v>
      </c>
      <c r="B143" t="str">
        <f ca="1"/>
        <v>31-113</v>
      </c>
      <c r="C143">
        <v>31</v>
      </c>
      <c r="E143">
        <f t="shared" si="2"/>
        <v>113</v>
      </c>
      <c r="F143" t="s">
        <v>396</v>
      </c>
      <c r="G143" t="s">
        <v>651</v>
      </c>
      <c r="I143" s="167">
        <v>5.8929999999999998</v>
      </c>
      <c r="L143">
        <v>12</v>
      </c>
      <c r="M143" t="s">
        <v>278</v>
      </c>
      <c r="N143" s="123">
        <v>45693</v>
      </c>
    </row>
    <row r="144" spans="1:14" hidden="1" x14ac:dyDescent="0.25">
      <c r="A144">
        <v>143</v>
      </c>
      <c r="B144" t="str">
        <f ca="1"/>
        <v>31-114</v>
      </c>
      <c r="C144">
        <v>31</v>
      </c>
      <c r="E144">
        <f t="shared" si="2"/>
        <v>114</v>
      </c>
      <c r="F144" t="s">
        <v>397</v>
      </c>
      <c r="G144" t="s">
        <v>650</v>
      </c>
      <c r="I144" s="167">
        <v>58.93</v>
      </c>
      <c r="L144">
        <v>12</v>
      </c>
      <c r="M144" t="s">
        <v>278</v>
      </c>
      <c r="N144" s="123">
        <v>45693</v>
      </c>
    </row>
    <row r="145" spans="1:14" hidden="1" x14ac:dyDescent="0.25">
      <c r="A145">
        <v>144</v>
      </c>
      <c r="B145" t="str">
        <f ca="1"/>
        <v>31-115</v>
      </c>
      <c r="C145">
        <v>31</v>
      </c>
      <c r="E145">
        <f t="shared" si="2"/>
        <v>115</v>
      </c>
      <c r="F145" t="s">
        <v>398</v>
      </c>
      <c r="G145" t="s">
        <v>651</v>
      </c>
      <c r="I145" s="167">
        <v>5.5359999999999996</v>
      </c>
      <c r="L145">
        <v>15</v>
      </c>
      <c r="M145" t="s">
        <v>268</v>
      </c>
      <c r="N145" s="123">
        <v>45693</v>
      </c>
    </row>
    <row r="146" spans="1:14" hidden="1" x14ac:dyDescent="0.25">
      <c r="A146">
        <v>145</v>
      </c>
      <c r="B146" t="str">
        <f ca="1"/>
        <v>31-116</v>
      </c>
      <c r="C146">
        <v>31</v>
      </c>
      <c r="E146">
        <f t="shared" si="2"/>
        <v>116</v>
      </c>
      <c r="F146" t="s">
        <v>399</v>
      </c>
      <c r="G146" t="s">
        <v>650</v>
      </c>
      <c r="I146" s="167">
        <v>55.36</v>
      </c>
      <c r="L146">
        <v>15</v>
      </c>
      <c r="M146" t="s">
        <v>268</v>
      </c>
      <c r="N146" s="123">
        <v>45693</v>
      </c>
    </row>
    <row r="147" spans="1:14" hidden="1" x14ac:dyDescent="0.25">
      <c r="A147">
        <v>146</v>
      </c>
      <c r="B147" t="str">
        <f ca="1"/>
        <v>31-117</v>
      </c>
      <c r="C147">
        <v>31</v>
      </c>
      <c r="E147">
        <f t="shared" si="2"/>
        <v>117</v>
      </c>
      <c r="F147" t="s">
        <v>421</v>
      </c>
      <c r="G147" t="s">
        <v>651</v>
      </c>
      <c r="I147" s="167">
        <v>27.5</v>
      </c>
      <c r="L147" t="s">
        <v>424</v>
      </c>
      <c r="M147" t="s">
        <v>264</v>
      </c>
      <c r="N147" s="123">
        <v>45693</v>
      </c>
    </row>
    <row r="148" spans="1:14" hidden="1" x14ac:dyDescent="0.25">
      <c r="A148">
        <v>147</v>
      </c>
      <c r="B148" t="str">
        <f ca="1"/>
        <v>31-118</v>
      </c>
      <c r="C148">
        <v>31</v>
      </c>
      <c r="E148">
        <f t="shared" si="2"/>
        <v>118</v>
      </c>
      <c r="F148" t="s">
        <v>422</v>
      </c>
      <c r="G148" t="s">
        <v>650</v>
      </c>
      <c r="I148" s="167">
        <v>275</v>
      </c>
      <c r="L148" t="s">
        <v>424</v>
      </c>
      <c r="M148" t="s">
        <v>264</v>
      </c>
      <c r="N148" s="123">
        <v>45693</v>
      </c>
    </row>
    <row r="149" spans="1:14" hidden="1" x14ac:dyDescent="0.25">
      <c r="A149">
        <v>148</v>
      </c>
      <c r="B149" t="str">
        <f ca="1"/>
        <v>31-119</v>
      </c>
      <c r="C149">
        <v>31</v>
      </c>
      <c r="E149">
        <f t="shared" si="2"/>
        <v>119</v>
      </c>
      <c r="F149" t="s">
        <v>461</v>
      </c>
      <c r="G149" t="s">
        <v>650</v>
      </c>
      <c r="I149" s="167">
        <v>62.5</v>
      </c>
      <c r="L149">
        <v>15</v>
      </c>
      <c r="M149" t="s">
        <v>456</v>
      </c>
      <c r="N149" s="123">
        <v>45693</v>
      </c>
    </row>
    <row r="150" spans="1:14" hidden="1" x14ac:dyDescent="0.25">
      <c r="A150">
        <v>149</v>
      </c>
      <c r="B150" t="str">
        <f ca="1"/>
        <v>31-120</v>
      </c>
      <c r="C150">
        <v>31</v>
      </c>
      <c r="E150">
        <f t="shared" si="2"/>
        <v>120</v>
      </c>
      <c r="F150" t="s">
        <v>460</v>
      </c>
      <c r="G150" t="s">
        <v>651</v>
      </c>
      <c r="I150" s="167">
        <v>6.25</v>
      </c>
      <c r="L150">
        <v>15</v>
      </c>
      <c r="M150" t="s">
        <v>456</v>
      </c>
      <c r="N150" s="123">
        <v>45693</v>
      </c>
    </row>
    <row r="151" spans="1:14" hidden="1" x14ac:dyDescent="0.25">
      <c r="A151">
        <v>150</v>
      </c>
      <c r="B151" t="str">
        <f ca="1"/>
        <v>31-121</v>
      </c>
      <c r="C151">
        <v>31</v>
      </c>
      <c r="E151">
        <f t="shared" si="2"/>
        <v>121</v>
      </c>
      <c r="F151" t="s">
        <v>463</v>
      </c>
      <c r="G151" t="s">
        <v>650</v>
      </c>
      <c r="I151" s="167">
        <v>62.5</v>
      </c>
      <c r="L151">
        <v>15</v>
      </c>
      <c r="M151" t="s">
        <v>458</v>
      </c>
      <c r="N151" s="123">
        <v>45693</v>
      </c>
    </row>
    <row r="152" spans="1:14" hidden="1" x14ac:dyDescent="0.25">
      <c r="A152">
        <v>151</v>
      </c>
      <c r="B152" t="str">
        <f ca="1"/>
        <v>31-122</v>
      </c>
      <c r="C152">
        <v>31</v>
      </c>
      <c r="E152">
        <f t="shared" si="2"/>
        <v>122</v>
      </c>
      <c r="F152" t="s">
        <v>462</v>
      </c>
      <c r="G152" t="s">
        <v>651</v>
      </c>
      <c r="I152" s="167">
        <v>6.25</v>
      </c>
      <c r="L152">
        <v>15</v>
      </c>
      <c r="M152" t="s">
        <v>458</v>
      </c>
      <c r="N152" s="123">
        <v>45693</v>
      </c>
    </row>
    <row r="153" spans="1:14" hidden="1" x14ac:dyDescent="0.25">
      <c r="A153">
        <v>152</v>
      </c>
      <c r="B153" t="str">
        <f ca="1"/>
        <v>31-123</v>
      </c>
      <c r="C153">
        <v>31</v>
      </c>
      <c r="E153">
        <f t="shared" si="2"/>
        <v>123</v>
      </c>
      <c r="F153" t="s">
        <v>465</v>
      </c>
      <c r="G153" t="s">
        <v>650</v>
      </c>
      <c r="I153" s="167">
        <v>55.36</v>
      </c>
      <c r="L153">
        <v>15</v>
      </c>
      <c r="M153" t="s">
        <v>459</v>
      </c>
      <c r="N153" s="123">
        <v>45693</v>
      </c>
    </row>
    <row r="154" spans="1:14" hidden="1" x14ac:dyDescent="0.25">
      <c r="A154">
        <v>153</v>
      </c>
      <c r="B154" t="str">
        <f ca="1"/>
        <v>31-124</v>
      </c>
      <c r="C154">
        <v>31</v>
      </c>
      <c r="E154">
        <f t="shared" si="2"/>
        <v>124</v>
      </c>
      <c r="F154" t="s">
        <v>464</v>
      </c>
      <c r="G154" t="s">
        <v>651</v>
      </c>
      <c r="I154" s="167">
        <v>5.5359999999999996</v>
      </c>
      <c r="L154">
        <v>15</v>
      </c>
      <c r="M154" t="s">
        <v>459</v>
      </c>
      <c r="N154" s="123">
        <v>45693</v>
      </c>
    </row>
    <row r="155" spans="1:14" hidden="1" x14ac:dyDescent="0.25">
      <c r="A155">
        <v>154</v>
      </c>
      <c r="B155" t="str">
        <f ca="1"/>
        <v>31-125</v>
      </c>
      <c r="C155">
        <v>31</v>
      </c>
      <c r="E155">
        <f t="shared" si="2"/>
        <v>125</v>
      </c>
      <c r="F155" t="s">
        <v>470</v>
      </c>
      <c r="G155" t="s">
        <v>650</v>
      </c>
      <c r="I155" s="167">
        <v>96.43</v>
      </c>
      <c r="L155">
        <v>15</v>
      </c>
      <c r="M155" t="s">
        <v>457</v>
      </c>
      <c r="N155" s="123">
        <v>45693</v>
      </c>
    </row>
    <row r="156" spans="1:14" hidden="1" x14ac:dyDescent="0.25">
      <c r="A156">
        <v>155</v>
      </c>
      <c r="B156" t="str">
        <f ca="1"/>
        <v>31-126</v>
      </c>
      <c r="C156">
        <v>31</v>
      </c>
      <c r="E156">
        <f t="shared" si="2"/>
        <v>126</v>
      </c>
      <c r="F156" t="s">
        <v>471</v>
      </c>
      <c r="G156" t="s">
        <v>651</v>
      </c>
      <c r="I156" s="167">
        <v>9.6430000000000007</v>
      </c>
      <c r="L156">
        <v>15</v>
      </c>
      <c r="M156" t="s">
        <v>457</v>
      </c>
      <c r="N156" s="123">
        <v>45693</v>
      </c>
    </row>
    <row r="157" spans="1:14" hidden="1" x14ac:dyDescent="0.25">
      <c r="A157">
        <v>156</v>
      </c>
      <c r="B157" t="str">
        <f ca="1"/>
        <v>31-M-1</v>
      </c>
      <c r="C157">
        <v>31</v>
      </c>
      <c r="E157" t="str">
        <f>IF(C157=C148,IF(LEFT(F157,5)="Mazot","M-1",E148+1),1)</f>
        <v>M-1</v>
      </c>
      <c r="F157" t="s">
        <v>235</v>
      </c>
      <c r="G157" t="s">
        <v>237</v>
      </c>
      <c r="I157" s="167">
        <v>1</v>
      </c>
      <c r="L157" t="s">
        <v>424</v>
      </c>
      <c r="N157" s="123">
        <v>45693</v>
      </c>
    </row>
    <row r="158" spans="1:14" hidden="1" x14ac:dyDescent="0.25">
      <c r="A158">
        <v>157</v>
      </c>
      <c r="B158" t="str">
        <f ca="1"/>
        <v>31-R-1</v>
      </c>
      <c r="C158">
        <v>31</v>
      </c>
      <c r="E158" t="s">
        <v>419</v>
      </c>
      <c r="F158" t="s">
        <v>738</v>
      </c>
      <c r="G158" t="s">
        <v>237</v>
      </c>
      <c r="I158" s="167">
        <v>-1</v>
      </c>
      <c r="L158" t="s">
        <v>424</v>
      </c>
      <c r="N158" s="123">
        <v>45693</v>
      </c>
    </row>
    <row r="159" spans="1:14" hidden="1" x14ac:dyDescent="0.25">
      <c r="A159">
        <v>158</v>
      </c>
      <c r="B159" t="str">
        <f ca="1"/>
        <v>31-R-2</v>
      </c>
      <c r="C159">
        <v>31</v>
      </c>
      <c r="E159" t="s">
        <v>428</v>
      </c>
      <c r="F159" t="s">
        <v>741</v>
      </c>
      <c r="G159" t="s">
        <v>429</v>
      </c>
      <c r="I159" s="167">
        <v>-1</v>
      </c>
      <c r="N159" s="123">
        <v>45693</v>
      </c>
    </row>
    <row r="160" spans="1:14" hidden="1" x14ac:dyDescent="0.25">
      <c r="A160">
        <v>159</v>
      </c>
      <c r="B160" t="str">
        <f ca="1"/>
        <v>31-R-3</v>
      </c>
      <c r="C160">
        <v>31</v>
      </c>
      <c r="E160" t="s">
        <v>466</v>
      </c>
      <c r="F160" t="s">
        <v>739</v>
      </c>
      <c r="G160" t="s">
        <v>650</v>
      </c>
      <c r="I160" s="167">
        <v>-55.36</v>
      </c>
      <c r="N160" s="123">
        <v>45693</v>
      </c>
    </row>
    <row r="161" spans="1:15" hidden="1" x14ac:dyDescent="0.25">
      <c r="A161">
        <v>160</v>
      </c>
      <c r="B161" t="str">
        <f ca="1"/>
        <v>31-R-4</v>
      </c>
      <c r="C161">
        <v>31</v>
      </c>
      <c r="E161" t="s">
        <v>467</v>
      </c>
      <c r="F161" t="s">
        <v>740</v>
      </c>
      <c r="G161" t="s">
        <v>651</v>
      </c>
      <c r="I161" s="167">
        <v>-5.5359999999999996</v>
      </c>
      <c r="N161" s="123">
        <v>45693</v>
      </c>
    </row>
    <row r="162" spans="1:15" hidden="1" x14ac:dyDescent="0.25">
      <c r="A162">
        <v>161</v>
      </c>
      <c r="B162" t="str">
        <f ca="1"/>
        <v>33-1</v>
      </c>
      <c r="C162">
        <v>33</v>
      </c>
      <c r="E162">
        <v>1</v>
      </c>
      <c r="F162" t="s">
        <v>545</v>
      </c>
      <c r="G162" t="s">
        <v>551</v>
      </c>
      <c r="I162" s="167">
        <v>1.5</v>
      </c>
      <c r="N162" s="123">
        <v>45658</v>
      </c>
    </row>
    <row r="163" spans="1:15" hidden="1" x14ac:dyDescent="0.25">
      <c r="A163">
        <v>162</v>
      </c>
      <c r="B163" t="str">
        <f ca="1"/>
        <v>33-2</v>
      </c>
      <c r="C163">
        <v>33</v>
      </c>
      <c r="E163">
        <v>2</v>
      </c>
      <c r="F163" t="s">
        <v>546</v>
      </c>
      <c r="G163" t="s">
        <v>551</v>
      </c>
      <c r="I163" s="167">
        <v>4.7</v>
      </c>
      <c r="N163" s="123">
        <v>45658</v>
      </c>
    </row>
    <row r="164" spans="1:15" hidden="1" x14ac:dyDescent="0.25">
      <c r="A164">
        <v>163</v>
      </c>
      <c r="B164" t="str">
        <f ca="1"/>
        <v>33-3</v>
      </c>
      <c r="C164">
        <v>33</v>
      </c>
      <c r="E164">
        <v>3</v>
      </c>
      <c r="F164" t="s">
        <v>547</v>
      </c>
      <c r="G164" t="s">
        <v>551</v>
      </c>
      <c r="I164" s="167">
        <v>4.7</v>
      </c>
      <c r="N164" s="123">
        <v>45658</v>
      </c>
    </row>
    <row r="165" spans="1:15" hidden="1" x14ac:dyDescent="0.25">
      <c r="A165">
        <v>164</v>
      </c>
      <c r="B165" t="str">
        <f ca="1"/>
        <v>33-4</v>
      </c>
      <c r="C165">
        <v>33</v>
      </c>
      <c r="E165">
        <v>4</v>
      </c>
      <c r="F165" t="s">
        <v>548</v>
      </c>
      <c r="G165" t="s">
        <v>551</v>
      </c>
      <c r="I165" s="167">
        <v>4.7</v>
      </c>
      <c r="N165" s="123">
        <v>45658</v>
      </c>
    </row>
    <row r="166" spans="1:15" hidden="1" x14ac:dyDescent="0.25">
      <c r="A166">
        <v>165</v>
      </c>
      <c r="B166" t="str">
        <f ca="1"/>
        <v>33-5</v>
      </c>
      <c r="C166">
        <v>33</v>
      </c>
      <c r="E166">
        <v>5</v>
      </c>
      <c r="F166" t="s">
        <v>549</v>
      </c>
      <c r="G166" t="s">
        <v>551</v>
      </c>
      <c r="I166" s="167">
        <v>3.85</v>
      </c>
      <c r="N166" s="123">
        <v>45658</v>
      </c>
    </row>
    <row r="167" spans="1:15" hidden="1" x14ac:dyDescent="0.25">
      <c r="A167">
        <v>166</v>
      </c>
      <c r="B167" t="str">
        <f ca="1"/>
        <v>33-6</v>
      </c>
      <c r="C167">
        <v>33</v>
      </c>
      <c r="E167">
        <v>6</v>
      </c>
      <c r="F167" t="s">
        <v>550</v>
      </c>
      <c r="G167" t="s">
        <v>551</v>
      </c>
      <c r="I167" s="167">
        <v>1.5</v>
      </c>
      <c r="N167" s="123">
        <v>45658</v>
      </c>
    </row>
    <row r="168" spans="1:15" hidden="1" x14ac:dyDescent="0.25">
      <c r="A168">
        <v>167</v>
      </c>
      <c r="B168" t="str">
        <f ca="1"/>
        <v>33-7</v>
      </c>
      <c r="C168">
        <v>33</v>
      </c>
      <c r="E168">
        <v>7</v>
      </c>
      <c r="F168" t="s">
        <v>552</v>
      </c>
      <c r="G168" t="s">
        <v>551</v>
      </c>
      <c r="I168" s="167">
        <v>1.45</v>
      </c>
      <c r="N168" s="123">
        <v>45689</v>
      </c>
      <c r="O168"/>
    </row>
    <row r="169" spans="1:15" hidden="1" x14ac:dyDescent="0.25">
      <c r="A169">
        <v>168</v>
      </c>
      <c r="B169" t="str">
        <f ca="1"/>
        <v>33-8</v>
      </c>
      <c r="C169">
        <v>33</v>
      </c>
      <c r="E169">
        <v>8</v>
      </c>
      <c r="F169" t="s">
        <v>553</v>
      </c>
      <c r="G169" t="s">
        <v>551</v>
      </c>
      <c r="I169" s="167">
        <v>4.2</v>
      </c>
      <c r="N169" s="123">
        <v>45689</v>
      </c>
      <c r="O169"/>
    </row>
    <row r="170" spans="1:15" hidden="1" x14ac:dyDescent="0.25">
      <c r="A170">
        <v>169</v>
      </c>
      <c r="B170" t="str">
        <f ca="1"/>
        <v>33-9</v>
      </c>
      <c r="C170">
        <v>33</v>
      </c>
      <c r="E170">
        <v>9</v>
      </c>
      <c r="F170" t="s">
        <v>554</v>
      </c>
      <c r="G170" t="s">
        <v>551</v>
      </c>
      <c r="I170" s="167">
        <v>4.2</v>
      </c>
      <c r="N170" s="123">
        <v>45689</v>
      </c>
      <c r="O170"/>
    </row>
    <row r="171" spans="1:15" hidden="1" x14ac:dyDescent="0.25">
      <c r="A171">
        <v>170</v>
      </c>
      <c r="B171" t="str">
        <f ca="1"/>
        <v>33-10</v>
      </c>
      <c r="C171">
        <v>33</v>
      </c>
      <c r="E171">
        <v>10</v>
      </c>
      <c r="F171" t="s">
        <v>555</v>
      </c>
      <c r="G171" t="s">
        <v>551</v>
      </c>
      <c r="I171" s="167">
        <v>4.2</v>
      </c>
      <c r="N171" s="123">
        <v>45778</v>
      </c>
      <c r="O171"/>
    </row>
    <row r="172" spans="1:15" hidden="1" x14ac:dyDescent="0.25">
      <c r="A172">
        <v>171</v>
      </c>
      <c r="B172" t="str">
        <f ca="1"/>
        <v>33-11</v>
      </c>
      <c r="C172">
        <v>33</v>
      </c>
      <c r="E172">
        <v>11</v>
      </c>
      <c r="F172" t="s">
        <v>556</v>
      </c>
      <c r="G172" t="s">
        <v>551</v>
      </c>
      <c r="I172" s="167">
        <v>3.5</v>
      </c>
      <c r="N172" s="123">
        <v>45689</v>
      </c>
      <c r="O172"/>
    </row>
    <row r="173" spans="1:15" hidden="1" x14ac:dyDescent="0.25">
      <c r="A173">
        <v>172</v>
      </c>
      <c r="B173" t="str">
        <f ca="1"/>
        <v>33-12</v>
      </c>
      <c r="C173">
        <v>33</v>
      </c>
      <c r="E173">
        <v>12</v>
      </c>
      <c r="F173" t="s">
        <v>558</v>
      </c>
      <c r="G173" t="s">
        <v>551</v>
      </c>
      <c r="I173">
        <v>1.56</v>
      </c>
      <c r="N173" s="123">
        <v>45778</v>
      </c>
      <c r="O173"/>
    </row>
    <row r="174" spans="1:15" hidden="1" x14ac:dyDescent="0.25">
      <c r="A174">
        <v>173</v>
      </c>
      <c r="B174" t="str">
        <f ca="1"/>
        <v>33-13</v>
      </c>
      <c r="C174">
        <v>33</v>
      </c>
      <c r="E174">
        <v>13</v>
      </c>
      <c r="F174" t="s">
        <v>559</v>
      </c>
      <c r="G174" t="s">
        <v>551</v>
      </c>
      <c r="I174">
        <v>4.53</v>
      </c>
      <c r="N174" s="123">
        <v>45778</v>
      </c>
      <c r="O174"/>
    </row>
    <row r="175" spans="1:15" hidden="1" x14ac:dyDescent="0.25">
      <c r="A175">
        <v>174</v>
      </c>
      <c r="B175" t="str">
        <f ca="1"/>
        <v>33-14</v>
      </c>
      <c r="C175">
        <v>33</v>
      </c>
      <c r="E175">
        <v>14</v>
      </c>
      <c r="F175" t="s">
        <v>560</v>
      </c>
      <c r="G175" t="s">
        <v>551</v>
      </c>
      <c r="I175">
        <v>4.53</v>
      </c>
      <c r="N175" s="123">
        <v>45778</v>
      </c>
      <c r="O175"/>
    </row>
    <row r="176" spans="1:15" hidden="1" x14ac:dyDescent="0.25">
      <c r="A176">
        <v>175</v>
      </c>
      <c r="B176" t="str">
        <f ca="1"/>
        <v>33-15</v>
      </c>
      <c r="C176">
        <v>33</v>
      </c>
      <c r="E176">
        <v>15</v>
      </c>
      <c r="F176" t="s">
        <v>561</v>
      </c>
      <c r="G176" t="s">
        <v>551</v>
      </c>
      <c r="I176">
        <v>4.53</v>
      </c>
      <c r="N176" s="123">
        <v>45778</v>
      </c>
      <c r="O176"/>
    </row>
    <row r="177" spans="1:16" hidden="1" x14ac:dyDescent="0.25">
      <c r="A177">
        <v>176</v>
      </c>
      <c r="B177" t="str">
        <f ca="1"/>
        <v>33-16</v>
      </c>
      <c r="C177">
        <v>33</v>
      </c>
      <c r="E177">
        <v>16</v>
      </c>
      <c r="F177" t="s">
        <v>562</v>
      </c>
      <c r="G177" t="s">
        <v>551</v>
      </c>
      <c r="I177">
        <v>3.77</v>
      </c>
      <c r="N177" s="123">
        <v>45778</v>
      </c>
      <c r="O177"/>
    </row>
    <row r="178" spans="1:16" hidden="1" x14ac:dyDescent="0.25">
      <c r="A178">
        <v>177</v>
      </c>
      <c r="B178" t="str">
        <f ca="1"/>
        <v>33-R-1</v>
      </c>
      <c r="C178">
        <v>33</v>
      </c>
      <c r="E178" t="s">
        <v>419</v>
      </c>
      <c r="F178" t="s">
        <v>734</v>
      </c>
      <c r="G178" t="s">
        <v>557</v>
      </c>
      <c r="I178" s="167">
        <v>-80</v>
      </c>
      <c r="N178" s="123">
        <v>45658</v>
      </c>
    </row>
    <row r="179" spans="1:16" hidden="1" x14ac:dyDescent="0.25">
      <c r="A179">
        <v>178</v>
      </c>
      <c r="B179" t="str">
        <f ca="1"/>
        <v>33-R-2</v>
      </c>
      <c r="C179">
        <v>33</v>
      </c>
      <c r="E179" t="s">
        <v>428</v>
      </c>
      <c r="F179" t="s">
        <v>735</v>
      </c>
      <c r="G179" t="s">
        <v>557</v>
      </c>
      <c r="I179" s="167">
        <v>-80</v>
      </c>
      <c r="N179" s="123">
        <v>45658</v>
      </c>
    </row>
    <row r="180" spans="1:16" hidden="1" x14ac:dyDescent="0.25">
      <c r="A180">
        <v>179</v>
      </c>
      <c r="B180" t="str">
        <f ca="1"/>
        <v>33-R-3</v>
      </c>
      <c r="C180">
        <v>33</v>
      </c>
      <c r="E180" t="s">
        <v>466</v>
      </c>
      <c r="F180" t="s">
        <v>736</v>
      </c>
      <c r="G180" t="s">
        <v>563</v>
      </c>
      <c r="I180" s="167">
        <v>-680</v>
      </c>
      <c r="N180" s="123">
        <v>45658</v>
      </c>
    </row>
    <row r="181" spans="1:16" hidden="1" x14ac:dyDescent="0.25">
      <c r="A181">
        <v>180</v>
      </c>
      <c r="B181" t="str">
        <f ca="1"/>
        <v>33-R-4</v>
      </c>
      <c r="C181">
        <v>33</v>
      </c>
      <c r="E181" t="s">
        <v>467</v>
      </c>
      <c r="F181" t="s">
        <v>737</v>
      </c>
      <c r="G181" t="s">
        <v>563</v>
      </c>
      <c r="I181" s="167">
        <v>-5.15</v>
      </c>
      <c r="N181" s="123">
        <v>45658</v>
      </c>
    </row>
    <row r="182" spans="1:16" hidden="1" x14ac:dyDescent="0.25">
      <c r="A182">
        <v>181</v>
      </c>
      <c r="B182" t="str">
        <f ca="1"/>
        <v>46-1</v>
      </c>
      <c r="C182">
        <v>46</v>
      </c>
      <c r="E182">
        <f>IF(C182=C157,IF(LEFT(F182,5)="Mazot","_",E157+1),1)</f>
        <v>1</v>
      </c>
      <c r="F182" t="s">
        <v>414</v>
      </c>
      <c r="G182" t="s">
        <v>650</v>
      </c>
      <c r="I182" s="167">
        <f>K182/J182</f>
        <v>214.28571428571428</v>
      </c>
      <c r="J182">
        <v>28</v>
      </c>
      <c r="K182">
        <v>6000</v>
      </c>
      <c r="L182" t="s">
        <v>424</v>
      </c>
      <c r="M182" t="s">
        <v>417</v>
      </c>
      <c r="N182" s="123">
        <v>45778</v>
      </c>
      <c r="P182" s="220"/>
    </row>
    <row r="183" spans="1:16" hidden="1" x14ac:dyDescent="0.25">
      <c r="A183">
        <v>182</v>
      </c>
      <c r="B183" t="str">
        <f ca="1"/>
        <v>46-2</v>
      </c>
      <c r="C183">
        <v>46</v>
      </c>
      <c r="E183">
        <f t="shared" ref="E183:E193" si="3">IF(C183=C182,IF(LEFT(F183,5)="Mazot","_",E182+1),1)</f>
        <v>2</v>
      </c>
      <c r="F183" t="s">
        <v>410</v>
      </c>
      <c r="G183" t="s">
        <v>649</v>
      </c>
      <c r="I183" s="167">
        <v>385.71444000000002</v>
      </c>
      <c r="L183" t="s">
        <v>424</v>
      </c>
      <c r="M183" t="s">
        <v>417</v>
      </c>
      <c r="N183" s="123">
        <v>45778</v>
      </c>
    </row>
    <row r="184" spans="1:16" hidden="1" x14ac:dyDescent="0.25">
      <c r="A184">
        <v>183</v>
      </c>
      <c r="B184" t="str">
        <f ca="1"/>
        <v>46-3</v>
      </c>
      <c r="C184">
        <v>46</v>
      </c>
      <c r="E184">
        <f t="shared" si="3"/>
        <v>3</v>
      </c>
      <c r="F184" t="s">
        <v>409</v>
      </c>
      <c r="G184" t="s">
        <v>651</v>
      </c>
      <c r="I184" s="167">
        <v>21.42858</v>
      </c>
      <c r="L184" t="s">
        <v>424</v>
      </c>
      <c r="M184" t="s">
        <v>417</v>
      </c>
      <c r="N184" s="123">
        <v>45778</v>
      </c>
    </row>
    <row r="185" spans="1:16" hidden="1" x14ac:dyDescent="0.25">
      <c r="A185">
        <v>184</v>
      </c>
      <c r="B185" t="str">
        <f ca="1"/>
        <v>46-4</v>
      </c>
      <c r="C185">
        <v>46</v>
      </c>
      <c r="E185">
        <f t="shared" si="3"/>
        <v>4</v>
      </c>
      <c r="F185" t="s">
        <v>411</v>
      </c>
      <c r="G185" t="s">
        <v>650</v>
      </c>
      <c r="I185" s="167">
        <f>K185/J185</f>
        <v>446.42857142857144</v>
      </c>
      <c r="J185">
        <v>28</v>
      </c>
      <c r="K185">
        <v>12500</v>
      </c>
      <c r="L185" t="s">
        <v>424</v>
      </c>
      <c r="M185" s="217" t="s">
        <v>564</v>
      </c>
      <c r="N185" s="123">
        <v>45778</v>
      </c>
    </row>
    <row r="186" spans="1:16" hidden="1" x14ac:dyDescent="0.25">
      <c r="A186">
        <v>185</v>
      </c>
      <c r="B186" t="str">
        <f ca="1"/>
        <v>46-5</v>
      </c>
      <c r="C186">
        <v>46</v>
      </c>
      <c r="E186">
        <f t="shared" si="3"/>
        <v>5</v>
      </c>
      <c r="F186" t="s">
        <v>412</v>
      </c>
      <c r="G186" t="s">
        <v>649</v>
      </c>
      <c r="I186" s="167">
        <v>803.57147999999995</v>
      </c>
      <c r="L186" t="s">
        <v>424</v>
      </c>
      <c r="M186" t="s">
        <v>564</v>
      </c>
      <c r="N186" s="123">
        <v>45778</v>
      </c>
    </row>
    <row r="187" spans="1:16" hidden="1" x14ac:dyDescent="0.25">
      <c r="A187">
        <v>186</v>
      </c>
      <c r="B187" t="str">
        <f ca="1"/>
        <v>46-6</v>
      </c>
      <c r="C187">
        <v>46</v>
      </c>
      <c r="E187">
        <f t="shared" si="3"/>
        <v>6</v>
      </c>
      <c r="F187" t="s">
        <v>413</v>
      </c>
      <c r="G187" t="s">
        <v>651</v>
      </c>
      <c r="I187" s="167">
        <v>44.642859999999999</v>
      </c>
      <c r="L187" t="s">
        <v>424</v>
      </c>
      <c r="M187" t="s">
        <v>564</v>
      </c>
      <c r="N187" s="123">
        <v>45778</v>
      </c>
    </row>
    <row r="188" spans="1:16" hidden="1" x14ac:dyDescent="0.25">
      <c r="A188">
        <v>187</v>
      </c>
      <c r="B188" t="str">
        <f ca="1"/>
        <v>46-7</v>
      </c>
      <c r="C188">
        <v>46</v>
      </c>
      <c r="E188">
        <f t="shared" si="3"/>
        <v>7</v>
      </c>
      <c r="F188" t="s">
        <v>403</v>
      </c>
      <c r="G188" t="s">
        <v>650</v>
      </c>
      <c r="I188" s="167">
        <f>K188/J188</f>
        <v>214.28571428571428</v>
      </c>
      <c r="J188">
        <v>28</v>
      </c>
      <c r="K188">
        <v>6000</v>
      </c>
      <c r="L188" t="s">
        <v>424</v>
      </c>
      <c r="M188" t="s">
        <v>418</v>
      </c>
      <c r="N188" s="123">
        <v>45778</v>
      </c>
    </row>
    <row r="189" spans="1:16" hidden="1" x14ac:dyDescent="0.25">
      <c r="A189">
        <v>188</v>
      </c>
      <c r="B189" t="str">
        <f ca="1"/>
        <v>46-8</v>
      </c>
      <c r="C189">
        <v>46</v>
      </c>
      <c r="E189">
        <f t="shared" si="3"/>
        <v>8</v>
      </c>
      <c r="F189" t="s">
        <v>404</v>
      </c>
      <c r="G189" t="s">
        <v>649</v>
      </c>
      <c r="I189" s="167">
        <v>385.71444000000002</v>
      </c>
      <c r="L189" t="s">
        <v>424</v>
      </c>
      <c r="M189" t="s">
        <v>418</v>
      </c>
      <c r="N189" s="123">
        <v>45778</v>
      </c>
    </row>
    <row r="190" spans="1:16" hidden="1" x14ac:dyDescent="0.25">
      <c r="A190">
        <v>189</v>
      </c>
      <c r="B190" t="str">
        <f ca="1"/>
        <v>46-9</v>
      </c>
      <c r="C190">
        <v>46</v>
      </c>
      <c r="E190">
        <f t="shared" si="3"/>
        <v>9</v>
      </c>
      <c r="F190" t="s">
        <v>405</v>
      </c>
      <c r="G190" t="s">
        <v>651</v>
      </c>
      <c r="I190" s="167">
        <v>21.42858</v>
      </c>
      <c r="L190" t="s">
        <v>424</v>
      </c>
      <c r="M190" t="s">
        <v>418</v>
      </c>
      <c r="N190" s="123">
        <v>45778</v>
      </c>
    </row>
    <row r="191" spans="1:16" hidden="1" x14ac:dyDescent="0.25">
      <c r="A191">
        <v>190</v>
      </c>
      <c r="B191" t="str">
        <f ca="1"/>
        <v>46-10</v>
      </c>
      <c r="C191">
        <v>46</v>
      </c>
      <c r="E191">
        <f t="shared" si="3"/>
        <v>10</v>
      </c>
      <c r="F191" t="s">
        <v>406</v>
      </c>
      <c r="G191" t="s">
        <v>650</v>
      </c>
      <c r="I191" s="167">
        <v>185.71430000000001</v>
      </c>
      <c r="J191">
        <v>28</v>
      </c>
      <c r="K191">
        <v>5200</v>
      </c>
      <c r="L191" t="s">
        <v>424</v>
      </c>
      <c r="M191" t="s">
        <v>565</v>
      </c>
      <c r="N191" s="123">
        <v>45778</v>
      </c>
    </row>
    <row r="192" spans="1:16" hidden="1" x14ac:dyDescent="0.25">
      <c r="A192">
        <v>191</v>
      </c>
      <c r="B192" t="str">
        <f ca="1"/>
        <v>46-11</v>
      </c>
      <c r="C192">
        <v>46</v>
      </c>
      <c r="E192">
        <f t="shared" si="3"/>
        <v>11</v>
      </c>
      <c r="F192" t="s">
        <v>407</v>
      </c>
      <c r="G192" t="s">
        <v>649</v>
      </c>
      <c r="I192" s="167">
        <v>334.28574000000003</v>
      </c>
      <c r="L192" t="s">
        <v>424</v>
      </c>
      <c r="M192" t="s">
        <v>565</v>
      </c>
      <c r="N192" s="123">
        <v>45778</v>
      </c>
    </row>
    <row r="193" spans="1:14" hidden="1" x14ac:dyDescent="0.25">
      <c r="A193">
        <v>192</v>
      </c>
      <c r="B193" t="str">
        <f ca="1"/>
        <v>46-12</v>
      </c>
      <c r="C193">
        <v>46</v>
      </c>
      <c r="E193">
        <f t="shared" si="3"/>
        <v>12</v>
      </c>
      <c r="F193" t="s">
        <v>408</v>
      </c>
      <c r="G193" t="s">
        <v>651</v>
      </c>
      <c r="I193" s="167">
        <v>18.571429999999999</v>
      </c>
      <c r="L193" t="s">
        <v>424</v>
      </c>
      <c r="M193" t="s">
        <v>565</v>
      </c>
      <c r="N193" s="123">
        <v>45778</v>
      </c>
    </row>
    <row r="194" spans="1:14" hidden="1" x14ac:dyDescent="0.25">
      <c r="A194">
        <v>193</v>
      </c>
      <c r="B194" t="str">
        <f ca="1"/>
        <v>50-1</v>
      </c>
      <c r="C194">
        <v>50</v>
      </c>
      <c r="E194">
        <v>1</v>
      </c>
      <c r="F194" t="s">
        <v>568</v>
      </c>
      <c r="G194" t="s">
        <v>650</v>
      </c>
      <c r="I194" s="167">
        <v>357.1429</v>
      </c>
      <c r="M194" t="s">
        <v>567</v>
      </c>
      <c r="N194" s="123">
        <v>45748</v>
      </c>
    </row>
    <row r="195" spans="1:14" hidden="1" x14ac:dyDescent="0.25">
      <c r="A195">
        <v>194</v>
      </c>
      <c r="B195" t="str">
        <f ca="1"/>
        <v>50-2</v>
      </c>
      <c r="C195">
        <v>50</v>
      </c>
      <c r="E195">
        <v>2</v>
      </c>
      <c r="F195" t="s">
        <v>569</v>
      </c>
      <c r="G195" t="s">
        <v>649</v>
      </c>
      <c r="I195" s="167">
        <v>678.57159999999999</v>
      </c>
      <c r="M195" t="s">
        <v>567</v>
      </c>
      <c r="N195" s="123">
        <v>45748</v>
      </c>
    </row>
    <row r="196" spans="1:14" hidden="1" x14ac:dyDescent="0.25">
      <c r="A196">
        <v>195</v>
      </c>
      <c r="B196" t="str">
        <f ca="1"/>
        <v>51-1</v>
      </c>
      <c r="C196">
        <v>51</v>
      </c>
      <c r="E196">
        <v>1</v>
      </c>
      <c r="F196" t="s">
        <v>570</v>
      </c>
      <c r="G196" t="s">
        <v>650</v>
      </c>
      <c r="I196" s="167">
        <v>225</v>
      </c>
      <c r="M196" t="s">
        <v>572</v>
      </c>
      <c r="N196" s="123">
        <v>45761</v>
      </c>
    </row>
    <row r="197" spans="1:14" hidden="1" x14ac:dyDescent="0.25">
      <c r="A197">
        <v>196</v>
      </c>
      <c r="B197" t="str">
        <f ca="1"/>
        <v>51-2</v>
      </c>
      <c r="C197">
        <v>51</v>
      </c>
      <c r="E197">
        <v>2</v>
      </c>
      <c r="F197" t="s">
        <v>571</v>
      </c>
      <c r="G197" t="s">
        <v>651</v>
      </c>
      <c r="I197" s="167">
        <v>25</v>
      </c>
      <c r="M197" t="s">
        <v>572</v>
      </c>
      <c r="N197" s="123">
        <v>45761</v>
      </c>
    </row>
    <row r="198" spans="1:14" hidden="1" x14ac:dyDescent="0.25">
      <c r="A198">
        <v>197</v>
      </c>
      <c r="B198" t="str">
        <f ca="1"/>
        <v>51-3</v>
      </c>
      <c r="C198">
        <v>51</v>
      </c>
      <c r="E198">
        <v>3</v>
      </c>
      <c r="F198" t="s">
        <v>573</v>
      </c>
      <c r="G198" t="s">
        <v>650</v>
      </c>
      <c r="I198" s="167">
        <v>235.71</v>
      </c>
      <c r="M198" t="s">
        <v>575</v>
      </c>
      <c r="N198" s="123">
        <v>45761</v>
      </c>
    </row>
    <row r="199" spans="1:14" hidden="1" x14ac:dyDescent="0.25">
      <c r="A199">
        <v>198</v>
      </c>
      <c r="B199" t="str">
        <f ca="1"/>
        <v>51-4</v>
      </c>
      <c r="C199">
        <v>51</v>
      </c>
      <c r="E199">
        <v>4</v>
      </c>
      <c r="F199" t="s">
        <v>574</v>
      </c>
      <c r="G199" t="s">
        <v>651</v>
      </c>
      <c r="I199" s="167">
        <v>26.071000000000002</v>
      </c>
      <c r="M199" t="s">
        <v>575</v>
      </c>
      <c r="N199" s="123">
        <v>45761</v>
      </c>
    </row>
    <row r="200" spans="1:14" hidden="1" x14ac:dyDescent="0.25">
      <c r="A200">
        <v>199</v>
      </c>
      <c r="B200" t="str">
        <f ca="1"/>
        <v>52-1</v>
      </c>
      <c r="C200">
        <v>52</v>
      </c>
      <c r="E200">
        <v>1</v>
      </c>
      <c r="F200" t="s">
        <v>576</v>
      </c>
      <c r="G200" t="s">
        <v>650</v>
      </c>
      <c r="I200" s="167">
        <v>375</v>
      </c>
      <c r="M200" t="s">
        <v>578</v>
      </c>
      <c r="N200" s="123">
        <v>45748</v>
      </c>
    </row>
    <row r="201" spans="1:14" hidden="1" x14ac:dyDescent="0.25">
      <c r="A201">
        <v>200</v>
      </c>
      <c r="B201" t="str">
        <f ca="1"/>
        <v>52-2</v>
      </c>
      <c r="C201">
        <v>52</v>
      </c>
      <c r="E201">
        <v>2</v>
      </c>
      <c r="F201" t="s">
        <v>579</v>
      </c>
      <c r="G201" t="s">
        <v>651</v>
      </c>
      <c r="I201" s="167">
        <v>37.5</v>
      </c>
      <c r="M201" t="s">
        <v>578</v>
      </c>
      <c r="N201" s="123">
        <v>45748</v>
      </c>
    </row>
    <row r="202" spans="1:14" hidden="1" x14ac:dyDescent="0.25">
      <c r="A202">
        <v>201</v>
      </c>
      <c r="B202" t="str">
        <f ca="1"/>
        <v>52-3</v>
      </c>
      <c r="C202">
        <v>52</v>
      </c>
      <c r="E202">
        <v>3</v>
      </c>
      <c r="F202" t="s">
        <v>580</v>
      </c>
      <c r="G202" t="s">
        <v>650</v>
      </c>
      <c r="I202" s="167">
        <v>357.14</v>
      </c>
      <c r="M202" t="s">
        <v>581</v>
      </c>
      <c r="N202" s="123">
        <v>45762</v>
      </c>
    </row>
    <row r="203" spans="1:14" hidden="1" x14ac:dyDescent="0.25">
      <c r="A203">
        <v>202</v>
      </c>
      <c r="B203" t="str">
        <f ca="1"/>
        <v>65-1</v>
      </c>
      <c r="C203">
        <v>65</v>
      </c>
      <c r="E203">
        <v>1</v>
      </c>
      <c r="F203" t="s">
        <v>582</v>
      </c>
      <c r="G203" t="s">
        <v>650</v>
      </c>
      <c r="I203" s="167">
        <f>K203/J203</f>
        <v>196.42857142857142</v>
      </c>
      <c r="J203">
        <v>28</v>
      </c>
      <c r="K203">
        <v>5500</v>
      </c>
      <c r="M203" t="s">
        <v>584</v>
      </c>
      <c r="N203" s="123">
        <v>45778</v>
      </c>
    </row>
    <row r="204" spans="1:14" hidden="1" x14ac:dyDescent="0.25">
      <c r="A204">
        <v>203</v>
      </c>
      <c r="B204" t="str">
        <f ca="1"/>
        <v>65-2</v>
      </c>
      <c r="C204">
        <v>65</v>
      </c>
      <c r="E204">
        <v>2</v>
      </c>
      <c r="F204" t="s">
        <v>583</v>
      </c>
      <c r="G204" t="s">
        <v>650</v>
      </c>
      <c r="I204" s="167">
        <v>160.71</v>
      </c>
      <c r="M204" t="s">
        <v>585</v>
      </c>
      <c r="N204" s="123">
        <v>45778</v>
      </c>
    </row>
    <row r="205" spans="1:14" ht="30" hidden="1" x14ac:dyDescent="0.25">
      <c r="A205">
        <v>204</v>
      </c>
      <c r="B205" t="str">
        <f ca="1"/>
        <v>85-1</v>
      </c>
      <c r="C205">
        <v>85</v>
      </c>
      <c r="E205">
        <v>1</v>
      </c>
      <c r="F205" s="174" t="s">
        <v>586</v>
      </c>
      <c r="G205" t="s">
        <v>650</v>
      </c>
      <c r="I205" s="167">
        <v>446.43</v>
      </c>
      <c r="M205" t="s">
        <v>588</v>
      </c>
      <c r="N205" s="123">
        <v>45809</v>
      </c>
    </row>
    <row r="206" spans="1:14" ht="30" hidden="1" x14ac:dyDescent="0.25">
      <c r="A206">
        <v>205</v>
      </c>
      <c r="B206" t="str">
        <f ca="1"/>
        <v>85-2</v>
      </c>
      <c r="C206">
        <v>85</v>
      </c>
      <c r="E206">
        <v>2</v>
      </c>
      <c r="F206" s="174" t="s">
        <v>587</v>
      </c>
      <c r="G206" t="s">
        <v>651</v>
      </c>
      <c r="I206" s="167">
        <v>44.643000000000001</v>
      </c>
      <c r="M206" t="s">
        <v>588</v>
      </c>
      <c r="N206" s="123">
        <v>45809</v>
      </c>
    </row>
    <row r="207" spans="1:14" hidden="1" x14ac:dyDescent="0.25">
      <c r="A207">
        <v>206</v>
      </c>
      <c r="B207" t="str">
        <f ca="1"/>
        <v>91-1</v>
      </c>
      <c r="C207">
        <v>91</v>
      </c>
      <c r="E207">
        <v>1</v>
      </c>
      <c r="F207" t="s">
        <v>589</v>
      </c>
      <c r="G207" t="s">
        <v>650</v>
      </c>
      <c r="I207" s="167">
        <v>3500</v>
      </c>
      <c r="M207" t="s">
        <v>590</v>
      </c>
      <c r="N207" s="123">
        <v>45834</v>
      </c>
    </row>
    <row r="208" spans="1:14" hidden="1" x14ac:dyDescent="0.25">
      <c r="A208">
        <v>207</v>
      </c>
      <c r="B208" t="str">
        <f ca="1"/>
        <v>94-1</v>
      </c>
      <c r="C208">
        <v>94</v>
      </c>
      <c r="E208">
        <v>1</v>
      </c>
      <c r="F208" t="s">
        <v>593</v>
      </c>
      <c r="G208" t="s">
        <v>650</v>
      </c>
      <c r="I208" s="167">
        <v>125</v>
      </c>
      <c r="M208" t="s">
        <v>598</v>
      </c>
      <c r="N208" s="123">
        <v>45809</v>
      </c>
    </row>
    <row r="209" spans="1:14" hidden="1" x14ac:dyDescent="0.25">
      <c r="A209">
        <v>208</v>
      </c>
      <c r="B209" t="str">
        <f ca="1"/>
        <v>94-2</v>
      </c>
      <c r="C209">
        <v>94</v>
      </c>
      <c r="E209">
        <v>2</v>
      </c>
      <c r="F209" t="s">
        <v>594</v>
      </c>
      <c r="G209" t="s">
        <v>651</v>
      </c>
      <c r="I209" s="167">
        <v>12.5</v>
      </c>
      <c r="M209" t="s">
        <v>598</v>
      </c>
      <c r="N209" s="123">
        <v>45809</v>
      </c>
    </row>
    <row r="210" spans="1:14" x14ac:dyDescent="0.25">
      <c r="A210">
        <v>209</v>
      </c>
      <c r="B210" t="str">
        <f ca="1"/>
        <v>94-3</v>
      </c>
      <c r="C210">
        <v>94</v>
      </c>
      <c r="E210">
        <v>3</v>
      </c>
      <c r="F210" t="s">
        <v>595</v>
      </c>
      <c r="G210" t="s">
        <v>650</v>
      </c>
      <c r="I210" s="167">
        <v>125</v>
      </c>
      <c r="M210" t="s">
        <v>599</v>
      </c>
      <c r="N210" s="123">
        <v>45809</v>
      </c>
    </row>
    <row r="211" spans="1:14" hidden="1" x14ac:dyDescent="0.25">
      <c r="A211">
        <v>210</v>
      </c>
      <c r="B211" t="str">
        <f ca="1"/>
        <v>94-4</v>
      </c>
      <c r="C211">
        <v>94</v>
      </c>
      <c r="E211">
        <v>4</v>
      </c>
      <c r="F211" t="s">
        <v>596</v>
      </c>
      <c r="G211" t="s">
        <v>650</v>
      </c>
      <c r="I211" s="167">
        <v>125</v>
      </c>
      <c r="M211" t="s">
        <v>600</v>
      </c>
      <c r="N211" s="123">
        <v>45809</v>
      </c>
    </row>
    <row r="212" spans="1:14" hidden="1" x14ac:dyDescent="0.25">
      <c r="A212">
        <v>211</v>
      </c>
      <c r="B212" t="str">
        <f ca="1"/>
        <v>94-5</v>
      </c>
      <c r="C212">
        <v>94</v>
      </c>
      <c r="E212">
        <v>5</v>
      </c>
      <c r="F212" t="s">
        <v>597</v>
      </c>
      <c r="G212" t="s">
        <v>651</v>
      </c>
      <c r="I212" s="167">
        <v>12.5</v>
      </c>
      <c r="M212" t="s">
        <v>600</v>
      </c>
      <c r="N212" s="123">
        <v>45809</v>
      </c>
    </row>
    <row r="213" spans="1:14" hidden="1" x14ac:dyDescent="0.25">
      <c r="A213">
        <v>212</v>
      </c>
      <c r="B213" t="str">
        <f ca="1"/>
        <v>95-1</v>
      </c>
      <c r="C213">
        <v>95</v>
      </c>
      <c r="E213">
        <v>1</v>
      </c>
      <c r="F213" t="s">
        <v>602</v>
      </c>
      <c r="G213" t="s">
        <v>650</v>
      </c>
      <c r="I213" s="167">
        <v>285.70999999999998</v>
      </c>
      <c r="M213" t="s">
        <v>601</v>
      </c>
      <c r="N213" s="123">
        <v>45848</v>
      </c>
    </row>
    <row r="214" spans="1:14" hidden="1" x14ac:dyDescent="0.25">
      <c r="A214">
        <v>213</v>
      </c>
      <c r="B214" t="str">
        <f ca="1"/>
        <v>98-1</v>
      </c>
      <c r="C214">
        <v>98</v>
      </c>
      <c r="E214">
        <v>1</v>
      </c>
      <c r="F214" t="s">
        <v>606</v>
      </c>
      <c r="G214" t="s">
        <v>650</v>
      </c>
      <c r="I214" s="167">
        <v>107.14</v>
      </c>
      <c r="M214" t="s">
        <v>608</v>
      </c>
      <c r="N214" s="123">
        <v>45839</v>
      </c>
    </row>
    <row r="215" spans="1:14" hidden="1" x14ac:dyDescent="0.25">
      <c r="A215">
        <v>214</v>
      </c>
      <c r="B215" t="str">
        <f ca="1"/>
        <v>98-2</v>
      </c>
      <c r="C215">
        <v>98</v>
      </c>
      <c r="E215">
        <v>2</v>
      </c>
      <c r="F215" t="s">
        <v>607</v>
      </c>
      <c r="G215" t="s">
        <v>651</v>
      </c>
      <c r="I215" s="167">
        <v>10.714</v>
      </c>
      <c r="M215" t="s">
        <v>608</v>
      </c>
      <c r="N215" s="123">
        <v>45839</v>
      </c>
    </row>
    <row r="216" spans="1:14" hidden="1" x14ac:dyDescent="0.25">
      <c r="A216">
        <v>215</v>
      </c>
      <c r="B216" t="str">
        <f ca="1"/>
        <v>98-R-1</v>
      </c>
      <c r="C216">
        <v>98</v>
      </c>
      <c r="E216" t="s">
        <v>419</v>
      </c>
      <c r="F216" t="s">
        <v>738</v>
      </c>
      <c r="G216" t="s">
        <v>237</v>
      </c>
      <c r="I216" s="167">
        <v>-1</v>
      </c>
      <c r="M216" t="s">
        <v>608</v>
      </c>
      <c r="N216" s="123">
        <v>45839</v>
      </c>
    </row>
    <row r="217" spans="1:14" hidden="1" x14ac:dyDescent="0.25">
      <c r="A217">
        <v>216</v>
      </c>
      <c r="B217" t="str">
        <f ca="1"/>
        <v>99-1</v>
      </c>
      <c r="C217">
        <v>99</v>
      </c>
      <c r="E217">
        <v>1</v>
      </c>
      <c r="F217" t="s">
        <v>603</v>
      </c>
      <c r="G217" t="s">
        <v>650</v>
      </c>
      <c r="I217" s="167">
        <v>125</v>
      </c>
      <c r="M217" t="s">
        <v>605</v>
      </c>
      <c r="N217" s="123">
        <v>45839</v>
      </c>
    </row>
    <row r="218" spans="1:14" hidden="1" x14ac:dyDescent="0.25">
      <c r="A218">
        <v>217</v>
      </c>
      <c r="B218" t="str">
        <f ca="1"/>
        <v>99-2</v>
      </c>
      <c r="C218">
        <v>99</v>
      </c>
      <c r="E218">
        <v>2</v>
      </c>
      <c r="F218" t="s">
        <v>609</v>
      </c>
      <c r="G218" t="s">
        <v>651</v>
      </c>
      <c r="I218" s="167">
        <v>12.5</v>
      </c>
      <c r="M218" t="s">
        <v>605</v>
      </c>
      <c r="N218" s="123">
        <v>45839</v>
      </c>
    </row>
    <row r="219" spans="1:14" hidden="1" x14ac:dyDescent="0.25">
      <c r="A219">
        <v>218</v>
      </c>
      <c r="B219" t="str">
        <f ca="1"/>
        <v>100-1</v>
      </c>
      <c r="C219">
        <v>100</v>
      </c>
      <c r="E219">
        <v>1</v>
      </c>
      <c r="F219" t="s">
        <v>610</v>
      </c>
      <c r="G219" t="s">
        <v>650</v>
      </c>
      <c r="I219" s="167">
        <v>196.43</v>
      </c>
      <c r="M219" t="s">
        <v>611</v>
      </c>
      <c r="N219" s="123">
        <v>45839</v>
      </c>
    </row>
    <row r="220" spans="1:14" hidden="1" x14ac:dyDescent="0.25">
      <c r="A220">
        <v>219</v>
      </c>
      <c r="B220" t="str">
        <f ca="1"/>
        <v>102-1</v>
      </c>
      <c r="C220">
        <v>102</v>
      </c>
      <c r="E220">
        <v>1</v>
      </c>
      <c r="F220" t="s">
        <v>612</v>
      </c>
      <c r="G220" t="s">
        <v>650</v>
      </c>
      <c r="I220" s="167">
        <v>125</v>
      </c>
      <c r="M220" t="s">
        <v>616</v>
      </c>
      <c r="N220" s="123">
        <v>45870</v>
      </c>
    </row>
    <row r="221" spans="1:14" hidden="1" x14ac:dyDescent="0.25">
      <c r="A221">
        <v>220</v>
      </c>
      <c r="B221" t="str">
        <f ca="1"/>
        <v>102-2</v>
      </c>
      <c r="C221">
        <v>102</v>
      </c>
      <c r="E221">
        <v>2</v>
      </c>
      <c r="F221" t="s">
        <v>613</v>
      </c>
      <c r="G221" t="s">
        <v>651</v>
      </c>
      <c r="I221" s="167">
        <v>12.5</v>
      </c>
      <c r="M221" t="s">
        <v>616</v>
      </c>
      <c r="N221" s="123">
        <v>45870</v>
      </c>
    </row>
    <row r="222" spans="1:14" hidden="1" x14ac:dyDescent="0.25">
      <c r="A222">
        <v>221</v>
      </c>
      <c r="B222" t="str">
        <f ca="1"/>
        <v>102-3</v>
      </c>
      <c r="C222">
        <v>102</v>
      </c>
      <c r="E222">
        <v>3</v>
      </c>
      <c r="F222" t="s">
        <v>614</v>
      </c>
      <c r="G222" t="s">
        <v>650</v>
      </c>
      <c r="I222" s="167">
        <v>125</v>
      </c>
      <c r="M222" t="s">
        <v>600</v>
      </c>
      <c r="N222" s="123">
        <v>45892</v>
      </c>
    </row>
    <row r="223" spans="1:14" hidden="1" x14ac:dyDescent="0.25">
      <c r="A223">
        <v>222</v>
      </c>
      <c r="B223" t="str">
        <f ca="1"/>
        <v>102-4</v>
      </c>
      <c r="C223">
        <v>102</v>
      </c>
      <c r="E223">
        <v>4</v>
      </c>
      <c r="F223" t="s">
        <v>615</v>
      </c>
      <c r="G223" t="s">
        <v>651</v>
      </c>
      <c r="I223" s="167">
        <v>12.5</v>
      </c>
      <c r="M223" t="s">
        <v>600</v>
      </c>
      <c r="N223" s="123">
        <v>45892</v>
      </c>
    </row>
    <row r="224" spans="1:14" hidden="1" x14ac:dyDescent="0.25">
      <c r="A224">
        <v>223</v>
      </c>
      <c r="B224" t="str">
        <f ca="1"/>
        <v>102-5</v>
      </c>
      <c r="C224">
        <v>102</v>
      </c>
      <c r="E224">
        <v>5</v>
      </c>
      <c r="F224" t="s">
        <v>593</v>
      </c>
      <c r="G224" t="s">
        <v>650</v>
      </c>
      <c r="I224" s="167">
        <v>125</v>
      </c>
      <c r="M224" t="s">
        <v>598</v>
      </c>
      <c r="N224" s="123">
        <v>45892</v>
      </c>
    </row>
    <row r="225" spans="1:14" x14ac:dyDescent="0.25">
      <c r="A225">
        <v>224</v>
      </c>
      <c r="B225" t="str">
        <f ca="1"/>
        <v>102-6</v>
      </c>
      <c r="C225">
        <v>102</v>
      </c>
      <c r="E225">
        <v>6</v>
      </c>
      <c r="F225" t="s">
        <v>595</v>
      </c>
      <c r="G225" t="s">
        <v>650</v>
      </c>
      <c r="I225" s="167">
        <v>125</v>
      </c>
      <c r="M225" t="s">
        <v>599</v>
      </c>
      <c r="N225" s="123">
        <v>45892</v>
      </c>
    </row>
    <row r="226" spans="1:14" hidden="1" x14ac:dyDescent="0.25">
      <c r="A226">
        <v>225</v>
      </c>
      <c r="B226" t="str">
        <f ca="1"/>
        <v>103-1</v>
      </c>
      <c r="C226">
        <v>103</v>
      </c>
      <c r="E226">
        <v>1</v>
      </c>
      <c r="F226" t="s">
        <v>618</v>
      </c>
      <c r="G226" t="s">
        <v>619</v>
      </c>
      <c r="I226" s="167">
        <v>3400</v>
      </c>
      <c r="N226" s="123">
        <v>45880</v>
      </c>
    </row>
    <row r="227" spans="1:14" hidden="1" x14ac:dyDescent="0.25">
      <c r="A227">
        <v>226</v>
      </c>
      <c r="B227" t="str">
        <f ca="1"/>
        <v>107-1</v>
      </c>
      <c r="C227">
        <v>107</v>
      </c>
      <c r="E227">
        <v>1</v>
      </c>
      <c r="F227" t="s">
        <v>623</v>
      </c>
      <c r="G227" t="s">
        <v>624</v>
      </c>
      <c r="I227" s="167">
        <v>3300</v>
      </c>
      <c r="N227" s="123">
        <v>45856</v>
      </c>
    </row>
    <row r="228" spans="1:14" hidden="1" x14ac:dyDescent="0.25">
      <c r="A228">
        <v>227</v>
      </c>
      <c r="B228" t="str">
        <f ca="1"/>
        <v>107-2</v>
      </c>
      <c r="C228">
        <v>107</v>
      </c>
      <c r="E228">
        <v>2</v>
      </c>
      <c r="F228" t="s">
        <v>625</v>
      </c>
      <c r="G228" t="s">
        <v>624</v>
      </c>
      <c r="I228" s="167">
        <v>3300</v>
      </c>
      <c r="N228" s="123">
        <v>45856</v>
      </c>
    </row>
    <row r="229" spans="1:14" hidden="1" x14ac:dyDescent="0.25">
      <c r="A229">
        <v>228</v>
      </c>
      <c r="B229" t="str">
        <f ca="1"/>
        <v>107-3</v>
      </c>
      <c r="C229">
        <v>107</v>
      </c>
      <c r="E229">
        <v>3</v>
      </c>
      <c r="F229" t="s">
        <v>626</v>
      </c>
      <c r="G229" t="s">
        <v>624</v>
      </c>
      <c r="I229" s="167">
        <v>3300</v>
      </c>
      <c r="N229" s="123">
        <v>45856</v>
      </c>
    </row>
    <row r="230" spans="1:14" hidden="1" x14ac:dyDescent="0.25">
      <c r="A230">
        <v>229</v>
      </c>
      <c r="B230" t="str">
        <f ca="1"/>
        <v>107-4</v>
      </c>
      <c r="C230">
        <v>107</v>
      </c>
      <c r="E230">
        <v>4</v>
      </c>
      <c r="F230" t="s">
        <v>627</v>
      </c>
      <c r="I230" s="167">
        <v>3750</v>
      </c>
      <c r="N230" s="123">
        <v>45856</v>
      </c>
    </row>
    <row r="231" spans="1:14" hidden="1" x14ac:dyDescent="0.25">
      <c r="A231">
        <v>230</v>
      </c>
      <c r="B231" t="str">
        <f ca="1"/>
        <v>107-5</v>
      </c>
      <c r="C231">
        <v>107</v>
      </c>
      <c r="E231">
        <v>5</v>
      </c>
      <c r="F231" t="s">
        <v>628</v>
      </c>
      <c r="I231" s="167">
        <v>3750</v>
      </c>
      <c r="N231" s="123">
        <v>45856</v>
      </c>
    </row>
    <row r="232" spans="1:14" hidden="1" x14ac:dyDescent="0.25">
      <c r="A232">
        <v>231</v>
      </c>
      <c r="B232" t="str">
        <f ca="1"/>
        <v>107-6</v>
      </c>
      <c r="C232">
        <v>107</v>
      </c>
      <c r="E232">
        <v>6</v>
      </c>
      <c r="F232" t="s">
        <v>629</v>
      </c>
      <c r="I232" s="167">
        <v>350</v>
      </c>
      <c r="N232" s="123">
        <v>45856</v>
      </c>
    </row>
    <row r="233" spans="1:14" hidden="1" x14ac:dyDescent="0.25">
      <c r="A233">
        <v>232</v>
      </c>
      <c r="B233" t="str">
        <f ca="1"/>
        <v>107-7</v>
      </c>
      <c r="C233">
        <v>107</v>
      </c>
      <c r="E233">
        <v>7</v>
      </c>
      <c r="F233" t="s">
        <v>630</v>
      </c>
      <c r="I233" s="167">
        <v>350</v>
      </c>
      <c r="N233" s="123">
        <v>45856</v>
      </c>
    </row>
    <row r="234" spans="1:14" hidden="1" x14ac:dyDescent="0.25">
      <c r="A234">
        <v>233</v>
      </c>
      <c r="B234" t="str">
        <f ca="1"/>
        <v>107-8</v>
      </c>
      <c r="C234">
        <v>107</v>
      </c>
      <c r="E234">
        <v>8</v>
      </c>
      <c r="F234" t="s">
        <v>631</v>
      </c>
      <c r="I234" s="167">
        <v>500</v>
      </c>
      <c r="N234" s="123">
        <v>45856</v>
      </c>
    </row>
    <row r="235" spans="1:14" ht="30" hidden="1" x14ac:dyDescent="0.25">
      <c r="A235">
        <v>234</v>
      </c>
      <c r="B235" t="str">
        <f ca="1"/>
        <v>110-1</v>
      </c>
      <c r="C235">
        <v>110</v>
      </c>
      <c r="E235">
        <v>1</v>
      </c>
      <c r="F235" s="174" t="s">
        <v>633</v>
      </c>
      <c r="G235" t="s">
        <v>650</v>
      </c>
      <c r="I235" s="167">
        <v>221.42857142857142</v>
      </c>
      <c r="M235" t="s">
        <v>632</v>
      </c>
      <c r="N235" s="123">
        <v>45870</v>
      </c>
    </row>
    <row r="236" spans="1:14" hidden="1" x14ac:dyDescent="0.25">
      <c r="A236">
        <v>235</v>
      </c>
      <c r="B236" t="str">
        <f ca="1"/>
        <v>121-1</v>
      </c>
      <c r="C236">
        <v>121</v>
      </c>
      <c r="E236">
        <v>1</v>
      </c>
      <c r="F236" t="s">
        <v>635</v>
      </c>
      <c r="G236" t="s">
        <v>650</v>
      </c>
      <c r="I236" s="167">
        <v>128.57</v>
      </c>
      <c r="M236" t="s">
        <v>637</v>
      </c>
      <c r="N236" s="123">
        <v>45925</v>
      </c>
    </row>
    <row r="237" spans="1:14" hidden="1" x14ac:dyDescent="0.25">
      <c r="A237">
        <v>236</v>
      </c>
      <c r="B237" t="str">
        <f ca="1"/>
        <v>121-2</v>
      </c>
      <c r="C237">
        <v>121</v>
      </c>
      <c r="E237">
        <v>2</v>
      </c>
      <c r="F237" t="s">
        <v>636</v>
      </c>
      <c r="G237" t="s">
        <v>651</v>
      </c>
      <c r="I237" s="167">
        <v>12.856999999999999</v>
      </c>
      <c r="M237" t="s">
        <v>637</v>
      </c>
      <c r="N237" s="123">
        <v>45925</v>
      </c>
    </row>
    <row r="238" spans="1:14" hidden="1" x14ac:dyDescent="0.25">
      <c r="A238">
        <v>237</v>
      </c>
      <c r="B238" t="str">
        <f ca="1"/>
        <v>141-1</v>
      </c>
      <c r="C238">
        <v>141</v>
      </c>
      <c r="E238">
        <v>1</v>
      </c>
      <c r="F238" t="s">
        <v>639</v>
      </c>
      <c r="G238" t="s">
        <v>650</v>
      </c>
      <c r="I238" s="167">
        <v>214.28571428571428</v>
      </c>
      <c r="M238" t="s">
        <v>638</v>
      </c>
      <c r="N238" s="123">
        <v>45601</v>
      </c>
    </row>
    <row r="239" spans="1:14" hidden="1" x14ac:dyDescent="0.25">
      <c r="A239">
        <v>238</v>
      </c>
      <c r="B239" t="str">
        <f ca="1"/>
        <v>141-2</v>
      </c>
      <c r="C239">
        <v>141</v>
      </c>
      <c r="E239">
        <v>2</v>
      </c>
      <c r="F239" t="s">
        <v>640</v>
      </c>
      <c r="G239" t="s">
        <v>651</v>
      </c>
      <c r="I239" s="167">
        <v>21.428571428571427</v>
      </c>
      <c r="M239" t="s">
        <v>638</v>
      </c>
      <c r="N239" s="123">
        <v>45601</v>
      </c>
    </row>
    <row r="240" spans="1:14" hidden="1" x14ac:dyDescent="0.25">
      <c r="A240">
        <v>239</v>
      </c>
      <c r="B240" t="str">
        <f ca="1"/>
        <v>150-1</v>
      </c>
      <c r="C240">
        <v>150</v>
      </c>
      <c r="E240">
        <v>1</v>
      </c>
      <c r="F240" t="s">
        <v>641</v>
      </c>
      <c r="G240" t="s">
        <v>642</v>
      </c>
      <c r="I240" s="167">
        <v>220</v>
      </c>
      <c r="N240" s="123">
        <v>45989</v>
      </c>
    </row>
    <row r="241" spans="1:15" hidden="1" x14ac:dyDescent="0.25">
      <c r="A241">
        <v>240</v>
      </c>
      <c r="B241" t="str">
        <f ca="1"/>
        <v>31-127</v>
      </c>
      <c r="C241">
        <v>31</v>
      </c>
      <c r="E241">
        <v>127</v>
      </c>
      <c r="F241" t="s">
        <v>653</v>
      </c>
      <c r="G241" t="s">
        <v>706</v>
      </c>
      <c r="I241">
        <f>L241*1.1/100</f>
        <v>0.19800000000000001</v>
      </c>
      <c r="L241">
        <v>18</v>
      </c>
      <c r="M241" t="s">
        <v>238</v>
      </c>
      <c r="N241" s="123">
        <v>46023</v>
      </c>
      <c r="O241"/>
    </row>
    <row r="242" spans="1:15" hidden="1" x14ac:dyDescent="0.25">
      <c r="A242">
        <v>241</v>
      </c>
      <c r="B242" t="str">
        <f ca="1"/>
        <v>31-128</v>
      </c>
      <c r="C242">
        <v>31</v>
      </c>
      <c r="E242">
        <v>128</v>
      </c>
      <c r="F242" t="s">
        <v>654</v>
      </c>
      <c r="G242" t="s">
        <v>706</v>
      </c>
      <c r="I242">
        <f t="shared" ref="I242:I293" si="4">L242*1.1/100</f>
        <v>0.19800000000000001</v>
      </c>
      <c r="L242">
        <v>18</v>
      </c>
      <c r="M242" t="s">
        <v>260</v>
      </c>
      <c r="N242" s="123">
        <v>46023</v>
      </c>
      <c r="O242"/>
    </row>
    <row r="243" spans="1:15" hidden="1" x14ac:dyDescent="0.25">
      <c r="A243">
        <v>242</v>
      </c>
      <c r="B243" t="str">
        <f ca="1"/>
        <v>31-129</v>
      </c>
      <c r="C243">
        <v>31</v>
      </c>
      <c r="E243">
        <v>129</v>
      </c>
      <c r="F243" t="s">
        <v>655</v>
      </c>
      <c r="G243" t="s">
        <v>706</v>
      </c>
      <c r="I243">
        <f t="shared" si="4"/>
        <v>0.19800000000000001</v>
      </c>
      <c r="L243">
        <v>18</v>
      </c>
      <c r="M243" t="s">
        <v>240</v>
      </c>
      <c r="N243" s="123">
        <v>46023</v>
      </c>
      <c r="O243"/>
    </row>
    <row r="244" spans="1:15" hidden="1" x14ac:dyDescent="0.25">
      <c r="A244">
        <v>243</v>
      </c>
      <c r="B244" t="str">
        <f ca="1"/>
        <v>31-130</v>
      </c>
      <c r="C244">
        <v>31</v>
      </c>
      <c r="E244">
        <v>130</v>
      </c>
      <c r="F244" t="s">
        <v>656</v>
      </c>
      <c r="G244" t="s">
        <v>706</v>
      </c>
      <c r="I244">
        <f t="shared" si="4"/>
        <v>0.16500000000000001</v>
      </c>
      <c r="L244">
        <v>15</v>
      </c>
      <c r="M244" t="s">
        <v>430</v>
      </c>
      <c r="N244" s="123">
        <v>46023</v>
      </c>
      <c r="O244"/>
    </row>
    <row r="245" spans="1:15" hidden="1" x14ac:dyDescent="0.25">
      <c r="A245">
        <v>244</v>
      </c>
      <c r="B245" t="str">
        <f ca="1"/>
        <v>31-131</v>
      </c>
      <c r="C245">
        <v>31</v>
      </c>
      <c r="E245">
        <v>131</v>
      </c>
      <c r="F245" t="s">
        <v>657</v>
      </c>
      <c r="G245" t="s">
        <v>706</v>
      </c>
      <c r="I245">
        <f t="shared" si="4"/>
        <v>0.16500000000000001</v>
      </c>
      <c r="L245">
        <v>15</v>
      </c>
      <c r="M245" t="s">
        <v>261</v>
      </c>
      <c r="N245" s="123">
        <v>46023</v>
      </c>
      <c r="O245"/>
    </row>
    <row r="246" spans="1:15" hidden="1" x14ac:dyDescent="0.25">
      <c r="A246">
        <v>245</v>
      </c>
      <c r="B246" t="str">
        <f ca="1"/>
        <v>31-132</v>
      </c>
      <c r="C246">
        <v>31</v>
      </c>
      <c r="E246">
        <v>132</v>
      </c>
      <c r="F246" t="s">
        <v>658</v>
      </c>
      <c r="G246" t="s">
        <v>706</v>
      </c>
      <c r="I246">
        <f t="shared" si="4"/>
        <v>0.16500000000000001</v>
      </c>
      <c r="L246">
        <v>15</v>
      </c>
      <c r="M246" t="s">
        <v>242</v>
      </c>
      <c r="N246" s="123">
        <v>46023</v>
      </c>
      <c r="O246"/>
    </row>
    <row r="247" spans="1:15" hidden="1" x14ac:dyDescent="0.25">
      <c r="A247">
        <v>246</v>
      </c>
      <c r="B247" t="str">
        <f ca="1"/>
        <v>31-133</v>
      </c>
      <c r="C247">
        <v>31</v>
      </c>
      <c r="E247">
        <v>133</v>
      </c>
      <c r="F247" t="s">
        <v>659</v>
      </c>
      <c r="G247" t="s">
        <v>706</v>
      </c>
      <c r="I247">
        <f t="shared" si="4"/>
        <v>0.13200000000000001</v>
      </c>
      <c r="L247">
        <v>12</v>
      </c>
      <c r="M247" t="s">
        <v>244</v>
      </c>
      <c r="N247" s="123">
        <v>46023</v>
      </c>
      <c r="O247"/>
    </row>
    <row r="248" spans="1:15" hidden="1" x14ac:dyDescent="0.25">
      <c r="A248">
        <v>247</v>
      </c>
      <c r="B248" t="str">
        <f ca="1"/>
        <v>31-134</v>
      </c>
      <c r="C248">
        <v>31</v>
      </c>
      <c r="E248">
        <v>134</v>
      </c>
      <c r="F248" t="s">
        <v>660</v>
      </c>
      <c r="G248" t="s">
        <v>706</v>
      </c>
      <c r="I248">
        <f t="shared" si="4"/>
        <v>0.16500000000000001</v>
      </c>
      <c r="L248">
        <v>15</v>
      </c>
      <c r="M248" t="s">
        <v>282</v>
      </c>
      <c r="N248" s="123">
        <v>46023</v>
      </c>
      <c r="O248"/>
    </row>
    <row r="249" spans="1:15" hidden="1" x14ac:dyDescent="0.25">
      <c r="A249">
        <v>248</v>
      </c>
      <c r="B249" t="str">
        <f ca="1"/>
        <v>31-135</v>
      </c>
      <c r="C249">
        <v>31</v>
      </c>
      <c r="E249">
        <v>135</v>
      </c>
      <c r="F249" t="s">
        <v>661</v>
      </c>
      <c r="G249" t="s">
        <v>706</v>
      </c>
      <c r="I249">
        <f t="shared" si="4"/>
        <v>0.16500000000000001</v>
      </c>
      <c r="L249">
        <v>15</v>
      </c>
      <c r="M249" t="s">
        <v>256</v>
      </c>
      <c r="N249" s="123">
        <v>46023</v>
      </c>
      <c r="O249"/>
    </row>
    <row r="250" spans="1:15" hidden="1" x14ac:dyDescent="0.25">
      <c r="A250">
        <v>249</v>
      </c>
      <c r="B250" t="str">
        <f ca="1"/>
        <v>31-136</v>
      </c>
      <c r="C250">
        <v>31</v>
      </c>
      <c r="E250">
        <v>136</v>
      </c>
      <c r="F250" t="s">
        <v>662</v>
      </c>
      <c r="G250" t="s">
        <v>706</v>
      </c>
      <c r="I250">
        <f t="shared" si="4"/>
        <v>0.16500000000000001</v>
      </c>
      <c r="L250">
        <v>15</v>
      </c>
      <c r="M250" t="s">
        <v>288</v>
      </c>
      <c r="N250" s="123">
        <v>46023</v>
      </c>
      <c r="O250"/>
    </row>
    <row r="251" spans="1:15" hidden="1" x14ac:dyDescent="0.25">
      <c r="A251">
        <v>250</v>
      </c>
      <c r="B251" t="str">
        <f ca="1"/>
        <v>31-137</v>
      </c>
      <c r="C251">
        <v>31</v>
      </c>
      <c r="E251">
        <v>137</v>
      </c>
      <c r="F251" t="s">
        <v>663</v>
      </c>
      <c r="G251" t="s">
        <v>706</v>
      </c>
      <c r="I251">
        <f t="shared" si="4"/>
        <v>0.16500000000000001</v>
      </c>
      <c r="L251">
        <v>15</v>
      </c>
      <c r="M251" t="s">
        <v>259</v>
      </c>
      <c r="N251" s="123">
        <v>46023</v>
      </c>
      <c r="O251"/>
    </row>
    <row r="252" spans="1:15" hidden="1" x14ac:dyDescent="0.25">
      <c r="A252">
        <v>251</v>
      </c>
      <c r="B252" t="str">
        <f ca="1"/>
        <v>31-138</v>
      </c>
      <c r="C252">
        <v>31</v>
      </c>
      <c r="E252">
        <v>138</v>
      </c>
      <c r="F252" t="s">
        <v>664</v>
      </c>
      <c r="G252" t="s">
        <v>706</v>
      </c>
      <c r="I252">
        <f t="shared" si="4"/>
        <v>0.16500000000000001</v>
      </c>
      <c r="L252">
        <v>15</v>
      </c>
      <c r="M252" t="s">
        <v>289</v>
      </c>
      <c r="N252" s="123">
        <v>46023</v>
      </c>
      <c r="O252"/>
    </row>
    <row r="253" spans="1:15" hidden="1" x14ac:dyDescent="0.25">
      <c r="A253">
        <v>252</v>
      </c>
      <c r="B253" t="str">
        <f ca="1"/>
        <v>31-139</v>
      </c>
      <c r="C253">
        <v>31</v>
      </c>
      <c r="E253">
        <v>139</v>
      </c>
      <c r="F253" t="s">
        <v>665</v>
      </c>
      <c r="G253" t="s">
        <v>706</v>
      </c>
      <c r="I253">
        <f t="shared" si="4"/>
        <v>0.16500000000000001</v>
      </c>
      <c r="L253">
        <v>15</v>
      </c>
      <c r="M253" t="s">
        <v>247</v>
      </c>
      <c r="N253" s="123">
        <v>46023</v>
      </c>
      <c r="O253"/>
    </row>
    <row r="254" spans="1:15" hidden="1" x14ac:dyDescent="0.25">
      <c r="A254">
        <v>253</v>
      </c>
      <c r="B254" t="str">
        <f ca="1"/>
        <v>31-140</v>
      </c>
      <c r="C254">
        <v>31</v>
      </c>
      <c r="E254">
        <v>140</v>
      </c>
      <c r="F254" t="s">
        <v>666</v>
      </c>
      <c r="G254" t="s">
        <v>706</v>
      </c>
      <c r="I254">
        <f t="shared" si="4"/>
        <v>0.16500000000000001</v>
      </c>
      <c r="L254">
        <v>15</v>
      </c>
      <c r="M254" t="s">
        <v>284</v>
      </c>
      <c r="N254" s="123">
        <v>46023</v>
      </c>
      <c r="O254"/>
    </row>
    <row r="255" spans="1:15" hidden="1" x14ac:dyDescent="0.25">
      <c r="A255">
        <v>254</v>
      </c>
      <c r="B255" t="str">
        <f ca="1"/>
        <v>31-141</v>
      </c>
      <c r="C255">
        <v>31</v>
      </c>
      <c r="E255">
        <v>141</v>
      </c>
      <c r="F255" t="s">
        <v>667</v>
      </c>
      <c r="G255" t="s">
        <v>706</v>
      </c>
      <c r="I255">
        <f t="shared" si="4"/>
        <v>0.14300000000000002</v>
      </c>
      <c r="L255">
        <v>13</v>
      </c>
      <c r="M255" t="s">
        <v>280</v>
      </c>
      <c r="N255" s="123">
        <v>46023</v>
      </c>
      <c r="O255"/>
    </row>
    <row r="256" spans="1:15" hidden="1" x14ac:dyDescent="0.25">
      <c r="A256">
        <v>255</v>
      </c>
      <c r="B256" t="str">
        <f ca="1"/>
        <v>31-142</v>
      </c>
      <c r="C256">
        <v>31</v>
      </c>
      <c r="E256">
        <v>142</v>
      </c>
      <c r="F256" t="s">
        <v>668</v>
      </c>
      <c r="G256" t="s">
        <v>706</v>
      </c>
      <c r="I256">
        <f t="shared" si="4"/>
        <v>0.16500000000000001</v>
      </c>
      <c r="L256">
        <v>15</v>
      </c>
      <c r="M256" t="s">
        <v>269</v>
      </c>
      <c r="N256" s="123">
        <v>46023</v>
      </c>
      <c r="O256"/>
    </row>
    <row r="257" spans="1:15" hidden="1" x14ac:dyDescent="0.25">
      <c r="A257">
        <v>256</v>
      </c>
      <c r="B257" t="str">
        <f ca="1"/>
        <v>31-143</v>
      </c>
      <c r="C257">
        <v>31</v>
      </c>
      <c r="E257">
        <v>143</v>
      </c>
      <c r="F257" t="s">
        <v>669</v>
      </c>
      <c r="G257" t="s">
        <v>706</v>
      </c>
      <c r="I257">
        <f t="shared" si="4"/>
        <v>0.19800000000000001</v>
      </c>
      <c r="L257">
        <v>18</v>
      </c>
      <c r="M257" t="s">
        <v>258</v>
      </c>
      <c r="N257" s="123">
        <v>46023</v>
      </c>
      <c r="O257"/>
    </row>
    <row r="258" spans="1:15" hidden="1" x14ac:dyDescent="0.25">
      <c r="A258">
        <v>257</v>
      </c>
      <c r="B258" t="str">
        <f ca="1"/>
        <v>31-144</v>
      </c>
      <c r="C258">
        <v>31</v>
      </c>
      <c r="E258">
        <v>144</v>
      </c>
      <c r="F258" t="s">
        <v>670</v>
      </c>
      <c r="G258" t="s">
        <v>706</v>
      </c>
      <c r="I258">
        <f t="shared" si="4"/>
        <v>0.16500000000000001</v>
      </c>
      <c r="L258">
        <v>15</v>
      </c>
      <c r="M258" t="s">
        <v>257</v>
      </c>
      <c r="N258" s="123">
        <v>46023</v>
      </c>
      <c r="O258"/>
    </row>
    <row r="259" spans="1:15" hidden="1" x14ac:dyDescent="0.25">
      <c r="A259">
        <v>258</v>
      </c>
      <c r="B259" t="str">
        <f ca="1"/>
        <v>31-145</v>
      </c>
      <c r="C259">
        <v>31</v>
      </c>
      <c r="E259">
        <v>145</v>
      </c>
      <c r="F259" t="s">
        <v>671</v>
      </c>
      <c r="G259" t="s">
        <v>706</v>
      </c>
      <c r="I259">
        <f t="shared" si="4"/>
        <v>0.16500000000000001</v>
      </c>
      <c r="L259">
        <v>15</v>
      </c>
      <c r="M259" t="s">
        <v>266</v>
      </c>
      <c r="N259" s="123">
        <v>46023</v>
      </c>
      <c r="O259"/>
    </row>
    <row r="260" spans="1:15" hidden="1" x14ac:dyDescent="0.25">
      <c r="A260">
        <v>259</v>
      </c>
      <c r="B260" t="str">
        <f ca="1"/>
        <v>31-146</v>
      </c>
      <c r="C260">
        <v>31</v>
      </c>
      <c r="E260">
        <v>146</v>
      </c>
      <c r="F260" t="s">
        <v>672</v>
      </c>
      <c r="G260" t="s">
        <v>706</v>
      </c>
      <c r="I260">
        <f t="shared" si="4"/>
        <v>0.16500000000000001</v>
      </c>
      <c r="L260">
        <v>15</v>
      </c>
      <c r="M260" t="s">
        <v>275</v>
      </c>
      <c r="N260" s="123">
        <v>46023</v>
      </c>
      <c r="O260"/>
    </row>
    <row r="261" spans="1:15" hidden="1" x14ac:dyDescent="0.25">
      <c r="A261">
        <v>260</v>
      </c>
      <c r="B261" t="str">
        <f ca="1"/>
        <v>31-147</v>
      </c>
      <c r="C261">
        <v>31</v>
      </c>
      <c r="E261">
        <v>147</v>
      </c>
      <c r="F261" t="s">
        <v>673</v>
      </c>
      <c r="G261" t="s">
        <v>706</v>
      </c>
      <c r="I261">
        <f t="shared" si="4"/>
        <v>0.16500000000000001</v>
      </c>
      <c r="L261">
        <v>15</v>
      </c>
      <c r="M261" t="s">
        <v>250</v>
      </c>
      <c r="N261" s="123">
        <v>46023</v>
      </c>
      <c r="O261"/>
    </row>
    <row r="262" spans="1:15" hidden="1" x14ac:dyDescent="0.25">
      <c r="A262">
        <v>261</v>
      </c>
      <c r="B262" t="str">
        <f ca="1"/>
        <v>31-148</v>
      </c>
      <c r="C262">
        <v>31</v>
      </c>
      <c r="E262">
        <v>148</v>
      </c>
      <c r="F262" t="s">
        <v>674</v>
      </c>
      <c r="G262" t="s">
        <v>706</v>
      </c>
      <c r="I262">
        <f t="shared" si="4"/>
        <v>0.16500000000000001</v>
      </c>
      <c r="L262">
        <v>15</v>
      </c>
      <c r="M262" t="s">
        <v>254</v>
      </c>
      <c r="N262" s="123">
        <v>46023</v>
      </c>
      <c r="O262"/>
    </row>
    <row r="263" spans="1:15" hidden="1" x14ac:dyDescent="0.25">
      <c r="A263">
        <v>262</v>
      </c>
      <c r="B263" t="str">
        <f ca="1"/>
        <v>31-149</v>
      </c>
      <c r="C263">
        <v>31</v>
      </c>
      <c r="E263">
        <v>149</v>
      </c>
      <c r="F263" t="s">
        <v>675</v>
      </c>
      <c r="G263" t="s">
        <v>706</v>
      </c>
      <c r="I263">
        <f t="shared" si="4"/>
        <v>0.16500000000000001</v>
      </c>
      <c r="L263">
        <v>15</v>
      </c>
      <c r="M263" t="s">
        <v>285</v>
      </c>
      <c r="N263" s="123">
        <v>46023</v>
      </c>
      <c r="O263"/>
    </row>
    <row r="264" spans="1:15" hidden="1" x14ac:dyDescent="0.25">
      <c r="A264">
        <v>263</v>
      </c>
      <c r="B264" t="str">
        <f ca="1"/>
        <v>31-150</v>
      </c>
      <c r="C264">
        <v>31</v>
      </c>
      <c r="E264">
        <v>150</v>
      </c>
      <c r="F264" t="s">
        <v>676</v>
      </c>
      <c r="G264" t="s">
        <v>706</v>
      </c>
      <c r="I264">
        <f t="shared" si="4"/>
        <v>0.13200000000000001</v>
      </c>
      <c r="L264">
        <v>12</v>
      </c>
      <c r="M264" t="s">
        <v>265</v>
      </c>
      <c r="N264" s="123">
        <v>46023</v>
      </c>
      <c r="O264"/>
    </row>
    <row r="265" spans="1:15" hidden="1" x14ac:dyDescent="0.25">
      <c r="A265">
        <v>264</v>
      </c>
      <c r="B265" t="str">
        <f ca="1"/>
        <v>31-151</v>
      </c>
      <c r="C265">
        <v>31</v>
      </c>
      <c r="E265">
        <v>151</v>
      </c>
      <c r="F265" t="s">
        <v>677</v>
      </c>
      <c r="G265" t="s">
        <v>706</v>
      </c>
      <c r="I265">
        <f t="shared" si="4"/>
        <v>0.16500000000000001</v>
      </c>
      <c r="L265">
        <v>15</v>
      </c>
      <c r="M265" t="s">
        <v>249</v>
      </c>
      <c r="N265" s="123">
        <v>46023</v>
      </c>
      <c r="O265"/>
    </row>
    <row r="266" spans="1:15" hidden="1" x14ac:dyDescent="0.25">
      <c r="A266">
        <v>265</v>
      </c>
      <c r="B266" t="str">
        <f ca="1"/>
        <v>31-152</v>
      </c>
      <c r="C266">
        <v>31</v>
      </c>
      <c r="E266">
        <v>152</v>
      </c>
      <c r="F266" t="s">
        <v>678</v>
      </c>
      <c r="G266" t="s">
        <v>706</v>
      </c>
      <c r="I266">
        <f t="shared" si="4"/>
        <v>0.16500000000000001</v>
      </c>
      <c r="L266">
        <v>15</v>
      </c>
      <c r="M266" t="s">
        <v>245</v>
      </c>
      <c r="N266" s="123">
        <v>46023</v>
      </c>
      <c r="O266"/>
    </row>
    <row r="267" spans="1:15" hidden="1" x14ac:dyDescent="0.25">
      <c r="A267">
        <v>266</v>
      </c>
      <c r="B267" t="str">
        <f ca="1"/>
        <v>31-153</v>
      </c>
      <c r="C267">
        <v>31</v>
      </c>
      <c r="E267">
        <v>153</v>
      </c>
      <c r="F267" t="s">
        <v>679</v>
      </c>
      <c r="G267" t="s">
        <v>706</v>
      </c>
      <c r="I267">
        <f t="shared" si="4"/>
        <v>0.13200000000000001</v>
      </c>
      <c r="L267">
        <v>12</v>
      </c>
      <c r="M267" t="s">
        <v>255</v>
      </c>
      <c r="N267" s="123">
        <v>46023</v>
      </c>
      <c r="O267"/>
    </row>
    <row r="268" spans="1:15" hidden="1" x14ac:dyDescent="0.25">
      <c r="A268">
        <v>267</v>
      </c>
      <c r="B268" t="str">
        <f ca="1"/>
        <v>31-154</v>
      </c>
      <c r="C268">
        <v>31</v>
      </c>
      <c r="E268">
        <v>154</v>
      </c>
      <c r="F268" t="s">
        <v>680</v>
      </c>
      <c r="G268" t="s">
        <v>706</v>
      </c>
      <c r="I268">
        <f t="shared" si="4"/>
        <v>0.19800000000000001</v>
      </c>
      <c r="L268">
        <v>18</v>
      </c>
      <c r="M268" t="s">
        <v>253</v>
      </c>
      <c r="N268" s="123">
        <v>46023</v>
      </c>
      <c r="O268"/>
    </row>
    <row r="269" spans="1:15" hidden="1" x14ac:dyDescent="0.25">
      <c r="A269">
        <v>268</v>
      </c>
      <c r="B269" t="str">
        <f ca="1"/>
        <v>31-155</v>
      </c>
      <c r="C269">
        <v>31</v>
      </c>
      <c r="E269">
        <v>155</v>
      </c>
      <c r="F269" t="s">
        <v>681</v>
      </c>
      <c r="G269" t="s">
        <v>706</v>
      </c>
      <c r="I269">
        <f t="shared" si="4"/>
        <v>0.19800000000000001</v>
      </c>
      <c r="L269">
        <v>18</v>
      </c>
      <c r="M269" t="s">
        <v>251</v>
      </c>
      <c r="N269" s="123">
        <v>46023</v>
      </c>
      <c r="O269"/>
    </row>
    <row r="270" spans="1:15" hidden="1" x14ac:dyDescent="0.25">
      <c r="A270">
        <v>269</v>
      </c>
      <c r="B270" t="str">
        <f ca="1"/>
        <v>31-156</v>
      </c>
      <c r="C270">
        <v>31</v>
      </c>
      <c r="E270">
        <v>156</v>
      </c>
      <c r="F270" t="s">
        <v>682</v>
      </c>
      <c r="G270" t="s">
        <v>706</v>
      </c>
      <c r="I270">
        <f t="shared" si="4"/>
        <v>0.19800000000000001</v>
      </c>
      <c r="L270">
        <v>18</v>
      </c>
      <c r="M270" t="s">
        <v>277</v>
      </c>
      <c r="N270" s="123">
        <v>46023</v>
      </c>
      <c r="O270"/>
    </row>
    <row r="271" spans="1:15" hidden="1" x14ac:dyDescent="0.25">
      <c r="A271">
        <v>270</v>
      </c>
      <c r="B271" t="str">
        <f ca="1"/>
        <v>31-157</v>
      </c>
      <c r="C271">
        <v>31</v>
      </c>
      <c r="E271">
        <v>157</v>
      </c>
      <c r="F271" t="s">
        <v>683</v>
      </c>
      <c r="G271" t="s">
        <v>706</v>
      </c>
      <c r="I271">
        <f t="shared" si="4"/>
        <v>0.16500000000000001</v>
      </c>
      <c r="L271">
        <v>15</v>
      </c>
      <c r="M271" t="s">
        <v>276</v>
      </c>
      <c r="N271" s="123">
        <v>46023</v>
      </c>
      <c r="O271"/>
    </row>
    <row r="272" spans="1:15" hidden="1" x14ac:dyDescent="0.25">
      <c r="A272">
        <v>271</v>
      </c>
      <c r="B272" t="str">
        <f ca="1"/>
        <v>31-158</v>
      </c>
      <c r="C272">
        <v>31</v>
      </c>
      <c r="E272">
        <v>158</v>
      </c>
      <c r="F272" t="s">
        <v>684</v>
      </c>
      <c r="G272" t="s">
        <v>706</v>
      </c>
      <c r="I272">
        <f t="shared" si="4"/>
        <v>0.16500000000000001</v>
      </c>
      <c r="L272">
        <v>15</v>
      </c>
      <c r="M272" t="s">
        <v>271</v>
      </c>
      <c r="N272" s="123">
        <v>46023</v>
      </c>
      <c r="O272"/>
    </row>
    <row r="273" spans="1:15" hidden="1" x14ac:dyDescent="0.25">
      <c r="A273">
        <v>272</v>
      </c>
      <c r="B273" t="str">
        <f ca="1"/>
        <v>31-159</v>
      </c>
      <c r="C273">
        <v>31</v>
      </c>
      <c r="E273">
        <v>159</v>
      </c>
      <c r="F273" t="s">
        <v>685</v>
      </c>
      <c r="G273" t="s">
        <v>706</v>
      </c>
      <c r="I273">
        <f t="shared" si="4"/>
        <v>0.16500000000000001</v>
      </c>
      <c r="L273">
        <v>15</v>
      </c>
      <c r="M273" t="s">
        <v>281</v>
      </c>
      <c r="N273" s="123">
        <v>46023</v>
      </c>
      <c r="O273"/>
    </row>
    <row r="274" spans="1:15" hidden="1" x14ac:dyDescent="0.25">
      <c r="A274">
        <v>273</v>
      </c>
      <c r="B274" t="str">
        <f ca="1"/>
        <v>31-160</v>
      </c>
      <c r="C274">
        <v>31</v>
      </c>
      <c r="E274">
        <v>160</v>
      </c>
      <c r="F274" t="s">
        <v>686</v>
      </c>
      <c r="G274" t="s">
        <v>706</v>
      </c>
      <c r="I274">
        <f t="shared" si="4"/>
        <v>0.16500000000000001</v>
      </c>
      <c r="L274">
        <v>15</v>
      </c>
      <c r="M274" t="s">
        <v>273</v>
      </c>
      <c r="N274" s="123">
        <v>46023</v>
      </c>
      <c r="O274"/>
    </row>
    <row r="275" spans="1:15" hidden="1" x14ac:dyDescent="0.25">
      <c r="A275">
        <v>274</v>
      </c>
      <c r="B275" t="str">
        <f ca="1"/>
        <v>31-161</v>
      </c>
      <c r="C275">
        <v>31</v>
      </c>
      <c r="E275">
        <v>161</v>
      </c>
      <c r="F275" t="s">
        <v>687</v>
      </c>
      <c r="G275" t="s">
        <v>706</v>
      </c>
      <c r="I275">
        <f t="shared" si="4"/>
        <v>0.19800000000000001</v>
      </c>
      <c r="L275">
        <v>18</v>
      </c>
      <c r="M275" t="s">
        <v>274</v>
      </c>
      <c r="N275" s="123">
        <v>46023</v>
      </c>
      <c r="O275"/>
    </row>
    <row r="276" spans="1:15" hidden="1" x14ac:dyDescent="0.25">
      <c r="A276">
        <v>275</v>
      </c>
      <c r="B276" t="str">
        <f ca="1"/>
        <v>31-162</v>
      </c>
      <c r="C276">
        <v>31</v>
      </c>
      <c r="E276">
        <v>162</v>
      </c>
      <c r="F276" t="s">
        <v>688</v>
      </c>
      <c r="G276" t="s">
        <v>706</v>
      </c>
      <c r="I276">
        <f t="shared" si="4"/>
        <v>0.16500000000000001</v>
      </c>
      <c r="L276">
        <v>15</v>
      </c>
      <c r="M276" t="s">
        <v>270</v>
      </c>
      <c r="N276" s="123">
        <v>46023</v>
      </c>
      <c r="O276"/>
    </row>
    <row r="277" spans="1:15" hidden="1" x14ac:dyDescent="0.25">
      <c r="A277">
        <v>276</v>
      </c>
      <c r="B277" t="str">
        <f ca="1"/>
        <v>31-163</v>
      </c>
      <c r="C277">
        <v>31</v>
      </c>
      <c r="E277">
        <v>163</v>
      </c>
      <c r="F277" t="s">
        <v>689</v>
      </c>
      <c r="G277" t="s">
        <v>706</v>
      </c>
      <c r="I277">
        <f t="shared" si="4"/>
        <v>0.16500000000000001</v>
      </c>
      <c r="L277">
        <v>15</v>
      </c>
      <c r="M277" t="s">
        <v>455</v>
      </c>
      <c r="N277" s="123">
        <v>46023</v>
      </c>
      <c r="O277"/>
    </row>
    <row r="278" spans="1:15" hidden="1" x14ac:dyDescent="0.25">
      <c r="A278">
        <v>277</v>
      </c>
      <c r="B278" t="str">
        <f ca="1"/>
        <v>31-164</v>
      </c>
      <c r="C278">
        <v>31</v>
      </c>
      <c r="E278">
        <v>164</v>
      </c>
      <c r="F278" t="s">
        <v>690</v>
      </c>
      <c r="G278" t="s">
        <v>706</v>
      </c>
      <c r="I278">
        <f t="shared" si="4"/>
        <v>0.16500000000000001</v>
      </c>
      <c r="L278">
        <v>15</v>
      </c>
      <c r="M278" t="s">
        <v>248</v>
      </c>
      <c r="N278" s="123">
        <v>46023</v>
      </c>
      <c r="O278"/>
    </row>
    <row r="279" spans="1:15" hidden="1" x14ac:dyDescent="0.25">
      <c r="A279">
        <v>278</v>
      </c>
      <c r="B279" t="str">
        <f ca="1"/>
        <v>31-165</v>
      </c>
      <c r="C279">
        <v>31</v>
      </c>
      <c r="E279">
        <v>165</v>
      </c>
      <c r="F279" t="s">
        <v>691</v>
      </c>
      <c r="G279" t="s">
        <v>706</v>
      </c>
      <c r="I279">
        <f t="shared" si="4"/>
        <v>0.16500000000000001</v>
      </c>
      <c r="L279">
        <v>15</v>
      </c>
      <c r="M279" t="s">
        <v>232</v>
      </c>
      <c r="N279" s="123">
        <v>46023</v>
      </c>
      <c r="O279"/>
    </row>
    <row r="280" spans="1:15" hidden="1" x14ac:dyDescent="0.25">
      <c r="A280">
        <v>279</v>
      </c>
      <c r="B280" t="str">
        <f ca="1"/>
        <v>31-166</v>
      </c>
      <c r="C280">
        <v>31</v>
      </c>
      <c r="E280">
        <v>166</v>
      </c>
      <c r="F280" t="s">
        <v>692</v>
      </c>
      <c r="G280" t="s">
        <v>706</v>
      </c>
      <c r="I280">
        <f t="shared" si="4"/>
        <v>0.16500000000000001</v>
      </c>
      <c r="L280">
        <v>15</v>
      </c>
      <c r="M280" t="s">
        <v>246</v>
      </c>
      <c r="N280" s="123">
        <v>46023</v>
      </c>
      <c r="O280"/>
    </row>
    <row r="281" spans="1:15" hidden="1" x14ac:dyDescent="0.25">
      <c r="A281">
        <v>280</v>
      </c>
      <c r="B281" t="str">
        <f ca="1"/>
        <v>31-167</v>
      </c>
      <c r="C281">
        <v>31</v>
      </c>
      <c r="E281">
        <v>167</v>
      </c>
      <c r="F281" t="s">
        <v>693</v>
      </c>
      <c r="G281" t="s">
        <v>706</v>
      </c>
      <c r="I281">
        <f t="shared" si="4"/>
        <v>0.16500000000000001</v>
      </c>
      <c r="L281">
        <v>15</v>
      </c>
      <c r="M281" t="s">
        <v>263</v>
      </c>
      <c r="N281" s="123">
        <v>46023</v>
      </c>
      <c r="O281"/>
    </row>
    <row r="282" spans="1:15" hidden="1" x14ac:dyDescent="0.25">
      <c r="A282">
        <v>281</v>
      </c>
      <c r="B282" t="str">
        <f ca="1"/>
        <v>31-168</v>
      </c>
      <c r="C282">
        <v>31</v>
      </c>
      <c r="E282">
        <v>168</v>
      </c>
      <c r="F282" t="s">
        <v>694</v>
      </c>
      <c r="G282" t="s">
        <v>706</v>
      </c>
      <c r="I282">
        <f t="shared" si="4"/>
        <v>0.16500000000000001</v>
      </c>
      <c r="L282">
        <v>15</v>
      </c>
      <c r="M282" t="s">
        <v>279</v>
      </c>
      <c r="N282" s="123">
        <v>46023</v>
      </c>
      <c r="O282"/>
    </row>
    <row r="283" spans="1:15" hidden="1" x14ac:dyDescent="0.25">
      <c r="A283">
        <v>282</v>
      </c>
      <c r="B283" t="str">
        <f ca="1"/>
        <v>31-169</v>
      </c>
      <c r="C283">
        <v>31</v>
      </c>
      <c r="E283">
        <v>169</v>
      </c>
      <c r="F283" t="s">
        <v>695</v>
      </c>
      <c r="G283" t="s">
        <v>706</v>
      </c>
      <c r="I283">
        <f t="shared" si="4"/>
        <v>0.16500000000000001</v>
      </c>
      <c r="L283">
        <v>15</v>
      </c>
      <c r="M283" t="s">
        <v>283</v>
      </c>
      <c r="N283" s="123">
        <v>46023</v>
      </c>
      <c r="O283"/>
    </row>
    <row r="284" spans="1:15" hidden="1" x14ac:dyDescent="0.25">
      <c r="A284">
        <v>283</v>
      </c>
      <c r="B284" t="str">
        <f ca="1"/>
        <v>31-170</v>
      </c>
      <c r="C284">
        <v>31</v>
      </c>
      <c r="E284">
        <v>170</v>
      </c>
      <c r="F284" t="s">
        <v>696</v>
      </c>
      <c r="G284" t="s">
        <v>706</v>
      </c>
      <c r="I284">
        <f t="shared" si="4"/>
        <v>0.16500000000000001</v>
      </c>
      <c r="L284">
        <v>15</v>
      </c>
      <c r="M284" t="s">
        <v>272</v>
      </c>
      <c r="N284" s="123">
        <v>46023</v>
      </c>
      <c r="O284"/>
    </row>
    <row r="285" spans="1:15" hidden="1" x14ac:dyDescent="0.25">
      <c r="A285">
        <v>284</v>
      </c>
      <c r="B285" t="str">
        <f ca="1"/>
        <v>31-171</v>
      </c>
      <c r="C285">
        <v>31</v>
      </c>
      <c r="E285">
        <v>171</v>
      </c>
      <c r="F285" t="s">
        <v>697</v>
      </c>
      <c r="G285" t="s">
        <v>706</v>
      </c>
      <c r="I285">
        <f t="shared" si="4"/>
        <v>0.16500000000000001</v>
      </c>
      <c r="L285">
        <v>15</v>
      </c>
      <c r="M285" t="s">
        <v>267</v>
      </c>
      <c r="N285" s="123">
        <v>46023</v>
      </c>
      <c r="O285"/>
    </row>
    <row r="286" spans="1:15" hidden="1" x14ac:dyDescent="0.25">
      <c r="A286">
        <v>285</v>
      </c>
      <c r="B286" t="str">
        <f ca="1"/>
        <v>31-172</v>
      </c>
      <c r="C286">
        <v>31</v>
      </c>
      <c r="E286">
        <v>172</v>
      </c>
      <c r="F286" t="s">
        <v>698</v>
      </c>
      <c r="G286" t="s">
        <v>706</v>
      </c>
      <c r="I286">
        <f t="shared" si="4"/>
        <v>0.16500000000000001</v>
      </c>
      <c r="L286">
        <v>15</v>
      </c>
      <c r="M286" t="s">
        <v>234</v>
      </c>
      <c r="N286" s="123">
        <v>46023</v>
      </c>
      <c r="O286"/>
    </row>
    <row r="287" spans="1:15" hidden="1" x14ac:dyDescent="0.25">
      <c r="A287">
        <v>286</v>
      </c>
      <c r="B287" t="str">
        <f ca="1"/>
        <v>31-173</v>
      </c>
      <c r="C287">
        <v>31</v>
      </c>
      <c r="E287">
        <v>173</v>
      </c>
      <c r="F287" t="s">
        <v>699</v>
      </c>
      <c r="G287" t="s">
        <v>706</v>
      </c>
      <c r="I287">
        <f t="shared" si="4"/>
        <v>0.16500000000000001</v>
      </c>
      <c r="L287">
        <v>15</v>
      </c>
      <c r="M287" t="s">
        <v>252</v>
      </c>
      <c r="N287" s="123">
        <v>46023</v>
      </c>
      <c r="O287"/>
    </row>
    <row r="288" spans="1:15" hidden="1" x14ac:dyDescent="0.25">
      <c r="A288">
        <v>287</v>
      </c>
      <c r="B288" t="str">
        <f ca="1"/>
        <v>31-174</v>
      </c>
      <c r="C288">
        <v>31</v>
      </c>
      <c r="E288">
        <v>174</v>
      </c>
      <c r="F288" t="s">
        <v>700</v>
      </c>
      <c r="G288" t="s">
        <v>706</v>
      </c>
      <c r="I288">
        <f t="shared" si="4"/>
        <v>0.13200000000000001</v>
      </c>
      <c r="L288">
        <v>12</v>
      </c>
      <c r="M288" t="s">
        <v>278</v>
      </c>
      <c r="N288" s="123">
        <v>46023</v>
      </c>
      <c r="O288"/>
    </row>
    <row r="289" spans="1:15" hidden="1" x14ac:dyDescent="0.25">
      <c r="A289">
        <v>288</v>
      </c>
      <c r="B289" t="str">
        <f ca="1"/>
        <v>31-175</v>
      </c>
      <c r="C289">
        <v>31</v>
      </c>
      <c r="E289">
        <v>175</v>
      </c>
      <c r="F289" t="s">
        <v>701</v>
      </c>
      <c r="G289" t="s">
        <v>706</v>
      </c>
      <c r="I289">
        <f t="shared" si="4"/>
        <v>0.16500000000000001</v>
      </c>
      <c r="L289">
        <v>15</v>
      </c>
      <c r="M289" t="s">
        <v>268</v>
      </c>
      <c r="N289" s="123">
        <v>46023</v>
      </c>
      <c r="O289"/>
    </row>
    <row r="290" spans="1:15" hidden="1" x14ac:dyDescent="0.25">
      <c r="A290">
        <v>289</v>
      </c>
      <c r="B290" t="str">
        <f ca="1"/>
        <v>31-176</v>
      </c>
      <c r="C290">
        <v>31</v>
      </c>
      <c r="E290">
        <v>176</v>
      </c>
      <c r="F290" t="s">
        <v>702</v>
      </c>
      <c r="G290" t="s">
        <v>706</v>
      </c>
      <c r="I290">
        <f t="shared" si="4"/>
        <v>0.16500000000000001</v>
      </c>
      <c r="L290">
        <v>15</v>
      </c>
      <c r="M290" t="s">
        <v>456</v>
      </c>
      <c r="N290" s="123">
        <v>46023</v>
      </c>
      <c r="O290"/>
    </row>
    <row r="291" spans="1:15" hidden="1" x14ac:dyDescent="0.25">
      <c r="A291">
        <v>290</v>
      </c>
      <c r="B291" t="str">
        <f ca="1"/>
        <v>31-177</v>
      </c>
      <c r="C291">
        <v>31</v>
      </c>
      <c r="E291">
        <v>177</v>
      </c>
      <c r="F291" t="s">
        <v>703</v>
      </c>
      <c r="G291" t="s">
        <v>706</v>
      </c>
      <c r="I291">
        <f t="shared" si="4"/>
        <v>0.16500000000000001</v>
      </c>
      <c r="L291">
        <v>15</v>
      </c>
      <c r="M291" t="s">
        <v>457</v>
      </c>
      <c r="N291" s="123">
        <v>46023</v>
      </c>
      <c r="O291"/>
    </row>
    <row r="292" spans="1:15" hidden="1" x14ac:dyDescent="0.25">
      <c r="A292">
        <v>291</v>
      </c>
      <c r="B292" t="str">
        <f ca="1"/>
        <v>31-178</v>
      </c>
      <c r="C292">
        <v>31</v>
      </c>
      <c r="E292">
        <v>178</v>
      </c>
      <c r="F292" t="s">
        <v>704</v>
      </c>
      <c r="G292" t="s">
        <v>706</v>
      </c>
      <c r="I292">
        <f t="shared" si="4"/>
        <v>0.16500000000000001</v>
      </c>
      <c r="L292">
        <v>15</v>
      </c>
      <c r="M292" t="s">
        <v>458</v>
      </c>
      <c r="N292" s="123">
        <v>46023</v>
      </c>
      <c r="O292"/>
    </row>
    <row r="293" spans="1:15" hidden="1" x14ac:dyDescent="0.25">
      <c r="A293">
        <v>292</v>
      </c>
      <c r="B293" t="str">
        <f ca="1"/>
        <v>31-179</v>
      </c>
      <c r="C293">
        <v>31</v>
      </c>
      <c r="E293">
        <v>179</v>
      </c>
      <c r="F293" t="s">
        <v>705</v>
      </c>
      <c r="G293" t="s">
        <v>706</v>
      </c>
      <c r="I293">
        <f t="shared" si="4"/>
        <v>0.16500000000000001</v>
      </c>
      <c r="L293">
        <v>15</v>
      </c>
      <c r="M293" t="s">
        <v>459</v>
      </c>
      <c r="N293" s="123">
        <v>46023</v>
      </c>
      <c r="O293"/>
    </row>
    <row r="294" spans="1:15" x14ac:dyDescent="0.25">
      <c r="I294"/>
    </row>
    <row r="295" spans="1:15" x14ac:dyDescent="0.25">
      <c r="I295"/>
    </row>
    <row r="296" spans="1:15" x14ac:dyDescent="0.25">
      <c r="I296"/>
    </row>
    <row r="297" spans="1:15" x14ac:dyDescent="0.25">
      <c r="I297"/>
    </row>
    <row r="298" spans="1:15" x14ac:dyDescent="0.25">
      <c r="I298"/>
    </row>
    <row r="299" spans="1:15" x14ac:dyDescent="0.25">
      <c r="I299"/>
    </row>
    <row r="300" spans="1:15" x14ac:dyDescent="0.25">
      <c r="I300"/>
    </row>
    <row r="301" spans="1:15" x14ac:dyDescent="0.25">
      <c r="I301"/>
    </row>
    <row r="302" spans="1:15" x14ac:dyDescent="0.25">
      <c r="I302"/>
    </row>
    <row r="303" spans="1:15" x14ac:dyDescent="0.25">
      <c r="I303"/>
    </row>
    <row r="304" spans="1:15" x14ac:dyDescent="0.25">
      <c r="I304"/>
    </row>
    <row r="305" spans="9:9" x14ac:dyDescent="0.25">
      <c r="I305"/>
    </row>
    <row r="306" spans="9:9" x14ac:dyDescent="0.25">
      <c r="I306"/>
    </row>
    <row r="307" spans="9:9" x14ac:dyDescent="0.25">
      <c r="I307"/>
    </row>
    <row r="308" spans="9:9" x14ac:dyDescent="0.25">
      <c r="I308"/>
    </row>
    <row r="309" spans="9:9" x14ac:dyDescent="0.25">
      <c r="I309"/>
    </row>
    <row r="310" spans="9:9" x14ac:dyDescent="0.25">
      <c r="I310"/>
    </row>
    <row r="311" spans="9:9" x14ac:dyDescent="0.25">
      <c r="I311"/>
    </row>
    <row r="312" spans="9:9" x14ac:dyDescent="0.25">
      <c r="I312"/>
    </row>
    <row r="313" spans="9:9" x14ac:dyDescent="0.25">
      <c r="I313"/>
    </row>
    <row r="314" spans="9:9" x14ac:dyDescent="0.25">
      <c r="I314"/>
    </row>
    <row r="315" spans="9:9" x14ac:dyDescent="0.25">
      <c r="I315"/>
    </row>
    <row r="316" spans="9:9" x14ac:dyDescent="0.25">
      <c r="I316"/>
    </row>
    <row r="317" spans="9:9" x14ac:dyDescent="0.25">
      <c r="I317"/>
    </row>
    <row r="318" spans="9:9" x14ac:dyDescent="0.25">
      <c r="I318"/>
    </row>
    <row r="319" spans="9:9" x14ac:dyDescent="0.25">
      <c r="I319"/>
    </row>
    <row r="320" spans="9:9" x14ac:dyDescent="0.25">
      <c r="I320"/>
    </row>
    <row r="321" spans="9:9" x14ac:dyDescent="0.25">
      <c r="I321"/>
    </row>
    <row r="322" spans="9:9" x14ac:dyDescent="0.25">
      <c r="I322"/>
    </row>
    <row r="323" spans="9:9" x14ac:dyDescent="0.25">
      <c r="I323"/>
    </row>
    <row r="324" spans="9:9" x14ac:dyDescent="0.25">
      <c r="I324"/>
    </row>
    <row r="325" spans="9:9" x14ac:dyDescent="0.25">
      <c r="I325"/>
    </row>
    <row r="326" spans="9:9" x14ac:dyDescent="0.25">
      <c r="I326"/>
    </row>
    <row r="327" spans="9:9" x14ac:dyDescent="0.25">
      <c r="I327"/>
    </row>
    <row r="328" spans="9:9" x14ac:dyDescent="0.25">
      <c r="I328"/>
    </row>
    <row r="329" spans="9:9" x14ac:dyDescent="0.25">
      <c r="I329"/>
    </row>
    <row r="330" spans="9:9" x14ac:dyDescent="0.25">
      <c r="I330"/>
    </row>
    <row r="331" spans="9:9" x14ac:dyDescent="0.25">
      <c r="I331"/>
    </row>
    <row r="332" spans="9:9" x14ac:dyDescent="0.25">
      <c r="I332"/>
    </row>
    <row r="333" spans="9:9" x14ac:dyDescent="0.25">
      <c r="I333"/>
    </row>
    <row r="334" spans="9:9" x14ac:dyDescent="0.25">
      <c r="I334"/>
    </row>
    <row r="335" spans="9:9" x14ac:dyDescent="0.25">
      <c r="I335"/>
    </row>
    <row r="336" spans="9:9" x14ac:dyDescent="0.25">
      <c r="I336"/>
    </row>
    <row r="337" spans="9:9" x14ac:dyDescent="0.25">
      <c r="I337"/>
    </row>
    <row r="338" spans="9:9" x14ac:dyDescent="0.25">
      <c r="I338"/>
    </row>
    <row r="339" spans="9:9" x14ac:dyDescent="0.25">
      <c r="I339"/>
    </row>
    <row r="340" spans="9:9" x14ac:dyDescent="0.25">
      <c r="I340"/>
    </row>
    <row r="341" spans="9:9" x14ac:dyDescent="0.25">
      <c r="I341"/>
    </row>
    <row r="342" spans="9:9" x14ac:dyDescent="0.25">
      <c r="I342"/>
    </row>
    <row r="343" spans="9:9" x14ac:dyDescent="0.25">
      <c r="I343"/>
    </row>
    <row r="344" spans="9:9" x14ac:dyDescent="0.25">
      <c r="I344"/>
    </row>
    <row r="345" spans="9:9" x14ac:dyDescent="0.25">
      <c r="I345"/>
    </row>
    <row r="346" spans="9:9" x14ac:dyDescent="0.25">
      <c r="I346"/>
    </row>
    <row r="347" spans="9:9" x14ac:dyDescent="0.25">
      <c r="I347"/>
    </row>
    <row r="348" spans="9:9" x14ac:dyDescent="0.25">
      <c r="I348"/>
    </row>
  </sheetData>
  <autoFilter ref="A1:N293" xr:uid="{E8600010-9B2F-4050-BAA6-80AF808BAB53}">
    <filterColumn colId="12">
      <filters>
        <filter val="01BT754"/>
      </filters>
    </filterColumn>
  </autoFilter>
  <phoneticPr fontId="19" type="noConversion"/>
  <conditionalFormatting sqref="F180:F1048576 F1:F172">
    <cfRule type="duplicateValues" dxfId="1" priority="5"/>
  </conditionalFormatting>
  <conditionalFormatting sqref="M241:M293">
    <cfRule type="duplicateValues" dxfId="0" priority="20"/>
  </conditionalFormatting>
  <dataValidations count="1">
    <dataValidation type="list" allowBlank="1" showInputMessage="1" showErrorMessage="1" sqref="M149:M156" xr:uid="{A259BE84-144E-43E1-9E0B-67AC735FCA21}">
      <formula1>$R:$R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5D7A91-DA41-43F7-88A4-DAE325EA6C34}">
          <x14:formula1>
            <xm:f>view__cover!#REF!</xm:f>
          </x14:formula1>
          <xm:sqref>C1:C1048576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832AC-7F6A-473A-A693-E61BB51AD79F}">
  <sheetPr codeName="Sheet10"/>
  <dimension ref="A1:C1"/>
  <sheetViews>
    <sheetView workbookViewId="0">
      <selection activeCell="B1" sqref="B1"/>
    </sheetView>
  </sheetViews>
  <sheetFormatPr defaultRowHeight="15" x14ac:dyDescent="0.25"/>
  <sheetData>
    <row r="1" spans="1:3" x14ac:dyDescent="0.25">
      <c r="A1" t="s">
        <v>426</v>
      </c>
      <c r="B1" t="s">
        <v>236</v>
      </c>
      <c r="C1" t="s">
        <v>427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34DB-1F0F-4961-ABA7-AEB12E872399}">
  <sheetPr filterMode="1"/>
  <dimension ref="A1:AE760"/>
  <sheetViews>
    <sheetView workbookViewId="0">
      <pane ySplit="1" topLeftCell="A2" activePane="bottomLeft" state="frozen"/>
      <selection activeCell="F742" sqref="F742"/>
      <selection pane="bottomLeft" activeCell="K767" sqref="K767"/>
    </sheetView>
  </sheetViews>
  <sheetFormatPr defaultRowHeight="15" x14ac:dyDescent="0.25"/>
  <cols>
    <col min="4" max="4" width="6.7109375" bestFit="1" customWidth="1"/>
    <col min="6" max="6" width="12" bestFit="1" customWidth="1"/>
    <col min="7" max="7" width="12.28515625" style="167" bestFit="1" customWidth="1"/>
    <col min="9" max="9" width="29.5703125" customWidth="1"/>
    <col min="10" max="10" width="14" customWidth="1"/>
    <col min="11" max="11" width="9.5703125" style="167" bestFit="1" customWidth="1"/>
    <col min="12" max="12" width="12.28515625" style="167" bestFit="1" customWidth="1"/>
  </cols>
  <sheetData>
    <row r="1" spans="1:31" x14ac:dyDescent="0.25">
      <c r="A1" s="124" t="s">
        <v>168</v>
      </c>
      <c r="B1" s="124" t="s">
        <v>291</v>
      </c>
      <c r="C1" s="124" t="s">
        <v>183</v>
      </c>
      <c r="D1" s="124" t="s">
        <v>175</v>
      </c>
      <c r="E1" s="124" t="s">
        <v>181</v>
      </c>
      <c r="F1" s="124" t="s">
        <v>185</v>
      </c>
      <c r="G1" s="222" t="s">
        <v>184</v>
      </c>
      <c r="H1" s="124" t="s">
        <v>710</v>
      </c>
      <c r="I1" s="124" t="s">
        <v>448</v>
      </c>
      <c r="J1" s="124" t="s">
        <v>707</v>
      </c>
      <c r="K1" s="166" t="s">
        <v>729</v>
      </c>
      <c r="L1" s="166" t="s">
        <v>721</v>
      </c>
      <c r="AA1" cm="1">
        <f t="array" ref="AA1:AE719">_xlfn.LET(
 _xlpm.last, MATCH(2,1/(log_daily_records!E:E&lt;&gt;""),1),
 _xlpm.E, log_daily_records!E2:INDEX(log_daily_records!E:E,_xlpm.last),
 _xlpm.F, log_daily_records!F2:INDEX(log_daily_records!F:F,_xlpm.last),
 _xlpm.D, log_daily_records!D2:INDEX(log_daily_records!D:D,_xlpm.last),
 _xlpm.AM,log_daily_records!AM2:INDEX(log_daily_records!AM:AM,_xlpm.last),
 _xlpm.AN,log_daily_records!AN2:INDEX(log_daily_records!AN:AN,_xlpm.last),
 _xlpm.AO,log_daily_records!AO2:INDEX(log_daily_records!AO:AO,_xlpm.last),
 _xlpm.AT,log_daily_records!AT2:INDEX(log_daily_records!AT:AT,_xlpm.last),
 _xlfn.VSTACK(
  _xlfn.IFNA(_xlfn._xlws.FILTER(_xlfn.HSTACK(_xlpm.E,_xlpm.F,_xlpm.D,_xlpm.AM,""),_xlpm.AM&gt;0),"single"),
  _xlfn.IFNA(_xlfn._xlws.FILTER(_xlfn.HSTACK(_xlpm.E,_xlpm.F,_xlpm.D,_xlpm.AN,""),_xlpm.AN&gt;0),"double"),
  _xlfn.IFNA(_xlfn._xlws.FILTER(_xlfn.HSTACK(_xlpm.E,_xlpm.F,_xlpm.D,_xlpm.AO,""),_xlpm.AO&gt;0),"hour"),
  _xlfn.IFNA(_xlfn._xlws.FILTER(_xlfn.HSTACK(_xlpm.E,_xlpm.F,_xlpm.D,_xlpm.AT,""),_xlpm.AT&gt;0),"dist")
 )
)</f>
        <v>30</v>
      </c>
      <c r="AB1">
        <v>1</v>
      </c>
      <c r="AC1" t="str">
        <v>99AS882</v>
      </c>
      <c r="AD1">
        <v>10</v>
      </c>
      <c r="AE1" t="str">
        <v>single</v>
      </c>
    </row>
    <row r="2" spans="1:31" hidden="1" x14ac:dyDescent="0.25">
      <c r="A2" cm="1">
        <f t="array" ref="A2:A750">_xlfn.SEQUENCE(ROWS(_xlfn.ANCHORARRAY(B2)))</f>
        <v>1</v>
      </c>
      <c r="B2" cm="1">
        <f t="array" ref="B2:J750">_xlfn.LET(_xlpm.y,_xlfn.LET(_xlpm.x,_xlfn.DROP(_xlfn.VSTACK(_xlfn._TRO_TRAILING(daily_quantities!B:J),_xlfn.DROP(_xlfn._TRO_TRAILING(log_monthly_records!B:J),1)),1),IF(_xlpm.x="","",_xlfn._xlws.SORT(_xlpm.x, {1,2,3,4}, {1,1,1,1}))),IF(_xlpm.y=0,"",_xlpm.y))</f>
        <v>2024</v>
      </c>
      <c r="C2">
        <v>9</v>
      </c>
      <c r="D2">
        <v>33</v>
      </c>
      <c r="E2">
        <v>4</v>
      </c>
      <c r="F2" t="str">
        <v/>
      </c>
      <c r="G2" s="223">
        <v>19225</v>
      </c>
      <c r="H2" t="str">
        <v/>
      </c>
      <c r="I2" t="str">
        <v/>
      </c>
      <c r="J2">
        <v>1</v>
      </c>
      <c r="K2" s="167" cm="1">
        <f t="array" aca="1" ref="K2:K750" ca="1">_xlfn.XLOOKUP(INDEX(_xlfn.ANCHORARRAY(B2),,3)&amp;"-"&amp;INDEX(_xlfn.ANCHORARRAY(B2),,9),_xlfn._TRO_TRAILING(log_prices!B:B),_xlfn._TRO_TRAILING(log_prices!I:I),,0)</f>
        <v>1.5</v>
      </c>
      <c r="L2" s="167" cm="1">
        <f t="array" aca="1" ref="L2:L750" ca="1">INDEX(_xlfn.ANCHORARRAY(B2),,6)*_xlfn.ANCHORARRAY(K2)</f>
        <v>28837.5</v>
      </c>
      <c r="AA2">
        <v>30</v>
      </c>
      <c r="AB2">
        <v>2</v>
      </c>
      <c r="AC2" t="str">
        <v>99AS882</v>
      </c>
      <c r="AD2">
        <v>30</v>
      </c>
      <c r="AE2" t="str">
        <v>single</v>
      </c>
    </row>
    <row r="3" spans="1:31" hidden="1" x14ac:dyDescent="0.25">
      <c r="A3">
        <v>2</v>
      </c>
      <c r="B3">
        <v>2024</v>
      </c>
      <c r="C3">
        <v>9</v>
      </c>
      <c r="D3">
        <v>33</v>
      </c>
      <c r="E3">
        <v>4</v>
      </c>
      <c r="F3" t="str">
        <v/>
      </c>
      <c r="G3" s="223">
        <v>25773</v>
      </c>
      <c r="H3" t="str">
        <v/>
      </c>
      <c r="I3" t="str">
        <v/>
      </c>
      <c r="J3">
        <v>2</v>
      </c>
      <c r="K3" s="167">
        <f ca="1"/>
        <v>4.7</v>
      </c>
      <c r="L3" s="167">
        <f ca="1"/>
        <v>121133.1</v>
      </c>
      <c r="AA3">
        <v>30</v>
      </c>
      <c r="AB3">
        <v>2</v>
      </c>
      <c r="AC3" t="str">
        <v>99JE233</v>
      </c>
      <c r="AD3">
        <v>30</v>
      </c>
      <c r="AE3" t="str">
        <v>single</v>
      </c>
    </row>
    <row r="4" spans="1:31" hidden="1" x14ac:dyDescent="0.25">
      <c r="A4">
        <v>3</v>
      </c>
      <c r="B4">
        <v>2024</v>
      </c>
      <c r="C4">
        <v>9</v>
      </c>
      <c r="D4">
        <v>33</v>
      </c>
      <c r="E4">
        <v>4</v>
      </c>
      <c r="F4" t="str">
        <v/>
      </c>
      <c r="G4" s="223">
        <v>21414</v>
      </c>
      <c r="H4" t="str">
        <v/>
      </c>
      <c r="I4" t="str">
        <v/>
      </c>
      <c r="J4">
        <v>3</v>
      </c>
      <c r="K4" s="167">
        <f ca="1"/>
        <v>4.7</v>
      </c>
      <c r="L4" s="167">
        <f ca="1"/>
        <v>100645.8</v>
      </c>
      <c r="AA4">
        <v>31</v>
      </c>
      <c r="AB4">
        <v>1</v>
      </c>
      <c r="AC4" t="str">
        <v>99LT168</v>
      </c>
      <c r="AD4">
        <v>8</v>
      </c>
      <c r="AE4" t="str">
        <v>single</v>
      </c>
    </row>
    <row r="5" spans="1:31" hidden="1" x14ac:dyDescent="0.25">
      <c r="A5">
        <v>4</v>
      </c>
      <c r="B5">
        <v>2024</v>
      </c>
      <c r="C5">
        <v>9</v>
      </c>
      <c r="D5">
        <v>33</v>
      </c>
      <c r="E5">
        <v>4</v>
      </c>
      <c r="F5" t="str">
        <v/>
      </c>
      <c r="G5" s="223" t="str">
        <v/>
      </c>
      <c r="H5" t="str">
        <v/>
      </c>
      <c r="I5" t="str">
        <v/>
      </c>
      <c r="J5">
        <v>4</v>
      </c>
      <c r="K5" s="167">
        <f ca="1"/>
        <v>4.7</v>
      </c>
      <c r="L5" s="167" t="e">
        <f ca="1"/>
        <v>#VALUE!</v>
      </c>
      <c r="AA5">
        <v>31</v>
      </c>
      <c r="AB5">
        <v>1</v>
      </c>
      <c r="AC5" t="str">
        <v>99LT168</v>
      </c>
      <c r="AD5">
        <v>28</v>
      </c>
      <c r="AE5" t="str">
        <v>single</v>
      </c>
    </row>
    <row r="6" spans="1:31" hidden="1" x14ac:dyDescent="0.25">
      <c r="A6">
        <v>5</v>
      </c>
      <c r="B6">
        <v>2024</v>
      </c>
      <c r="C6">
        <v>9</v>
      </c>
      <c r="D6">
        <v>33</v>
      </c>
      <c r="E6">
        <v>4</v>
      </c>
      <c r="F6" t="str">
        <v/>
      </c>
      <c r="G6" s="223">
        <v>3363</v>
      </c>
      <c r="H6" t="str">
        <v/>
      </c>
      <c r="I6" t="str">
        <v/>
      </c>
      <c r="J6">
        <v>5</v>
      </c>
      <c r="K6" s="167">
        <f ca="1"/>
        <v>3.85</v>
      </c>
      <c r="L6" s="167">
        <f ca="1"/>
        <v>12947.550000000001</v>
      </c>
      <c r="AA6">
        <v>31</v>
      </c>
      <c r="AB6">
        <v>1</v>
      </c>
      <c r="AC6" t="str">
        <v>99HZ395</v>
      </c>
      <c r="AD6">
        <v>3</v>
      </c>
      <c r="AE6" t="str">
        <v>single</v>
      </c>
    </row>
    <row r="7" spans="1:31" hidden="1" x14ac:dyDescent="0.25">
      <c r="A7">
        <v>6</v>
      </c>
      <c r="B7">
        <v>2024</v>
      </c>
      <c r="C7">
        <v>9</v>
      </c>
      <c r="D7">
        <v>33</v>
      </c>
      <c r="E7">
        <v>4</v>
      </c>
      <c r="F7" t="str">
        <v/>
      </c>
      <c r="G7" s="223" t="str">
        <v/>
      </c>
      <c r="H7" t="str">
        <v/>
      </c>
      <c r="I7" t="str">
        <v/>
      </c>
      <c r="J7">
        <v>6</v>
      </c>
      <c r="K7" s="167">
        <f ca="1"/>
        <v>1.5</v>
      </c>
      <c r="L7" s="167" t="e">
        <f ca="1"/>
        <v>#VALUE!</v>
      </c>
      <c r="AA7">
        <v>31</v>
      </c>
      <c r="AB7">
        <v>1</v>
      </c>
      <c r="AC7" t="str">
        <v>99HZ395</v>
      </c>
      <c r="AD7">
        <v>28</v>
      </c>
      <c r="AE7" t="str">
        <v>single</v>
      </c>
    </row>
    <row r="8" spans="1:31" hidden="1" x14ac:dyDescent="0.25">
      <c r="A8">
        <v>7</v>
      </c>
      <c r="B8">
        <v>2024</v>
      </c>
      <c r="C8">
        <v>12</v>
      </c>
      <c r="D8">
        <v>11</v>
      </c>
      <c r="E8">
        <v>1</v>
      </c>
      <c r="F8" t="str">
        <v/>
      </c>
      <c r="G8" s="223">
        <v>1</v>
      </c>
      <c r="H8" t="str">
        <v/>
      </c>
      <c r="I8" t="str">
        <v/>
      </c>
      <c r="J8">
        <v>1</v>
      </c>
      <c r="K8" s="167">
        <f ca="1"/>
        <v>5500</v>
      </c>
      <c r="L8" s="167">
        <f ca="1"/>
        <v>5500</v>
      </c>
      <c r="AA8">
        <v>31</v>
      </c>
      <c r="AB8">
        <v>1</v>
      </c>
      <c r="AC8" t="str">
        <v>99FB123</v>
      </c>
      <c r="AD8">
        <v>6</v>
      </c>
      <c r="AE8" t="str">
        <v>single</v>
      </c>
    </row>
    <row r="9" spans="1:31" hidden="1" x14ac:dyDescent="0.25">
      <c r="A9">
        <v>8</v>
      </c>
      <c r="B9">
        <v>2024</v>
      </c>
      <c r="C9">
        <v>12</v>
      </c>
      <c r="D9">
        <v>11</v>
      </c>
      <c r="E9">
        <v>1</v>
      </c>
      <c r="F9" t="str">
        <v/>
      </c>
      <c r="G9" s="223">
        <v>8</v>
      </c>
      <c r="H9" t="str">
        <v/>
      </c>
      <c r="I9" t="str">
        <v/>
      </c>
      <c r="J9">
        <v>2</v>
      </c>
      <c r="K9" s="167">
        <f ca="1"/>
        <v>200</v>
      </c>
      <c r="L9" s="167">
        <f ca="1"/>
        <v>1600</v>
      </c>
      <c r="AA9">
        <v>31</v>
      </c>
      <c r="AB9">
        <v>1</v>
      </c>
      <c r="AC9" t="str">
        <v>90OV187</v>
      </c>
      <c r="AD9">
        <v>17</v>
      </c>
      <c r="AE9" t="str">
        <v>single</v>
      </c>
    </row>
    <row r="10" spans="1:31" hidden="1" x14ac:dyDescent="0.25">
      <c r="A10">
        <v>9</v>
      </c>
      <c r="B10">
        <v>2024</v>
      </c>
      <c r="C10">
        <v>12</v>
      </c>
      <c r="D10">
        <v>11</v>
      </c>
      <c r="E10">
        <v>1</v>
      </c>
      <c r="F10" t="str">
        <v/>
      </c>
      <c r="G10" s="223">
        <v>12</v>
      </c>
      <c r="H10" t="str">
        <v/>
      </c>
      <c r="I10" t="str">
        <v/>
      </c>
      <c r="J10">
        <v>3</v>
      </c>
      <c r="K10" s="167">
        <f ca="1"/>
        <v>100</v>
      </c>
      <c r="L10" s="167">
        <f ca="1"/>
        <v>1200</v>
      </c>
      <c r="AA10">
        <v>31</v>
      </c>
      <c r="AB10">
        <v>1</v>
      </c>
      <c r="AC10" t="str">
        <v>77UG347</v>
      </c>
      <c r="AD10">
        <v>6</v>
      </c>
      <c r="AE10" t="str">
        <v>single</v>
      </c>
    </row>
    <row r="11" spans="1:31" hidden="1" x14ac:dyDescent="0.25">
      <c r="A11">
        <v>10</v>
      </c>
      <c r="B11">
        <v>2024</v>
      </c>
      <c r="C11">
        <v>12</v>
      </c>
      <c r="D11">
        <v>14</v>
      </c>
      <c r="E11">
        <v>1</v>
      </c>
      <c r="F11" t="str">
        <v/>
      </c>
      <c r="G11" s="223">
        <v>1.1666666666666667</v>
      </c>
      <c r="H11" t="str">
        <v/>
      </c>
      <c r="I11" t="str">
        <v/>
      </c>
      <c r="J11">
        <v>1</v>
      </c>
      <c r="K11" s="167">
        <f ca="1"/>
        <v>730</v>
      </c>
      <c r="L11" s="167">
        <f ca="1"/>
        <v>851.66666666666674</v>
      </c>
      <c r="AA11">
        <v>31</v>
      </c>
      <c r="AB11">
        <v>1</v>
      </c>
      <c r="AC11" t="str">
        <v>90ZP408</v>
      </c>
      <c r="AD11">
        <v>17</v>
      </c>
      <c r="AE11" t="str">
        <v>single</v>
      </c>
    </row>
    <row r="12" spans="1:31" hidden="1" x14ac:dyDescent="0.25">
      <c r="A12">
        <v>11</v>
      </c>
      <c r="B12">
        <v>2024</v>
      </c>
      <c r="C12">
        <v>12</v>
      </c>
      <c r="D12">
        <v>14</v>
      </c>
      <c r="E12">
        <v>1</v>
      </c>
      <c r="F12" t="str">
        <v/>
      </c>
      <c r="G12" s="223">
        <v>1.1666666666666667</v>
      </c>
      <c r="H12" t="str">
        <v/>
      </c>
      <c r="I12" t="str">
        <v/>
      </c>
      <c r="J12">
        <v>2</v>
      </c>
      <c r="K12" s="167">
        <f ca="1"/>
        <v>1100</v>
      </c>
      <c r="L12" s="167">
        <f ca="1"/>
        <v>1283.3333333333335</v>
      </c>
      <c r="AA12">
        <v>31</v>
      </c>
      <c r="AB12">
        <v>1</v>
      </c>
      <c r="AC12" t="str">
        <v>66CC029</v>
      </c>
      <c r="AD12">
        <v>19</v>
      </c>
      <c r="AE12" t="str">
        <v>single</v>
      </c>
    </row>
    <row r="13" spans="1:31" hidden="1" x14ac:dyDescent="0.25">
      <c r="A13">
        <v>12</v>
      </c>
      <c r="B13">
        <v>2024</v>
      </c>
      <c r="C13">
        <v>12</v>
      </c>
      <c r="D13">
        <v>14</v>
      </c>
      <c r="E13">
        <v>1</v>
      </c>
      <c r="F13" t="str">
        <v/>
      </c>
      <c r="G13" s="223">
        <v>1.1666666666666667</v>
      </c>
      <c r="H13" t="str">
        <v/>
      </c>
      <c r="I13" t="str">
        <v/>
      </c>
      <c r="J13">
        <v>3</v>
      </c>
      <c r="K13" s="167">
        <f ca="1"/>
        <v>900</v>
      </c>
      <c r="L13" s="167">
        <f ca="1"/>
        <v>1050</v>
      </c>
      <c r="AA13">
        <v>31</v>
      </c>
      <c r="AB13">
        <v>1</v>
      </c>
      <c r="AC13" t="str">
        <v>77QK725</v>
      </c>
      <c r="AD13">
        <v>7</v>
      </c>
      <c r="AE13" t="str">
        <v>single</v>
      </c>
    </row>
    <row r="14" spans="1:31" hidden="1" x14ac:dyDescent="0.25">
      <c r="A14">
        <v>13</v>
      </c>
      <c r="B14">
        <v>2024</v>
      </c>
      <c r="C14">
        <v>12</v>
      </c>
      <c r="D14">
        <v>14</v>
      </c>
      <c r="E14">
        <v>1</v>
      </c>
      <c r="F14" t="str">
        <v/>
      </c>
      <c r="G14" s="223">
        <v>1.1666666666666667</v>
      </c>
      <c r="H14" t="str">
        <v/>
      </c>
      <c r="I14" t="str">
        <v/>
      </c>
      <c r="J14">
        <v>4</v>
      </c>
      <c r="K14" s="167">
        <f ca="1"/>
        <v>800</v>
      </c>
      <c r="L14" s="167">
        <f ca="1"/>
        <v>933.33333333333337</v>
      </c>
      <c r="AA14">
        <v>31</v>
      </c>
      <c r="AB14">
        <v>1</v>
      </c>
      <c r="AC14" t="str">
        <v>77AT386</v>
      </c>
      <c r="AD14">
        <v>9</v>
      </c>
      <c r="AE14" t="str">
        <v>single</v>
      </c>
    </row>
    <row r="15" spans="1:31" hidden="1" x14ac:dyDescent="0.25">
      <c r="A15">
        <v>14</v>
      </c>
      <c r="B15">
        <v>2024</v>
      </c>
      <c r="C15">
        <v>12</v>
      </c>
      <c r="D15">
        <v>14</v>
      </c>
      <c r="E15">
        <v>1</v>
      </c>
      <c r="F15" t="str">
        <v/>
      </c>
      <c r="G15" s="223">
        <v>1.1666666666666667</v>
      </c>
      <c r="H15" t="str">
        <v/>
      </c>
      <c r="I15" t="str">
        <v/>
      </c>
      <c r="J15">
        <v>5</v>
      </c>
      <c r="K15" s="167">
        <f ca="1"/>
        <v>900</v>
      </c>
      <c r="L15" s="167">
        <f ca="1"/>
        <v>1050</v>
      </c>
      <c r="AA15">
        <v>31</v>
      </c>
      <c r="AB15">
        <v>2</v>
      </c>
      <c r="AC15" t="str">
        <v>99LT168</v>
      </c>
      <c r="AD15">
        <v>21</v>
      </c>
      <c r="AE15" t="str">
        <v>single</v>
      </c>
    </row>
    <row r="16" spans="1:31" hidden="1" x14ac:dyDescent="0.25">
      <c r="A16">
        <v>15</v>
      </c>
      <c r="B16">
        <v>2024</v>
      </c>
      <c r="C16">
        <v>12</v>
      </c>
      <c r="D16">
        <v>14</v>
      </c>
      <c r="E16">
        <v>1</v>
      </c>
      <c r="F16" t="str">
        <v/>
      </c>
      <c r="G16" s="223">
        <v>144</v>
      </c>
      <c r="H16" t="str">
        <v/>
      </c>
      <c r="I16" t="str">
        <v/>
      </c>
      <c r="J16">
        <v>8</v>
      </c>
      <c r="K16" s="167">
        <f ca="1"/>
        <v>2</v>
      </c>
      <c r="L16" s="167">
        <f ca="1"/>
        <v>288</v>
      </c>
      <c r="AA16">
        <v>31</v>
      </c>
      <c r="AB16">
        <v>2</v>
      </c>
      <c r="AC16" t="str">
        <v>90OV187</v>
      </c>
      <c r="AD16">
        <v>30</v>
      </c>
      <c r="AE16" t="str">
        <v>single</v>
      </c>
    </row>
    <row r="17" spans="1:31" hidden="1" x14ac:dyDescent="0.25">
      <c r="A17">
        <v>16</v>
      </c>
      <c r="B17">
        <v>2024</v>
      </c>
      <c r="C17">
        <v>12</v>
      </c>
      <c r="D17">
        <v>14</v>
      </c>
      <c r="E17">
        <v>1</v>
      </c>
      <c r="F17" t="str">
        <v/>
      </c>
      <c r="G17" s="223">
        <v>297</v>
      </c>
      <c r="H17" t="str">
        <v/>
      </c>
      <c r="I17" t="str">
        <v/>
      </c>
      <c r="J17">
        <v>9</v>
      </c>
      <c r="K17" s="167">
        <f ca="1"/>
        <v>2.5</v>
      </c>
      <c r="L17" s="167">
        <f ca="1"/>
        <v>742.5</v>
      </c>
      <c r="AA17">
        <v>31</v>
      </c>
      <c r="AB17">
        <v>2</v>
      </c>
      <c r="AC17" t="str">
        <v>99HZ395</v>
      </c>
      <c r="AD17">
        <v>25</v>
      </c>
      <c r="AE17" t="str">
        <v>single</v>
      </c>
    </row>
    <row r="18" spans="1:31" hidden="1" x14ac:dyDescent="0.25">
      <c r="A18">
        <v>17</v>
      </c>
      <c r="B18">
        <v>2024</v>
      </c>
      <c r="C18">
        <v>12</v>
      </c>
      <c r="D18">
        <v>14</v>
      </c>
      <c r="E18">
        <v>1</v>
      </c>
      <c r="F18" t="str">
        <v/>
      </c>
      <c r="G18" s="223">
        <v>105</v>
      </c>
      <c r="H18" t="str">
        <v/>
      </c>
      <c r="I18" t="str">
        <v/>
      </c>
      <c r="J18">
        <v>10</v>
      </c>
      <c r="K18" s="167">
        <f ca="1"/>
        <v>2</v>
      </c>
      <c r="L18" s="167">
        <f ca="1"/>
        <v>210</v>
      </c>
      <c r="AA18">
        <v>31</v>
      </c>
      <c r="AB18">
        <v>2</v>
      </c>
      <c r="AC18" t="str">
        <v>90ZP408</v>
      </c>
      <c r="AD18">
        <v>24</v>
      </c>
      <c r="AE18" t="str">
        <v>single</v>
      </c>
    </row>
    <row r="19" spans="1:31" hidden="1" x14ac:dyDescent="0.25">
      <c r="A19">
        <v>18</v>
      </c>
      <c r="B19">
        <v>2024</v>
      </c>
      <c r="C19">
        <v>12</v>
      </c>
      <c r="D19">
        <v>14</v>
      </c>
      <c r="E19">
        <v>1</v>
      </c>
      <c r="F19" t="str">
        <v/>
      </c>
      <c r="G19" s="223">
        <v>125</v>
      </c>
      <c r="H19" t="str">
        <v/>
      </c>
      <c r="I19" t="str">
        <v/>
      </c>
      <c r="J19">
        <v>12</v>
      </c>
      <c r="K19" s="167">
        <f ca="1"/>
        <v>2</v>
      </c>
      <c r="L19" s="167">
        <f ca="1"/>
        <v>250</v>
      </c>
      <c r="AA19">
        <v>31</v>
      </c>
      <c r="AB19">
        <v>2</v>
      </c>
      <c r="AC19" t="str">
        <v>66CC029</v>
      </c>
      <c r="AD19">
        <v>25</v>
      </c>
      <c r="AE19" t="str">
        <v>single</v>
      </c>
    </row>
    <row r="20" spans="1:31" hidden="1" x14ac:dyDescent="0.25">
      <c r="A20">
        <v>19</v>
      </c>
      <c r="B20">
        <v>2025</v>
      </c>
      <c r="C20">
        <v>1</v>
      </c>
      <c r="D20">
        <v>30</v>
      </c>
      <c r="E20">
        <v>1</v>
      </c>
      <c r="F20" t="str">
        <v>99AS882</v>
      </c>
      <c r="G20" s="223">
        <v>10</v>
      </c>
      <c r="H20" t="str">
        <v>single</v>
      </c>
      <c r="I20" t="str">
        <v/>
      </c>
      <c r="J20">
        <v>1</v>
      </c>
      <c r="K20" s="167">
        <f ca="1"/>
        <v>183.33333333333334</v>
      </c>
      <c r="L20" s="167">
        <f ca="1"/>
        <v>1833.3333333333335</v>
      </c>
      <c r="AA20">
        <v>31</v>
      </c>
      <c r="AB20">
        <v>2</v>
      </c>
      <c r="AC20" t="str">
        <v>77QK725</v>
      </c>
      <c r="AD20">
        <v>24</v>
      </c>
      <c r="AE20" t="str">
        <v>single</v>
      </c>
    </row>
    <row r="21" spans="1:31" hidden="1" x14ac:dyDescent="0.25">
      <c r="A21">
        <v>20</v>
      </c>
      <c r="B21">
        <v>2025</v>
      </c>
      <c r="C21">
        <v>1</v>
      </c>
      <c r="D21">
        <v>31</v>
      </c>
      <c r="E21">
        <v>1</v>
      </c>
      <c r="F21" t="str">
        <v>99LT168</v>
      </c>
      <c r="G21" s="223">
        <v>8</v>
      </c>
      <c r="H21" t="str">
        <v>single</v>
      </c>
      <c r="I21" t="str">
        <v/>
      </c>
      <c r="J21">
        <v>1</v>
      </c>
      <c r="K21" s="167">
        <f ca="1"/>
        <v>73.33</v>
      </c>
      <c r="L21" s="167">
        <f ca="1"/>
        <v>586.64</v>
      </c>
      <c r="AA21">
        <v>31</v>
      </c>
      <c r="AB21">
        <v>2</v>
      </c>
      <c r="AC21" t="str">
        <v>77QK725</v>
      </c>
      <c r="AD21" t="str">
        <v/>
      </c>
      <c r="AE21" t="str">
        <v>single</v>
      </c>
    </row>
    <row r="22" spans="1:31" hidden="1" x14ac:dyDescent="0.25">
      <c r="A22">
        <v>21</v>
      </c>
      <c r="B22">
        <v>2025</v>
      </c>
      <c r="C22">
        <v>1</v>
      </c>
      <c r="D22">
        <v>31</v>
      </c>
      <c r="E22">
        <v>1</v>
      </c>
      <c r="F22" t="str">
        <v>99HZ395</v>
      </c>
      <c r="G22" s="223">
        <v>3</v>
      </c>
      <c r="H22" t="str">
        <v>single</v>
      </c>
      <c r="I22" t="str">
        <v/>
      </c>
      <c r="J22">
        <v>3</v>
      </c>
      <c r="K22" s="167">
        <f ca="1"/>
        <v>65</v>
      </c>
      <c r="L22" s="167">
        <f ca="1"/>
        <v>195</v>
      </c>
      <c r="AA22">
        <v>31</v>
      </c>
      <c r="AB22">
        <v>2</v>
      </c>
      <c r="AC22" t="str">
        <v>77AT386</v>
      </c>
      <c r="AD22">
        <v>31</v>
      </c>
      <c r="AE22" t="str">
        <v>single</v>
      </c>
    </row>
    <row r="23" spans="1:31" hidden="1" x14ac:dyDescent="0.25">
      <c r="A23">
        <v>22</v>
      </c>
      <c r="B23">
        <v>2025</v>
      </c>
      <c r="C23">
        <v>1</v>
      </c>
      <c r="D23">
        <v>33</v>
      </c>
      <c r="E23">
        <v>5</v>
      </c>
      <c r="F23" t="str">
        <v/>
      </c>
      <c r="G23" s="223">
        <v>13344</v>
      </c>
      <c r="H23" t="str">
        <v/>
      </c>
      <c r="I23" t="str">
        <v/>
      </c>
      <c r="J23">
        <v>1</v>
      </c>
      <c r="K23" s="167">
        <f ca="1"/>
        <v>1.5</v>
      </c>
      <c r="L23" s="167">
        <f ca="1"/>
        <v>20016</v>
      </c>
      <c r="AA23">
        <v>31</v>
      </c>
      <c r="AB23">
        <v>2</v>
      </c>
      <c r="AC23" t="str">
        <v>90SL686</v>
      </c>
      <c r="AD23">
        <v>30</v>
      </c>
      <c r="AE23" t="str">
        <v>single</v>
      </c>
    </row>
    <row r="24" spans="1:31" hidden="1" x14ac:dyDescent="0.25">
      <c r="A24">
        <v>23</v>
      </c>
      <c r="B24">
        <v>2025</v>
      </c>
      <c r="C24">
        <v>1</v>
      </c>
      <c r="D24">
        <v>33</v>
      </c>
      <c r="E24">
        <v>5</v>
      </c>
      <c r="F24" t="str">
        <v/>
      </c>
      <c r="G24" s="223">
        <v>18963</v>
      </c>
      <c r="H24" t="str">
        <v/>
      </c>
      <c r="I24" t="str">
        <v/>
      </c>
      <c r="J24">
        <v>2</v>
      </c>
      <c r="K24" s="167">
        <f ca="1"/>
        <v>4.7</v>
      </c>
      <c r="L24" s="167">
        <f ca="1"/>
        <v>89126.1</v>
      </c>
      <c r="AA24">
        <v>31</v>
      </c>
      <c r="AB24">
        <v>2</v>
      </c>
      <c r="AC24" t="str">
        <v>55CB633</v>
      </c>
      <c r="AD24">
        <v>25</v>
      </c>
      <c r="AE24" t="str">
        <v>single</v>
      </c>
    </row>
    <row r="25" spans="1:31" hidden="1" x14ac:dyDescent="0.25">
      <c r="A25">
        <v>24</v>
      </c>
      <c r="B25">
        <v>2025</v>
      </c>
      <c r="C25">
        <v>1</v>
      </c>
      <c r="D25">
        <v>33</v>
      </c>
      <c r="E25">
        <v>5</v>
      </c>
      <c r="F25" t="str">
        <v/>
      </c>
      <c r="G25" s="223">
        <v>15716</v>
      </c>
      <c r="H25" t="str">
        <v/>
      </c>
      <c r="I25" t="str">
        <v/>
      </c>
      <c r="J25">
        <v>3</v>
      </c>
      <c r="K25" s="167">
        <f ca="1"/>
        <v>4.7</v>
      </c>
      <c r="L25" s="167">
        <f ca="1"/>
        <v>73865.2</v>
      </c>
      <c r="AA25">
        <v>31</v>
      </c>
      <c r="AB25">
        <v>2</v>
      </c>
      <c r="AC25" t="str">
        <v>77GM723</v>
      </c>
      <c r="AD25">
        <v>28</v>
      </c>
      <c r="AE25" t="str">
        <v>single</v>
      </c>
    </row>
    <row r="26" spans="1:31" hidden="1" x14ac:dyDescent="0.25">
      <c r="A26">
        <v>25</v>
      </c>
      <c r="B26">
        <v>2025</v>
      </c>
      <c r="C26">
        <v>1</v>
      </c>
      <c r="D26">
        <v>33</v>
      </c>
      <c r="E26">
        <v>5</v>
      </c>
      <c r="F26" t="str">
        <v/>
      </c>
      <c r="G26" s="223" t="str">
        <v/>
      </c>
      <c r="H26" t="str">
        <v/>
      </c>
      <c r="I26" t="str">
        <v/>
      </c>
      <c r="J26">
        <v>4</v>
      </c>
      <c r="K26" s="167">
        <f ca="1"/>
        <v>4.7</v>
      </c>
      <c r="L26" s="167" t="e">
        <f ca="1"/>
        <v>#VALUE!</v>
      </c>
      <c r="AA26">
        <v>31</v>
      </c>
      <c r="AB26">
        <v>2</v>
      </c>
      <c r="AC26" t="str">
        <v>99DX531</v>
      </c>
      <c r="AD26">
        <v>27</v>
      </c>
      <c r="AE26" t="str">
        <v>single</v>
      </c>
    </row>
    <row r="27" spans="1:31" hidden="1" x14ac:dyDescent="0.25">
      <c r="A27">
        <v>26</v>
      </c>
      <c r="B27">
        <v>2025</v>
      </c>
      <c r="C27">
        <v>1</v>
      </c>
      <c r="D27">
        <v>33</v>
      </c>
      <c r="E27">
        <v>5</v>
      </c>
      <c r="F27" t="str">
        <v/>
      </c>
      <c r="G27" s="223">
        <v>1736</v>
      </c>
      <c r="H27" t="str">
        <v/>
      </c>
      <c r="I27" t="str">
        <v/>
      </c>
      <c r="J27">
        <v>5</v>
      </c>
      <c r="K27" s="167">
        <f ca="1"/>
        <v>3.85</v>
      </c>
      <c r="L27" s="167">
        <f ca="1"/>
        <v>6683.6</v>
      </c>
      <c r="AA27">
        <v>31</v>
      </c>
      <c r="AB27">
        <v>2</v>
      </c>
      <c r="AC27" t="str">
        <v>15BZ942</v>
      </c>
      <c r="AD27">
        <v>29</v>
      </c>
      <c r="AE27" t="str">
        <v>single</v>
      </c>
    </row>
    <row r="28" spans="1:31" hidden="1" x14ac:dyDescent="0.25">
      <c r="A28">
        <v>27</v>
      </c>
      <c r="B28">
        <v>2025</v>
      </c>
      <c r="C28">
        <v>1</v>
      </c>
      <c r="D28">
        <v>33</v>
      </c>
      <c r="E28">
        <v>5</v>
      </c>
      <c r="F28" t="str">
        <v/>
      </c>
      <c r="G28" s="223" t="str">
        <v/>
      </c>
      <c r="H28" t="str">
        <v/>
      </c>
      <c r="I28" t="str">
        <v/>
      </c>
      <c r="J28">
        <v>6</v>
      </c>
      <c r="K28" s="167">
        <f ca="1"/>
        <v>1.5</v>
      </c>
      <c r="L28" s="167" t="e">
        <f ca="1"/>
        <v>#VALUE!</v>
      </c>
      <c r="AA28">
        <v>31</v>
      </c>
      <c r="AB28">
        <v>2</v>
      </c>
      <c r="AC28" t="str">
        <v>99BT339</v>
      </c>
      <c r="AD28">
        <v>26</v>
      </c>
      <c r="AE28" t="str">
        <v>single</v>
      </c>
    </row>
    <row r="29" spans="1:31" hidden="1" x14ac:dyDescent="0.25">
      <c r="A29">
        <v>28</v>
      </c>
      <c r="B29">
        <v>2025</v>
      </c>
      <c r="C29">
        <v>2</v>
      </c>
      <c r="D29">
        <v>11</v>
      </c>
      <c r="E29">
        <v>2</v>
      </c>
      <c r="F29" t="str">
        <v/>
      </c>
      <c r="G29" s="223">
        <v>1</v>
      </c>
      <c r="H29" t="str">
        <v/>
      </c>
      <c r="I29" t="str">
        <v/>
      </c>
      <c r="J29">
        <v>1</v>
      </c>
      <c r="K29" s="167">
        <f ca="1"/>
        <v>5500</v>
      </c>
      <c r="L29" s="167">
        <f ca="1"/>
        <v>5500</v>
      </c>
      <c r="AA29">
        <v>31</v>
      </c>
      <c r="AB29">
        <v>2</v>
      </c>
      <c r="AC29" t="str">
        <v>77ET143</v>
      </c>
      <c r="AD29">
        <v>25</v>
      </c>
      <c r="AE29" t="str">
        <v>single</v>
      </c>
    </row>
    <row r="30" spans="1:31" hidden="1" x14ac:dyDescent="0.25">
      <c r="A30">
        <v>29</v>
      </c>
      <c r="B30">
        <v>2025</v>
      </c>
      <c r="C30">
        <v>2</v>
      </c>
      <c r="D30">
        <v>11</v>
      </c>
      <c r="E30">
        <v>2</v>
      </c>
      <c r="F30" t="str">
        <v/>
      </c>
      <c r="G30" s="223">
        <v>3.0999999999999996</v>
      </c>
      <c r="H30" t="str">
        <v/>
      </c>
      <c r="I30" t="str">
        <v/>
      </c>
      <c r="J30">
        <v>2</v>
      </c>
      <c r="K30" s="167">
        <f ca="1"/>
        <v>200</v>
      </c>
      <c r="L30" s="167">
        <f ca="1"/>
        <v>619.99999999999989</v>
      </c>
      <c r="AA30">
        <v>31</v>
      </c>
      <c r="AB30">
        <v>2</v>
      </c>
      <c r="AC30" t="str">
        <v>50DK730</v>
      </c>
      <c r="AD30">
        <v>28</v>
      </c>
      <c r="AE30" t="str">
        <v>single</v>
      </c>
    </row>
    <row r="31" spans="1:31" hidden="1" x14ac:dyDescent="0.25">
      <c r="A31">
        <v>30</v>
      </c>
      <c r="B31">
        <v>2025</v>
      </c>
      <c r="C31">
        <v>2</v>
      </c>
      <c r="D31">
        <v>11</v>
      </c>
      <c r="E31">
        <v>2</v>
      </c>
      <c r="F31" t="str">
        <v/>
      </c>
      <c r="G31" s="223">
        <v>18</v>
      </c>
      <c r="H31" t="str">
        <v/>
      </c>
      <c r="I31" t="str">
        <v/>
      </c>
      <c r="J31">
        <v>3</v>
      </c>
      <c r="K31" s="167">
        <f ca="1"/>
        <v>100</v>
      </c>
      <c r="L31" s="167">
        <f ca="1"/>
        <v>1800</v>
      </c>
      <c r="AA31">
        <v>31</v>
      </c>
      <c r="AB31">
        <v>2</v>
      </c>
      <c r="AC31" t="str">
        <v>99MN472</v>
      </c>
      <c r="AD31">
        <v>29</v>
      </c>
      <c r="AE31" t="str">
        <v>single</v>
      </c>
    </row>
    <row r="32" spans="1:31" hidden="1" x14ac:dyDescent="0.25">
      <c r="A32">
        <v>31</v>
      </c>
      <c r="B32">
        <v>2025</v>
      </c>
      <c r="C32">
        <v>2</v>
      </c>
      <c r="D32">
        <v>11</v>
      </c>
      <c r="E32">
        <v>2</v>
      </c>
      <c r="F32" t="str">
        <v/>
      </c>
      <c r="G32" s="223">
        <v>1</v>
      </c>
      <c r="H32" t="str">
        <v/>
      </c>
      <c r="I32" t="str">
        <v/>
      </c>
      <c r="J32">
        <v>4</v>
      </c>
      <c r="K32" s="167">
        <f ca="1"/>
        <v>300</v>
      </c>
      <c r="L32" s="167">
        <f ca="1"/>
        <v>300</v>
      </c>
      <c r="AA32">
        <v>31</v>
      </c>
      <c r="AB32">
        <v>2</v>
      </c>
      <c r="AC32" t="str">
        <v>52BK688</v>
      </c>
      <c r="AD32">
        <v>25</v>
      </c>
      <c r="AE32" t="str">
        <v>single</v>
      </c>
    </row>
    <row r="33" spans="1:31" hidden="1" x14ac:dyDescent="0.25">
      <c r="A33">
        <v>32</v>
      </c>
      <c r="B33">
        <v>2025</v>
      </c>
      <c r="C33">
        <v>2</v>
      </c>
      <c r="D33">
        <v>11</v>
      </c>
      <c r="E33">
        <v>2</v>
      </c>
      <c r="F33" t="str">
        <v/>
      </c>
      <c r="G33" s="223">
        <v>1</v>
      </c>
      <c r="H33" t="str">
        <v/>
      </c>
      <c r="I33" t="str">
        <v/>
      </c>
      <c r="J33">
        <v>5</v>
      </c>
      <c r="K33" s="167">
        <f ca="1"/>
        <v>540</v>
      </c>
      <c r="L33" s="167">
        <f ca="1"/>
        <v>540</v>
      </c>
      <c r="AA33">
        <v>31</v>
      </c>
      <c r="AB33">
        <v>2</v>
      </c>
      <c r="AC33" t="str">
        <v>10RN527</v>
      </c>
      <c r="AD33">
        <v>18</v>
      </c>
      <c r="AE33" t="str">
        <v>single</v>
      </c>
    </row>
    <row r="34" spans="1:31" hidden="1" x14ac:dyDescent="0.25">
      <c r="A34">
        <v>33</v>
      </c>
      <c r="B34">
        <v>2025</v>
      </c>
      <c r="C34">
        <v>2</v>
      </c>
      <c r="D34">
        <v>14</v>
      </c>
      <c r="E34">
        <v>2</v>
      </c>
      <c r="F34" t="str">
        <v/>
      </c>
      <c r="G34" s="223">
        <v>1.0000000000000002</v>
      </c>
      <c r="H34" t="str">
        <v/>
      </c>
      <c r="I34" t="str">
        <v/>
      </c>
      <c r="J34">
        <v>1</v>
      </c>
      <c r="K34" s="167">
        <f ca="1"/>
        <v>730</v>
      </c>
      <c r="L34" s="167">
        <f ca="1"/>
        <v>730.00000000000011</v>
      </c>
      <c r="AA34">
        <v>31</v>
      </c>
      <c r="AB34">
        <v>2</v>
      </c>
      <c r="AC34" t="str">
        <v>77RN868</v>
      </c>
      <c r="AD34">
        <v>10</v>
      </c>
      <c r="AE34" t="str">
        <v>single</v>
      </c>
    </row>
    <row r="35" spans="1:31" hidden="1" x14ac:dyDescent="0.25">
      <c r="A35">
        <v>34</v>
      </c>
      <c r="B35">
        <v>2025</v>
      </c>
      <c r="C35">
        <v>2</v>
      </c>
      <c r="D35">
        <v>14</v>
      </c>
      <c r="E35">
        <v>2</v>
      </c>
      <c r="F35" t="str">
        <v/>
      </c>
      <c r="G35" s="223">
        <v>1.0000000000000002</v>
      </c>
      <c r="H35" t="str">
        <v/>
      </c>
      <c r="I35" t="str">
        <v/>
      </c>
      <c r="J35">
        <v>2</v>
      </c>
      <c r="K35" s="167">
        <f ca="1"/>
        <v>1100</v>
      </c>
      <c r="L35" s="167">
        <f ca="1"/>
        <v>1100.0000000000002</v>
      </c>
      <c r="AA35">
        <v>31</v>
      </c>
      <c r="AB35">
        <v>2</v>
      </c>
      <c r="AC35" t="str">
        <v>99LM412</v>
      </c>
      <c r="AD35">
        <v>4</v>
      </c>
      <c r="AE35" t="str">
        <v>single</v>
      </c>
    </row>
    <row r="36" spans="1:31" hidden="1" x14ac:dyDescent="0.25">
      <c r="A36">
        <v>35</v>
      </c>
      <c r="B36">
        <v>2025</v>
      </c>
      <c r="C36">
        <v>2</v>
      </c>
      <c r="D36">
        <v>14</v>
      </c>
      <c r="E36">
        <v>2</v>
      </c>
      <c r="F36" t="str">
        <v/>
      </c>
      <c r="G36" s="223">
        <v>1.0000000000000002</v>
      </c>
      <c r="H36" t="str">
        <v/>
      </c>
      <c r="I36" t="str">
        <v/>
      </c>
      <c r="J36">
        <v>3</v>
      </c>
      <c r="K36" s="167">
        <f ca="1"/>
        <v>900</v>
      </c>
      <c r="L36" s="167">
        <f ca="1"/>
        <v>900.00000000000023</v>
      </c>
      <c r="AA36">
        <v>31</v>
      </c>
      <c r="AB36">
        <v>2</v>
      </c>
      <c r="AC36" t="str">
        <v>99TV366</v>
      </c>
      <c r="AD36">
        <v>14</v>
      </c>
      <c r="AE36" t="str">
        <v>single</v>
      </c>
    </row>
    <row r="37" spans="1:31" hidden="1" x14ac:dyDescent="0.25">
      <c r="A37">
        <v>36</v>
      </c>
      <c r="B37">
        <v>2025</v>
      </c>
      <c r="C37">
        <v>2</v>
      </c>
      <c r="D37">
        <v>14</v>
      </c>
      <c r="E37">
        <v>2</v>
      </c>
      <c r="F37" t="str">
        <v/>
      </c>
      <c r="G37" s="223">
        <v>1.0000000000000002</v>
      </c>
      <c r="H37" t="str">
        <v/>
      </c>
      <c r="I37" t="str">
        <v/>
      </c>
      <c r="J37">
        <v>4</v>
      </c>
      <c r="K37" s="167">
        <f ca="1"/>
        <v>800</v>
      </c>
      <c r="L37" s="167">
        <f ca="1"/>
        <v>800.00000000000023</v>
      </c>
      <c r="AA37">
        <v>31</v>
      </c>
      <c r="AB37">
        <v>3</v>
      </c>
      <c r="AC37" t="str">
        <v>99HZ395</v>
      </c>
      <c r="AD37">
        <v>33</v>
      </c>
      <c r="AE37" t="str">
        <v>single</v>
      </c>
    </row>
    <row r="38" spans="1:31" hidden="1" x14ac:dyDescent="0.25">
      <c r="A38">
        <v>37</v>
      </c>
      <c r="B38">
        <v>2025</v>
      </c>
      <c r="C38">
        <v>2</v>
      </c>
      <c r="D38">
        <v>14</v>
      </c>
      <c r="E38">
        <v>2</v>
      </c>
      <c r="F38" t="str">
        <v/>
      </c>
      <c r="G38" s="223">
        <v>1.0000000000000002</v>
      </c>
      <c r="H38" t="str">
        <v/>
      </c>
      <c r="I38" t="str">
        <v/>
      </c>
      <c r="J38">
        <v>5</v>
      </c>
      <c r="K38" s="167">
        <f ca="1"/>
        <v>900</v>
      </c>
      <c r="L38" s="167">
        <f ca="1"/>
        <v>900.00000000000023</v>
      </c>
      <c r="AA38">
        <v>31</v>
      </c>
      <c r="AB38">
        <v>3</v>
      </c>
      <c r="AC38" t="str">
        <v>90ZP408</v>
      </c>
      <c r="AD38">
        <v>30</v>
      </c>
      <c r="AE38" t="str">
        <v>single</v>
      </c>
    </row>
    <row r="39" spans="1:31" hidden="1" x14ac:dyDescent="0.25">
      <c r="A39">
        <v>38</v>
      </c>
      <c r="B39">
        <v>2025</v>
      </c>
      <c r="C39">
        <v>2</v>
      </c>
      <c r="D39">
        <v>14</v>
      </c>
      <c r="E39">
        <v>2</v>
      </c>
      <c r="F39" t="str">
        <v/>
      </c>
      <c r="G39" s="223">
        <v>234</v>
      </c>
      <c r="H39" t="str">
        <v/>
      </c>
      <c r="I39" t="str">
        <v/>
      </c>
      <c r="J39">
        <v>8</v>
      </c>
      <c r="K39" s="167">
        <f ca="1"/>
        <v>2</v>
      </c>
      <c r="L39" s="167">
        <f ca="1"/>
        <v>468</v>
      </c>
      <c r="AA39">
        <v>31</v>
      </c>
      <c r="AB39">
        <v>3</v>
      </c>
      <c r="AC39" t="str">
        <v>66CC029</v>
      </c>
      <c r="AD39">
        <v>30</v>
      </c>
      <c r="AE39" t="str">
        <v>single</v>
      </c>
    </row>
    <row r="40" spans="1:31" hidden="1" x14ac:dyDescent="0.25">
      <c r="A40">
        <v>39</v>
      </c>
      <c r="B40">
        <v>2025</v>
      </c>
      <c r="C40">
        <v>2</v>
      </c>
      <c r="D40">
        <v>14</v>
      </c>
      <c r="E40">
        <v>2</v>
      </c>
      <c r="F40" t="str">
        <v/>
      </c>
      <c r="G40" s="223">
        <v>604</v>
      </c>
      <c r="H40" t="str">
        <v/>
      </c>
      <c r="I40" t="str">
        <v/>
      </c>
      <c r="J40">
        <v>10</v>
      </c>
      <c r="K40" s="167">
        <f ca="1"/>
        <v>2</v>
      </c>
      <c r="L40" s="167">
        <f ca="1"/>
        <v>1208</v>
      </c>
      <c r="AA40">
        <v>31</v>
      </c>
      <c r="AB40">
        <v>3</v>
      </c>
      <c r="AC40" t="str">
        <v>77QK725</v>
      </c>
      <c r="AD40">
        <v>20</v>
      </c>
      <c r="AE40" t="str">
        <v>single</v>
      </c>
    </row>
    <row r="41" spans="1:31" hidden="1" x14ac:dyDescent="0.25">
      <c r="A41">
        <v>40</v>
      </c>
      <c r="B41">
        <v>2025</v>
      </c>
      <c r="C41">
        <v>2</v>
      </c>
      <c r="D41">
        <v>30</v>
      </c>
      <c r="E41">
        <v>2</v>
      </c>
      <c r="F41" t="str">
        <v>99AS882</v>
      </c>
      <c r="G41" s="223">
        <v>30</v>
      </c>
      <c r="H41" t="str">
        <v>single</v>
      </c>
      <c r="I41" t="str">
        <v/>
      </c>
      <c r="J41">
        <v>1</v>
      </c>
      <c r="K41" s="167">
        <f ca="1"/>
        <v>183.33333333333334</v>
      </c>
      <c r="L41" s="167">
        <f ca="1"/>
        <v>5500</v>
      </c>
      <c r="AA41">
        <v>31</v>
      </c>
      <c r="AB41">
        <v>3</v>
      </c>
      <c r="AC41" t="str">
        <v>77QK725</v>
      </c>
      <c r="AD41" t="str">
        <v/>
      </c>
      <c r="AE41" t="str">
        <v>single</v>
      </c>
    </row>
    <row r="42" spans="1:31" hidden="1" x14ac:dyDescent="0.25">
      <c r="A42">
        <v>41</v>
      </c>
      <c r="B42">
        <v>2025</v>
      </c>
      <c r="C42">
        <v>2</v>
      </c>
      <c r="D42">
        <v>30</v>
      </c>
      <c r="E42">
        <v>2</v>
      </c>
      <c r="F42" t="str">
        <v>99JE233</v>
      </c>
      <c r="G42" s="223">
        <v>30</v>
      </c>
      <c r="H42" t="str">
        <v>single</v>
      </c>
      <c r="I42" t="str">
        <v/>
      </c>
      <c r="J42">
        <v>2</v>
      </c>
      <c r="K42" s="167">
        <f ca="1"/>
        <v>183.33333333333334</v>
      </c>
      <c r="L42" s="167">
        <f ca="1"/>
        <v>5500</v>
      </c>
      <c r="AA42">
        <v>31</v>
      </c>
      <c r="AB42">
        <v>3</v>
      </c>
      <c r="AC42" t="str">
        <v>77AT386</v>
      </c>
      <c r="AD42">
        <v>30</v>
      </c>
      <c r="AE42" t="str">
        <v>single</v>
      </c>
    </row>
    <row r="43" spans="1:31" hidden="1" x14ac:dyDescent="0.25">
      <c r="A43">
        <v>42</v>
      </c>
      <c r="B43">
        <v>2025</v>
      </c>
      <c r="C43">
        <v>2</v>
      </c>
      <c r="D43">
        <v>31</v>
      </c>
      <c r="E43">
        <v>1</v>
      </c>
      <c r="F43" t="str">
        <v>99LT168</v>
      </c>
      <c r="G43" s="223">
        <v>28</v>
      </c>
      <c r="H43" t="str">
        <v>single</v>
      </c>
      <c r="I43" t="str">
        <v/>
      </c>
      <c r="J43">
        <v>1</v>
      </c>
      <c r="K43" s="167">
        <f ca="1"/>
        <v>73.33</v>
      </c>
      <c r="L43" s="167">
        <f ca="1"/>
        <v>2053.2399999999998</v>
      </c>
      <c r="AA43">
        <v>31</v>
      </c>
      <c r="AB43">
        <v>3</v>
      </c>
      <c r="AC43" t="str">
        <v>90SL686</v>
      </c>
      <c r="AD43">
        <v>31</v>
      </c>
      <c r="AE43" t="str">
        <v>single</v>
      </c>
    </row>
    <row r="44" spans="1:31" hidden="1" x14ac:dyDescent="0.25">
      <c r="A44">
        <v>43</v>
      </c>
      <c r="B44">
        <v>2025</v>
      </c>
      <c r="C44">
        <v>2</v>
      </c>
      <c r="D44">
        <v>31</v>
      </c>
      <c r="E44">
        <v>1</v>
      </c>
      <c r="F44" t="str">
        <v>99HZ395</v>
      </c>
      <c r="G44" s="223">
        <v>28</v>
      </c>
      <c r="H44" t="str">
        <v>single</v>
      </c>
      <c r="I44" t="str">
        <v/>
      </c>
      <c r="J44">
        <v>3</v>
      </c>
      <c r="K44" s="167">
        <f ca="1"/>
        <v>65</v>
      </c>
      <c r="L44" s="167">
        <f ca="1"/>
        <v>1820</v>
      </c>
      <c r="AA44">
        <v>31</v>
      </c>
      <c r="AB44">
        <v>3</v>
      </c>
      <c r="AC44" t="str">
        <v>55CB633</v>
      </c>
      <c r="AD44">
        <v>30</v>
      </c>
      <c r="AE44" t="str">
        <v>single</v>
      </c>
    </row>
    <row r="45" spans="1:31" hidden="1" x14ac:dyDescent="0.25">
      <c r="A45">
        <v>44</v>
      </c>
      <c r="B45">
        <v>2025</v>
      </c>
      <c r="C45">
        <v>2</v>
      </c>
      <c r="D45">
        <v>31</v>
      </c>
      <c r="E45">
        <v>1</v>
      </c>
      <c r="F45" t="str">
        <v>99FB123</v>
      </c>
      <c r="G45" s="223">
        <v>6</v>
      </c>
      <c r="H45" t="str">
        <v>single</v>
      </c>
      <c r="I45" t="str">
        <v/>
      </c>
      <c r="J45">
        <v>9</v>
      </c>
      <c r="K45" s="167">
        <f ca="1"/>
        <v>73.33</v>
      </c>
      <c r="L45" s="167">
        <f ca="1"/>
        <v>439.98</v>
      </c>
      <c r="AA45">
        <v>31</v>
      </c>
      <c r="AB45">
        <v>3</v>
      </c>
      <c r="AC45" t="str">
        <v>99BT339</v>
      </c>
      <c r="AD45">
        <v>30</v>
      </c>
      <c r="AE45" t="str">
        <v>single</v>
      </c>
    </row>
    <row r="46" spans="1:31" hidden="1" x14ac:dyDescent="0.25">
      <c r="A46">
        <v>45</v>
      </c>
      <c r="B46">
        <v>2025</v>
      </c>
      <c r="C46">
        <v>2</v>
      </c>
      <c r="D46">
        <v>31</v>
      </c>
      <c r="E46">
        <v>1</v>
      </c>
      <c r="F46" t="str">
        <v>90OV187</v>
      </c>
      <c r="G46" s="223">
        <v>17</v>
      </c>
      <c r="H46" t="str">
        <v>single</v>
      </c>
      <c r="I46" t="str">
        <v/>
      </c>
      <c r="J46">
        <v>5</v>
      </c>
      <c r="K46" s="167">
        <f ca="1"/>
        <v>73.33</v>
      </c>
      <c r="L46" s="167">
        <f ca="1"/>
        <v>1246.6099999999999</v>
      </c>
      <c r="AA46">
        <v>31</v>
      </c>
      <c r="AB46">
        <v>3</v>
      </c>
      <c r="AC46" t="str">
        <v>77ET143</v>
      </c>
      <c r="AD46">
        <v>30</v>
      </c>
      <c r="AE46" t="str">
        <v>single</v>
      </c>
    </row>
    <row r="47" spans="1:31" hidden="1" x14ac:dyDescent="0.25">
      <c r="A47">
        <v>46</v>
      </c>
      <c r="B47">
        <v>2025</v>
      </c>
      <c r="C47">
        <v>2</v>
      </c>
      <c r="D47">
        <v>31</v>
      </c>
      <c r="E47">
        <v>1</v>
      </c>
      <c r="F47" t="str">
        <v>77UG347</v>
      </c>
      <c r="G47" s="223">
        <v>6</v>
      </c>
      <c r="H47" t="str">
        <v>single</v>
      </c>
      <c r="I47" t="str">
        <v/>
      </c>
      <c r="J47">
        <v>7</v>
      </c>
      <c r="K47" s="167">
        <f ca="1"/>
        <v>65</v>
      </c>
      <c r="L47" s="167">
        <f ca="1"/>
        <v>390</v>
      </c>
      <c r="AA47">
        <v>31</v>
      </c>
      <c r="AB47">
        <v>3</v>
      </c>
      <c r="AC47" t="str">
        <v>50DK730</v>
      </c>
      <c r="AD47">
        <v>30</v>
      </c>
      <c r="AE47" t="str">
        <v>single</v>
      </c>
    </row>
    <row r="48" spans="1:31" hidden="1" x14ac:dyDescent="0.25">
      <c r="A48">
        <v>47</v>
      </c>
      <c r="B48">
        <v>2025</v>
      </c>
      <c r="C48">
        <v>2</v>
      </c>
      <c r="D48">
        <v>31</v>
      </c>
      <c r="E48">
        <v>1</v>
      </c>
      <c r="F48" t="str">
        <v>90ZP408</v>
      </c>
      <c r="G48" s="223">
        <v>17</v>
      </c>
      <c r="H48" t="str">
        <v>single</v>
      </c>
      <c r="I48" t="str">
        <v/>
      </c>
      <c r="J48">
        <v>11</v>
      </c>
      <c r="K48" s="167">
        <f ca="1"/>
        <v>55.36</v>
      </c>
      <c r="L48" s="167">
        <f ca="1"/>
        <v>941.12</v>
      </c>
      <c r="AA48">
        <v>31</v>
      </c>
      <c r="AB48">
        <v>3</v>
      </c>
      <c r="AC48" t="str">
        <v>99MN472</v>
      </c>
      <c r="AD48">
        <v>30</v>
      </c>
      <c r="AE48" t="str">
        <v>single</v>
      </c>
    </row>
    <row r="49" spans="1:31" hidden="1" x14ac:dyDescent="0.25">
      <c r="A49">
        <v>48</v>
      </c>
      <c r="B49">
        <v>2025</v>
      </c>
      <c r="C49">
        <v>2</v>
      </c>
      <c r="D49">
        <v>31</v>
      </c>
      <c r="E49">
        <v>1</v>
      </c>
      <c r="F49" t="str">
        <v>66CC029</v>
      </c>
      <c r="G49" s="223">
        <v>19</v>
      </c>
      <c r="H49" t="str">
        <v>single</v>
      </c>
      <c r="I49" t="str">
        <v/>
      </c>
      <c r="J49">
        <v>15</v>
      </c>
      <c r="K49" s="167">
        <f ca="1"/>
        <v>55.36</v>
      </c>
      <c r="L49" s="167">
        <f ca="1"/>
        <v>1051.8399999999999</v>
      </c>
      <c r="AA49">
        <v>31</v>
      </c>
      <c r="AB49">
        <v>3</v>
      </c>
      <c r="AC49" t="str">
        <v>52BK688</v>
      </c>
      <c r="AD49">
        <v>5</v>
      </c>
      <c r="AE49" t="str">
        <v>single</v>
      </c>
    </row>
    <row r="50" spans="1:31" hidden="1" x14ac:dyDescent="0.25">
      <c r="A50">
        <v>49</v>
      </c>
      <c r="B50">
        <v>2025</v>
      </c>
      <c r="C50">
        <v>2</v>
      </c>
      <c r="D50">
        <v>31</v>
      </c>
      <c r="E50">
        <v>1</v>
      </c>
      <c r="F50" t="str">
        <v>77QK725</v>
      </c>
      <c r="G50" s="223">
        <v>7</v>
      </c>
      <c r="H50" t="str">
        <v>single</v>
      </c>
      <c r="I50" t="str">
        <v/>
      </c>
      <c r="J50">
        <v>17</v>
      </c>
      <c r="K50" s="167">
        <f ca="1"/>
        <v>275</v>
      </c>
      <c r="L50" s="167">
        <f ca="1"/>
        <v>1925</v>
      </c>
      <c r="AA50">
        <v>31</v>
      </c>
      <c r="AB50">
        <v>3</v>
      </c>
      <c r="AC50" t="str">
        <v>77RN868</v>
      </c>
      <c r="AD50">
        <v>31</v>
      </c>
      <c r="AE50" t="str">
        <v>single</v>
      </c>
    </row>
    <row r="51" spans="1:31" hidden="1" x14ac:dyDescent="0.25">
      <c r="A51">
        <v>50</v>
      </c>
      <c r="B51">
        <v>2025</v>
      </c>
      <c r="C51">
        <v>2</v>
      </c>
      <c r="D51">
        <v>31</v>
      </c>
      <c r="E51">
        <v>1</v>
      </c>
      <c r="F51" t="str">
        <v>77AT386</v>
      </c>
      <c r="G51" s="223">
        <v>9</v>
      </c>
      <c r="H51" t="str">
        <v>single</v>
      </c>
      <c r="I51" t="str">
        <v/>
      </c>
      <c r="J51">
        <v>13</v>
      </c>
      <c r="K51" s="167">
        <f ca="1"/>
        <v>46.67</v>
      </c>
      <c r="L51" s="167">
        <f ca="1"/>
        <v>420.03000000000003</v>
      </c>
      <c r="AA51">
        <v>31</v>
      </c>
      <c r="AB51">
        <v>3</v>
      </c>
      <c r="AC51" t="str">
        <v>99LM412</v>
      </c>
      <c r="AD51">
        <v>30</v>
      </c>
      <c r="AE51" t="str">
        <v>single</v>
      </c>
    </row>
    <row r="52" spans="1:31" hidden="1" x14ac:dyDescent="0.25">
      <c r="A52">
        <v>51</v>
      </c>
      <c r="B52">
        <v>2025</v>
      </c>
      <c r="C52">
        <v>2</v>
      </c>
      <c r="D52">
        <v>31</v>
      </c>
      <c r="E52">
        <v>1</v>
      </c>
      <c r="F52" t="str">
        <v>99LT168</v>
      </c>
      <c r="G52" s="223">
        <v>1.9999999999999964</v>
      </c>
      <c r="H52" t="str">
        <v>hour</v>
      </c>
      <c r="I52" t="str">
        <v/>
      </c>
      <c r="J52">
        <v>2</v>
      </c>
      <c r="K52" s="167">
        <f ca="1"/>
        <v>7.3330000000000002</v>
      </c>
      <c r="L52" s="167">
        <f ca="1"/>
        <v>14.665999999999974</v>
      </c>
      <c r="AA52">
        <v>31</v>
      </c>
      <c r="AB52">
        <v>3</v>
      </c>
      <c r="AC52" t="str">
        <v>50BD165</v>
      </c>
      <c r="AD52">
        <v>25</v>
      </c>
      <c r="AE52" t="str">
        <v>single</v>
      </c>
    </row>
    <row r="53" spans="1:31" hidden="1" x14ac:dyDescent="0.25">
      <c r="A53">
        <v>52</v>
      </c>
      <c r="B53">
        <v>2025</v>
      </c>
      <c r="C53">
        <v>2</v>
      </c>
      <c r="D53">
        <v>31</v>
      </c>
      <c r="E53">
        <v>1</v>
      </c>
      <c r="F53" t="str">
        <v>90ZP408</v>
      </c>
      <c r="G53" s="223">
        <v>16.999999999999972</v>
      </c>
      <c r="H53" t="str">
        <v>hour</v>
      </c>
      <c r="I53" t="str">
        <v/>
      </c>
      <c r="J53">
        <v>12</v>
      </c>
      <c r="K53" s="167">
        <f ca="1"/>
        <v>5.5359999999999996</v>
      </c>
      <c r="L53" s="167">
        <f ca="1"/>
        <v>94.111999999999838</v>
      </c>
      <c r="AA53">
        <v>31</v>
      </c>
      <c r="AB53">
        <v>3</v>
      </c>
      <c r="AC53" t="str">
        <v>77QE133</v>
      </c>
      <c r="AD53">
        <v>7</v>
      </c>
      <c r="AE53" t="str">
        <v>single</v>
      </c>
    </row>
    <row r="54" spans="1:31" hidden="1" x14ac:dyDescent="0.25">
      <c r="A54">
        <v>53</v>
      </c>
      <c r="B54">
        <v>2025</v>
      </c>
      <c r="C54">
        <v>2</v>
      </c>
      <c r="D54">
        <v>31</v>
      </c>
      <c r="E54">
        <v>1</v>
      </c>
      <c r="F54" t="str">
        <v>66CC029</v>
      </c>
      <c r="G54" s="223">
        <v>18.999999999999972</v>
      </c>
      <c r="H54" t="str">
        <v>hour</v>
      </c>
      <c r="I54" t="str">
        <v/>
      </c>
      <c r="J54">
        <v>16</v>
      </c>
      <c r="K54" s="167">
        <f ca="1"/>
        <v>5.5359999999999996</v>
      </c>
      <c r="L54" s="167">
        <f ca="1"/>
        <v>105.18399999999984</v>
      </c>
      <c r="AA54">
        <v>31</v>
      </c>
      <c r="AB54">
        <v>4</v>
      </c>
      <c r="AC54" t="str">
        <v>99HZ395</v>
      </c>
      <c r="AD54">
        <v>30</v>
      </c>
      <c r="AE54" t="str">
        <v>single</v>
      </c>
    </row>
    <row r="55" spans="1:31" hidden="1" x14ac:dyDescent="0.25">
      <c r="A55">
        <v>54</v>
      </c>
      <c r="B55">
        <v>2025</v>
      </c>
      <c r="C55">
        <v>2</v>
      </c>
      <c r="D55">
        <v>31</v>
      </c>
      <c r="E55">
        <v>1</v>
      </c>
      <c r="F55" t="str">
        <v/>
      </c>
      <c r="G55" s="223">
        <v>2956</v>
      </c>
      <c r="H55" t="str">
        <v/>
      </c>
      <c r="I55" t="str">
        <v/>
      </c>
      <c r="J55" t="str">
        <v>M-1</v>
      </c>
      <c r="K55" s="167">
        <f ca="1"/>
        <v>1</v>
      </c>
      <c r="L55" s="167">
        <f ca="1"/>
        <v>2956</v>
      </c>
      <c r="AA55">
        <v>31</v>
      </c>
      <c r="AB55">
        <v>4</v>
      </c>
      <c r="AC55" t="str">
        <v>90ZP408</v>
      </c>
      <c r="AD55">
        <v>26</v>
      </c>
      <c r="AE55" t="str">
        <v>single</v>
      </c>
    </row>
    <row r="56" spans="1:31" hidden="1" x14ac:dyDescent="0.25">
      <c r="A56">
        <v>55</v>
      </c>
      <c r="B56">
        <v>2025</v>
      </c>
      <c r="C56">
        <v>2</v>
      </c>
      <c r="D56">
        <v>31</v>
      </c>
      <c r="E56">
        <v>1</v>
      </c>
      <c r="F56" t="str">
        <v/>
      </c>
      <c r="G56" s="223">
        <v>2956</v>
      </c>
      <c r="H56" t="str">
        <v/>
      </c>
      <c r="I56" t="str">
        <v/>
      </c>
      <c r="J56" t="str">
        <v>R-1</v>
      </c>
      <c r="K56" s="167">
        <f ca="1"/>
        <v>-1</v>
      </c>
      <c r="L56" s="167">
        <f ca="1"/>
        <v>-2956</v>
      </c>
      <c r="AA56">
        <v>31</v>
      </c>
      <c r="AB56">
        <v>4</v>
      </c>
      <c r="AC56" t="str">
        <v>66CC029</v>
      </c>
      <c r="AD56">
        <v>31</v>
      </c>
      <c r="AE56" t="str">
        <v>single</v>
      </c>
    </row>
    <row r="57" spans="1:31" hidden="1" x14ac:dyDescent="0.25">
      <c r="A57">
        <v>56</v>
      </c>
      <c r="B57">
        <v>2025</v>
      </c>
      <c r="C57">
        <v>2</v>
      </c>
      <c r="D57">
        <v>33</v>
      </c>
      <c r="E57">
        <v>6</v>
      </c>
      <c r="F57" t="str">
        <v/>
      </c>
      <c r="G57" s="223">
        <v>-13344</v>
      </c>
      <c r="H57" t="str">
        <v/>
      </c>
      <c r="I57" t="str">
        <v/>
      </c>
      <c r="J57">
        <v>1</v>
      </c>
      <c r="K57" s="167">
        <f ca="1"/>
        <v>1.5</v>
      </c>
      <c r="L57" s="167">
        <f ca="1"/>
        <v>-20016</v>
      </c>
      <c r="AA57">
        <v>31</v>
      </c>
      <c r="AB57">
        <v>4</v>
      </c>
      <c r="AC57" t="str">
        <v>77QK725</v>
      </c>
      <c r="AD57">
        <v>15</v>
      </c>
      <c r="AE57" t="str">
        <v>single</v>
      </c>
    </row>
    <row r="58" spans="1:31" hidden="1" x14ac:dyDescent="0.25">
      <c r="A58">
        <v>57</v>
      </c>
      <c r="B58">
        <v>2025</v>
      </c>
      <c r="C58">
        <v>2</v>
      </c>
      <c r="D58">
        <v>33</v>
      </c>
      <c r="E58">
        <v>6</v>
      </c>
      <c r="F58" t="str">
        <v/>
      </c>
      <c r="G58" s="223">
        <v>-18963</v>
      </c>
      <c r="H58" t="str">
        <v/>
      </c>
      <c r="I58" t="str">
        <v/>
      </c>
      <c r="J58">
        <v>2</v>
      </c>
      <c r="K58" s="167">
        <f ca="1"/>
        <v>4.7</v>
      </c>
      <c r="L58" s="167">
        <f ca="1"/>
        <v>-89126.1</v>
      </c>
      <c r="AA58">
        <v>31</v>
      </c>
      <c r="AB58">
        <v>4</v>
      </c>
      <c r="AC58" t="str">
        <v>77QK725</v>
      </c>
      <c r="AD58" t="str">
        <v/>
      </c>
      <c r="AE58" t="str">
        <v>single</v>
      </c>
    </row>
    <row r="59" spans="1:31" hidden="1" x14ac:dyDescent="0.25">
      <c r="A59">
        <v>58</v>
      </c>
      <c r="B59">
        <v>2025</v>
      </c>
      <c r="C59">
        <v>2</v>
      </c>
      <c r="D59">
        <v>33</v>
      </c>
      <c r="E59">
        <v>6</v>
      </c>
      <c r="F59" t="str">
        <v/>
      </c>
      <c r="G59" s="223">
        <v>-15716</v>
      </c>
      <c r="H59" t="str">
        <v/>
      </c>
      <c r="I59" t="str">
        <v/>
      </c>
      <c r="J59">
        <v>3</v>
      </c>
      <c r="K59" s="167">
        <f ca="1"/>
        <v>4.7</v>
      </c>
      <c r="L59" s="167">
        <f ca="1"/>
        <v>-73865.2</v>
      </c>
      <c r="AA59">
        <v>31</v>
      </c>
      <c r="AB59">
        <v>4</v>
      </c>
      <c r="AC59" t="str">
        <v>77AT386</v>
      </c>
      <c r="AD59">
        <v>31</v>
      </c>
      <c r="AE59" t="str">
        <v>single</v>
      </c>
    </row>
    <row r="60" spans="1:31" hidden="1" x14ac:dyDescent="0.25">
      <c r="A60">
        <v>59</v>
      </c>
      <c r="B60">
        <v>2025</v>
      </c>
      <c r="C60">
        <v>2</v>
      </c>
      <c r="D60">
        <v>33</v>
      </c>
      <c r="E60">
        <v>6</v>
      </c>
      <c r="F60" t="str">
        <v/>
      </c>
      <c r="G60" s="223">
        <v>-1736</v>
      </c>
      <c r="H60" t="str">
        <v/>
      </c>
      <c r="I60" t="str">
        <v/>
      </c>
      <c r="J60">
        <v>5</v>
      </c>
      <c r="K60" s="167">
        <f ca="1"/>
        <v>3.85</v>
      </c>
      <c r="L60" s="167">
        <f ca="1"/>
        <v>-6683.6</v>
      </c>
      <c r="AA60">
        <v>31</v>
      </c>
      <c r="AB60">
        <v>4</v>
      </c>
      <c r="AC60" t="str">
        <v>90SL686</v>
      </c>
      <c r="AD60">
        <v>31</v>
      </c>
      <c r="AE60" t="str">
        <v>single</v>
      </c>
    </row>
    <row r="61" spans="1:31" hidden="1" x14ac:dyDescent="0.25">
      <c r="A61">
        <v>60</v>
      </c>
      <c r="B61">
        <v>2025</v>
      </c>
      <c r="C61">
        <v>2</v>
      </c>
      <c r="D61">
        <v>33</v>
      </c>
      <c r="E61">
        <v>6</v>
      </c>
      <c r="F61" t="str">
        <v/>
      </c>
      <c r="G61" s="223">
        <v>31353</v>
      </c>
      <c r="H61" t="str">
        <v/>
      </c>
      <c r="I61" t="str">
        <v/>
      </c>
      <c r="J61">
        <v>7</v>
      </c>
      <c r="K61" s="167">
        <f ca="1"/>
        <v>1.45</v>
      </c>
      <c r="L61" s="167">
        <f ca="1"/>
        <v>45461.85</v>
      </c>
      <c r="AA61">
        <v>31</v>
      </c>
      <c r="AB61">
        <v>4</v>
      </c>
      <c r="AC61" t="str">
        <v>55CB633</v>
      </c>
      <c r="AD61">
        <v>29</v>
      </c>
      <c r="AE61" t="str">
        <v>single</v>
      </c>
    </row>
    <row r="62" spans="1:31" hidden="1" x14ac:dyDescent="0.25">
      <c r="A62">
        <v>61</v>
      </c>
      <c r="B62">
        <v>2025</v>
      </c>
      <c r="C62">
        <v>2</v>
      </c>
      <c r="D62">
        <v>33</v>
      </c>
      <c r="E62">
        <v>6</v>
      </c>
      <c r="F62" t="str">
        <v/>
      </c>
      <c r="G62" s="223">
        <v>42009</v>
      </c>
      <c r="H62" t="str">
        <v/>
      </c>
      <c r="I62" t="str">
        <v/>
      </c>
      <c r="J62">
        <v>8</v>
      </c>
      <c r="K62" s="167">
        <f ca="1"/>
        <v>4.2</v>
      </c>
      <c r="L62" s="167">
        <f ca="1"/>
        <v>176437.80000000002</v>
      </c>
      <c r="AA62">
        <v>31</v>
      </c>
      <c r="AB62">
        <v>4</v>
      </c>
      <c r="AC62" t="str">
        <v>99BT339</v>
      </c>
      <c r="AD62">
        <v>39</v>
      </c>
      <c r="AE62" t="str">
        <v>single</v>
      </c>
    </row>
    <row r="63" spans="1:31" hidden="1" x14ac:dyDescent="0.25">
      <c r="A63">
        <v>62</v>
      </c>
      <c r="B63">
        <v>2025</v>
      </c>
      <c r="C63">
        <v>2</v>
      </c>
      <c r="D63">
        <v>33</v>
      </c>
      <c r="E63">
        <v>6</v>
      </c>
      <c r="F63" t="str">
        <v/>
      </c>
      <c r="G63" s="223">
        <v>34740</v>
      </c>
      <c r="H63" t="str">
        <v/>
      </c>
      <c r="I63" t="str">
        <v/>
      </c>
      <c r="J63">
        <v>9</v>
      </c>
      <c r="K63" s="167">
        <f ca="1"/>
        <v>4.2</v>
      </c>
      <c r="L63" s="167">
        <f ca="1"/>
        <v>145908</v>
      </c>
      <c r="AA63">
        <v>31</v>
      </c>
      <c r="AB63">
        <v>4</v>
      </c>
      <c r="AC63" t="str">
        <v>77ET143</v>
      </c>
      <c r="AD63">
        <v>30</v>
      </c>
      <c r="AE63" t="str">
        <v>single</v>
      </c>
    </row>
    <row r="64" spans="1:31" hidden="1" x14ac:dyDescent="0.25">
      <c r="A64">
        <v>63</v>
      </c>
      <c r="B64">
        <v>2025</v>
      </c>
      <c r="C64">
        <v>2</v>
      </c>
      <c r="D64">
        <v>33</v>
      </c>
      <c r="E64">
        <v>6</v>
      </c>
      <c r="F64" t="str">
        <v/>
      </c>
      <c r="G64" s="223">
        <v>3252</v>
      </c>
      <c r="H64" t="str">
        <v/>
      </c>
      <c r="I64" t="str">
        <v/>
      </c>
      <c r="J64">
        <v>11</v>
      </c>
      <c r="K64" s="167">
        <f ca="1"/>
        <v>3.5</v>
      </c>
      <c r="L64" s="167">
        <f ca="1"/>
        <v>11382</v>
      </c>
      <c r="AA64">
        <v>31</v>
      </c>
      <c r="AB64">
        <v>4</v>
      </c>
      <c r="AC64" t="str">
        <v>50DK730</v>
      </c>
      <c r="AD64">
        <v>31</v>
      </c>
      <c r="AE64" t="str">
        <v>single</v>
      </c>
    </row>
    <row r="65" spans="1:31" hidden="1" x14ac:dyDescent="0.25">
      <c r="A65">
        <v>64</v>
      </c>
      <c r="B65">
        <v>2025</v>
      </c>
      <c r="C65">
        <v>3</v>
      </c>
      <c r="D65">
        <v>11</v>
      </c>
      <c r="E65">
        <v>3</v>
      </c>
      <c r="F65" t="str">
        <v/>
      </c>
      <c r="G65" s="223">
        <v>1</v>
      </c>
      <c r="H65" t="str">
        <v/>
      </c>
      <c r="I65" t="str">
        <v/>
      </c>
      <c r="J65">
        <v>1</v>
      </c>
      <c r="K65" s="167">
        <f ca="1"/>
        <v>5500</v>
      </c>
      <c r="L65" s="167">
        <f ca="1"/>
        <v>5500</v>
      </c>
      <c r="AA65">
        <v>31</v>
      </c>
      <c r="AB65">
        <v>4</v>
      </c>
      <c r="AC65" t="str">
        <v>99MN472</v>
      </c>
      <c r="AD65">
        <v>31</v>
      </c>
      <c r="AE65" t="str">
        <v>single</v>
      </c>
    </row>
    <row r="66" spans="1:31" hidden="1" x14ac:dyDescent="0.25">
      <c r="A66">
        <v>65</v>
      </c>
      <c r="B66">
        <v>2025</v>
      </c>
      <c r="C66">
        <v>3</v>
      </c>
      <c r="D66">
        <v>11</v>
      </c>
      <c r="E66">
        <v>3</v>
      </c>
      <c r="F66" t="str">
        <v/>
      </c>
      <c r="G66" s="223">
        <v>13</v>
      </c>
      <c r="H66" t="str">
        <v/>
      </c>
      <c r="I66" t="str">
        <v/>
      </c>
      <c r="J66">
        <v>2</v>
      </c>
      <c r="K66" s="167">
        <f ca="1"/>
        <v>200</v>
      </c>
      <c r="L66" s="167">
        <f ca="1"/>
        <v>2600</v>
      </c>
      <c r="AA66">
        <v>31</v>
      </c>
      <c r="AB66">
        <v>4</v>
      </c>
      <c r="AC66" t="str">
        <v>99LM412</v>
      </c>
      <c r="AD66">
        <v>31</v>
      </c>
      <c r="AE66" t="str">
        <v>single</v>
      </c>
    </row>
    <row r="67" spans="1:31" hidden="1" x14ac:dyDescent="0.25">
      <c r="A67">
        <v>66</v>
      </c>
      <c r="B67">
        <v>2025</v>
      </c>
      <c r="C67">
        <v>3</v>
      </c>
      <c r="D67">
        <v>11</v>
      </c>
      <c r="E67">
        <v>3</v>
      </c>
      <c r="F67" t="str">
        <v/>
      </c>
      <c r="G67" s="223">
        <v>14</v>
      </c>
      <c r="H67" t="str">
        <v/>
      </c>
      <c r="I67" t="str">
        <v/>
      </c>
      <c r="J67">
        <v>3</v>
      </c>
      <c r="K67" s="167">
        <f ca="1"/>
        <v>100</v>
      </c>
      <c r="L67" s="167">
        <f ca="1"/>
        <v>1400</v>
      </c>
      <c r="AA67">
        <v>31</v>
      </c>
      <c r="AB67">
        <v>4</v>
      </c>
      <c r="AC67" t="str">
        <v>50BD165</v>
      </c>
      <c r="AD67">
        <v>31</v>
      </c>
      <c r="AE67" t="str">
        <v>single</v>
      </c>
    </row>
    <row r="68" spans="1:31" hidden="1" x14ac:dyDescent="0.25">
      <c r="A68">
        <v>67</v>
      </c>
      <c r="B68">
        <v>2025</v>
      </c>
      <c r="C68">
        <v>3</v>
      </c>
      <c r="D68">
        <v>11</v>
      </c>
      <c r="E68">
        <v>3</v>
      </c>
      <c r="F68" t="str">
        <v/>
      </c>
      <c r="G68" s="223">
        <v>1</v>
      </c>
      <c r="H68" t="str">
        <v/>
      </c>
      <c r="I68" t="str">
        <v/>
      </c>
      <c r="J68">
        <v>6</v>
      </c>
      <c r="K68" s="167">
        <f ca="1"/>
        <v>1000</v>
      </c>
      <c r="L68" s="167">
        <f ca="1"/>
        <v>1000</v>
      </c>
      <c r="AA68">
        <v>31</v>
      </c>
      <c r="AB68">
        <v>4</v>
      </c>
      <c r="AC68" t="str">
        <v>77QE133</v>
      </c>
      <c r="AD68">
        <v>28</v>
      </c>
      <c r="AE68" t="str">
        <v>single</v>
      </c>
    </row>
    <row r="69" spans="1:31" hidden="1" x14ac:dyDescent="0.25">
      <c r="A69">
        <v>68</v>
      </c>
      <c r="B69">
        <v>2025</v>
      </c>
      <c r="C69">
        <v>3</v>
      </c>
      <c r="D69">
        <v>11</v>
      </c>
      <c r="E69">
        <v>3</v>
      </c>
      <c r="F69" t="str">
        <v/>
      </c>
      <c r="G69" s="223">
        <v>4</v>
      </c>
      <c r="H69" t="str">
        <v/>
      </c>
      <c r="I69" t="str">
        <v/>
      </c>
      <c r="J69">
        <v>7</v>
      </c>
      <c r="K69" s="167">
        <f ca="1"/>
        <v>110</v>
      </c>
      <c r="L69" s="167">
        <f ca="1"/>
        <v>440</v>
      </c>
      <c r="AA69">
        <v>31</v>
      </c>
      <c r="AB69">
        <v>4</v>
      </c>
      <c r="AC69" t="str">
        <v>90VS316</v>
      </c>
      <c r="AD69">
        <v>30</v>
      </c>
      <c r="AE69" t="str">
        <v>single</v>
      </c>
    </row>
    <row r="70" spans="1:31" hidden="1" x14ac:dyDescent="0.25">
      <c r="A70">
        <v>69</v>
      </c>
      <c r="B70">
        <v>2025</v>
      </c>
      <c r="C70">
        <v>3</v>
      </c>
      <c r="D70">
        <v>14</v>
      </c>
      <c r="E70">
        <v>3</v>
      </c>
      <c r="F70" t="str">
        <v/>
      </c>
      <c r="G70" s="223">
        <v>1</v>
      </c>
      <c r="H70" t="str">
        <v/>
      </c>
      <c r="I70" t="str">
        <v/>
      </c>
      <c r="J70">
        <v>1</v>
      </c>
      <c r="K70" s="167">
        <f ca="1"/>
        <v>730</v>
      </c>
      <c r="L70" s="167">
        <f ca="1"/>
        <v>730</v>
      </c>
      <c r="AA70">
        <v>31</v>
      </c>
      <c r="AB70">
        <v>4</v>
      </c>
      <c r="AC70" t="str">
        <v>99EM163</v>
      </c>
      <c r="AD70">
        <v>4</v>
      </c>
      <c r="AE70" t="str">
        <v>single</v>
      </c>
    </row>
    <row r="71" spans="1:31" hidden="1" x14ac:dyDescent="0.25">
      <c r="A71">
        <v>70</v>
      </c>
      <c r="B71">
        <v>2025</v>
      </c>
      <c r="C71">
        <v>3</v>
      </c>
      <c r="D71">
        <v>14</v>
      </c>
      <c r="E71">
        <v>3</v>
      </c>
      <c r="F71" t="str">
        <v/>
      </c>
      <c r="G71" s="223">
        <v>1</v>
      </c>
      <c r="H71" t="str">
        <v/>
      </c>
      <c r="I71" t="str">
        <v/>
      </c>
      <c r="J71">
        <v>2</v>
      </c>
      <c r="K71" s="167">
        <f ca="1"/>
        <v>1100</v>
      </c>
      <c r="L71" s="167">
        <f ca="1"/>
        <v>1100</v>
      </c>
      <c r="AA71">
        <v>31</v>
      </c>
      <c r="AB71">
        <v>4</v>
      </c>
      <c r="AC71" t="str">
        <v>53BB774</v>
      </c>
      <c r="AD71">
        <v>4</v>
      </c>
      <c r="AE71" t="str">
        <v>single</v>
      </c>
    </row>
    <row r="72" spans="1:31" hidden="1" x14ac:dyDescent="0.25">
      <c r="A72">
        <v>71</v>
      </c>
      <c r="B72">
        <v>2025</v>
      </c>
      <c r="C72">
        <v>3</v>
      </c>
      <c r="D72">
        <v>14</v>
      </c>
      <c r="E72">
        <v>3</v>
      </c>
      <c r="F72" t="str">
        <v/>
      </c>
      <c r="G72" s="223">
        <v>1</v>
      </c>
      <c r="H72" t="str">
        <v/>
      </c>
      <c r="I72" t="str">
        <v/>
      </c>
      <c r="J72">
        <v>3</v>
      </c>
      <c r="K72" s="167">
        <f ca="1"/>
        <v>900</v>
      </c>
      <c r="L72" s="167">
        <f ca="1"/>
        <v>900</v>
      </c>
      <c r="AA72">
        <v>31</v>
      </c>
      <c r="AB72">
        <v>5</v>
      </c>
      <c r="AC72" t="str">
        <v>01CC689</v>
      </c>
      <c r="AD72">
        <v>29</v>
      </c>
      <c r="AE72" t="str">
        <v>single</v>
      </c>
    </row>
    <row r="73" spans="1:31" hidden="1" x14ac:dyDescent="0.25">
      <c r="A73">
        <v>72</v>
      </c>
      <c r="B73">
        <v>2025</v>
      </c>
      <c r="C73">
        <v>3</v>
      </c>
      <c r="D73">
        <v>14</v>
      </c>
      <c r="E73">
        <v>3</v>
      </c>
      <c r="F73" t="str">
        <v/>
      </c>
      <c r="G73" s="223">
        <v>1</v>
      </c>
      <c r="H73" t="str">
        <v/>
      </c>
      <c r="I73" t="str">
        <v/>
      </c>
      <c r="J73">
        <v>4</v>
      </c>
      <c r="K73" s="167">
        <f ca="1"/>
        <v>800</v>
      </c>
      <c r="L73" s="167">
        <f ca="1"/>
        <v>800</v>
      </c>
      <c r="AA73">
        <v>31</v>
      </c>
      <c r="AB73">
        <v>5</v>
      </c>
      <c r="AC73" t="str">
        <v>50BD165</v>
      </c>
      <c r="AD73">
        <v>28</v>
      </c>
      <c r="AE73" t="str">
        <v>single</v>
      </c>
    </row>
    <row r="74" spans="1:31" hidden="1" x14ac:dyDescent="0.25">
      <c r="A74">
        <v>73</v>
      </c>
      <c r="B74">
        <v>2025</v>
      </c>
      <c r="C74">
        <v>3</v>
      </c>
      <c r="D74">
        <v>14</v>
      </c>
      <c r="E74">
        <v>3</v>
      </c>
      <c r="F74" t="str">
        <v/>
      </c>
      <c r="G74" s="223">
        <v>0.61</v>
      </c>
      <c r="H74" t="str">
        <v/>
      </c>
      <c r="I74" t="str">
        <v/>
      </c>
      <c r="J74">
        <v>6</v>
      </c>
      <c r="K74" s="167">
        <f ca="1"/>
        <v>4000</v>
      </c>
      <c r="L74" s="167">
        <f ca="1"/>
        <v>2440</v>
      </c>
      <c r="AA74">
        <v>31</v>
      </c>
      <c r="AB74">
        <v>5</v>
      </c>
      <c r="AC74" t="str">
        <v>50DK730</v>
      </c>
      <c r="AD74">
        <v>29</v>
      </c>
      <c r="AE74" t="str">
        <v>single</v>
      </c>
    </row>
    <row r="75" spans="1:31" hidden="1" x14ac:dyDescent="0.25">
      <c r="A75">
        <v>74</v>
      </c>
      <c r="B75">
        <v>2025</v>
      </c>
      <c r="C75">
        <v>3</v>
      </c>
      <c r="D75">
        <v>14</v>
      </c>
      <c r="E75">
        <v>3</v>
      </c>
      <c r="F75" t="str">
        <v/>
      </c>
      <c r="G75" s="223">
        <v>1</v>
      </c>
      <c r="H75" t="str">
        <v/>
      </c>
      <c r="I75" t="str">
        <v/>
      </c>
      <c r="J75">
        <v>7</v>
      </c>
      <c r="K75" s="167">
        <f ca="1"/>
        <v>900</v>
      </c>
      <c r="L75" s="167">
        <f ca="1"/>
        <v>900</v>
      </c>
      <c r="AA75">
        <v>31</v>
      </c>
      <c r="AB75">
        <v>5</v>
      </c>
      <c r="AC75" t="str">
        <v>53BB774</v>
      </c>
      <c r="AD75">
        <v>28</v>
      </c>
      <c r="AE75" t="str">
        <v>single</v>
      </c>
    </row>
    <row r="76" spans="1:31" hidden="1" x14ac:dyDescent="0.25">
      <c r="A76">
        <v>75</v>
      </c>
      <c r="B76">
        <v>2025</v>
      </c>
      <c r="C76">
        <v>3</v>
      </c>
      <c r="D76">
        <v>14</v>
      </c>
      <c r="E76">
        <v>3</v>
      </c>
      <c r="F76" t="str">
        <v/>
      </c>
      <c r="G76" s="223">
        <v>228</v>
      </c>
      <c r="H76" t="str">
        <v/>
      </c>
      <c r="I76" t="str">
        <v/>
      </c>
      <c r="J76">
        <v>8</v>
      </c>
      <c r="K76" s="167">
        <f ca="1"/>
        <v>2</v>
      </c>
      <c r="L76" s="167">
        <f ca="1"/>
        <v>456</v>
      </c>
      <c r="AA76">
        <v>31</v>
      </c>
      <c r="AB76">
        <v>5</v>
      </c>
      <c r="AC76" t="str">
        <v>55CB633</v>
      </c>
      <c r="AD76">
        <v>27</v>
      </c>
      <c r="AE76" t="str">
        <v>single</v>
      </c>
    </row>
    <row r="77" spans="1:31" hidden="1" x14ac:dyDescent="0.25">
      <c r="A77">
        <v>76</v>
      </c>
      <c r="B77">
        <v>2025</v>
      </c>
      <c r="C77">
        <v>3</v>
      </c>
      <c r="D77">
        <v>14</v>
      </c>
      <c r="E77">
        <v>3</v>
      </c>
      <c r="F77" t="str">
        <v/>
      </c>
      <c r="G77" s="223">
        <v>263</v>
      </c>
      <c r="H77" t="str">
        <v/>
      </c>
      <c r="I77" t="str">
        <v/>
      </c>
      <c r="J77">
        <v>9</v>
      </c>
      <c r="K77" s="167">
        <f ca="1"/>
        <v>2.5</v>
      </c>
      <c r="L77" s="167">
        <f ca="1"/>
        <v>657.5</v>
      </c>
      <c r="AA77">
        <v>31</v>
      </c>
      <c r="AB77">
        <v>5</v>
      </c>
      <c r="AC77" t="str">
        <v>77AT386</v>
      </c>
      <c r="AD77">
        <v>30</v>
      </c>
      <c r="AE77" t="str">
        <v>single</v>
      </c>
    </row>
    <row r="78" spans="1:31" hidden="1" x14ac:dyDescent="0.25">
      <c r="A78">
        <v>77</v>
      </c>
      <c r="B78">
        <v>2025</v>
      </c>
      <c r="C78">
        <v>3</v>
      </c>
      <c r="D78">
        <v>14</v>
      </c>
      <c r="E78">
        <v>3</v>
      </c>
      <c r="F78" t="str">
        <v/>
      </c>
      <c r="G78" s="223">
        <v>233</v>
      </c>
      <c r="H78" t="str">
        <v/>
      </c>
      <c r="I78" t="str">
        <v/>
      </c>
      <c r="J78">
        <v>10</v>
      </c>
      <c r="K78" s="167">
        <f ca="1"/>
        <v>2</v>
      </c>
      <c r="L78" s="167">
        <f ca="1"/>
        <v>466</v>
      </c>
      <c r="AA78">
        <v>31</v>
      </c>
      <c r="AB78">
        <v>5</v>
      </c>
      <c r="AC78" t="str">
        <v>77GR998</v>
      </c>
      <c r="AD78">
        <v>1</v>
      </c>
      <c r="AE78" t="str">
        <v>single</v>
      </c>
    </row>
    <row r="79" spans="1:31" hidden="1" x14ac:dyDescent="0.25">
      <c r="A79">
        <v>78</v>
      </c>
      <c r="B79">
        <v>2025</v>
      </c>
      <c r="C79">
        <v>3</v>
      </c>
      <c r="D79">
        <v>14</v>
      </c>
      <c r="E79">
        <v>3</v>
      </c>
      <c r="F79" t="str">
        <v/>
      </c>
      <c r="G79" s="223">
        <v>205</v>
      </c>
      <c r="H79" t="str">
        <v/>
      </c>
      <c r="I79" t="str">
        <v/>
      </c>
      <c r="J79">
        <v>11</v>
      </c>
      <c r="K79" s="167">
        <f ca="1"/>
        <v>2</v>
      </c>
      <c r="L79" s="167">
        <f ca="1"/>
        <v>410</v>
      </c>
      <c r="AA79">
        <v>31</v>
      </c>
      <c r="AB79">
        <v>5</v>
      </c>
      <c r="AC79" t="str">
        <v>77QE133</v>
      </c>
      <c r="AD79">
        <v>32</v>
      </c>
      <c r="AE79" t="str">
        <v>single</v>
      </c>
    </row>
    <row r="80" spans="1:31" hidden="1" x14ac:dyDescent="0.25">
      <c r="A80">
        <v>79</v>
      </c>
      <c r="B80">
        <v>2025</v>
      </c>
      <c r="C80">
        <v>3</v>
      </c>
      <c r="D80">
        <v>14</v>
      </c>
      <c r="E80">
        <v>3</v>
      </c>
      <c r="F80" t="str">
        <v/>
      </c>
      <c r="G80" s="223">
        <v>216</v>
      </c>
      <c r="H80" t="str">
        <v/>
      </c>
      <c r="I80" t="str">
        <v/>
      </c>
      <c r="J80">
        <v>13</v>
      </c>
      <c r="K80" s="167">
        <f ca="1"/>
        <v>4</v>
      </c>
      <c r="L80" s="167">
        <f ca="1"/>
        <v>864</v>
      </c>
      <c r="AA80">
        <v>31</v>
      </c>
      <c r="AB80">
        <v>5</v>
      </c>
      <c r="AC80" t="str">
        <v>77QK725</v>
      </c>
      <c r="AD80">
        <v>15</v>
      </c>
      <c r="AE80" t="str">
        <v>single</v>
      </c>
    </row>
    <row r="81" spans="1:31" hidden="1" x14ac:dyDescent="0.25">
      <c r="A81">
        <v>80</v>
      </c>
      <c r="B81">
        <v>2025</v>
      </c>
      <c r="C81">
        <v>3</v>
      </c>
      <c r="D81">
        <v>14</v>
      </c>
      <c r="E81">
        <v>3</v>
      </c>
      <c r="F81" t="str">
        <v/>
      </c>
      <c r="G81" s="223">
        <v>250</v>
      </c>
      <c r="H81" t="str">
        <v/>
      </c>
      <c r="I81" t="str">
        <v/>
      </c>
      <c r="J81">
        <v>14</v>
      </c>
      <c r="K81" s="167">
        <f ca="1"/>
        <v>2</v>
      </c>
      <c r="L81" s="167">
        <f ca="1"/>
        <v>500</v>
      </c>
      <c r="AA81">
        <v>31</v>
      </c>
      <c r="AB81">
        <v>5</v>
      </c>
      <c r="AC81" t="str">
        <v>77QK725</v>
      </c>
      <c r="AD81" t="str">
        <v/>
      </c>
      <c r="AE81" t="str">
        <v>single</v>
      </c>
    </row>
    <row r="82" spans="1:31" hidden="1" x14ac:dyDescent="0.25">
      <c r="A82">
        <v>81</v>
      </c>
      <c r="B82">
        <v>2025</v>
      </c>
      <c r="C82">
        <v>3</v>
      </c>
      <c r="D82">
        <v>30</v>
      </c>
      <c r="E82">
        <v>3</v>
      </c>
      <c r="F82" t="str">
        <v/>
      </c>
      <c r="G82" s="223">
        <v>1</v>
      </c>
      <c r="H82" t="str">
        <v/>
      </c>
      <c r="I82" t="str">
        <v/>
      </c>
      <c r="J82">
        <v>3</v>
      </c>
      <c r="K82" s="167">
        <f ca="1"/>
        <v>5500</v>
      </c>
      <c r="L82" s="167">
        <f ca="1"/>
        <v>5500</v>
      </c>
      <c r="AA82">
        <v>31</v>
      </c>
      <c r="AB82">
        <v>5</v>
      </c>
      <c r="AC82" t="str">
        <v>77UR032</v>
      </c>
      <c r="AD82">
        <v>27</v>
      </c>
      <c r="AE82" t="str">
        <v>single</v>
      </c>
    </row>
    <row r="83" spans="1:31" hidden="1" x14ac:dyDescent="0.25">
      <c r="A83">
        <v>82</v>
      </c>
      <c r="B83">
        <v>2025</v>
      </c>
      <c r="C83">
        <v>3</v>
      </c>
      <c r="D83">
        <v>30</v>
      </c>
      <c r="E83">
        <v>3</v>
      </c>
      <c r="F83" t="str">
        <v/>
      </c>
      <c r="G83" s="223">
        <v>1</v>
      </c>
      <c r="H83" t="str">
        <v/>
      </c>
      <c r="I83" t="str">
        <v/>
      </c>
      <c r="J83">
        <v>4</v>
      </c>
      <c r="K83" s="167">
        <f ca="1"/>
        <v>5500</v>
      </c>
      <c r="L83" s="167">
        <f ca="1"/>
        <v>5500</v>
      </c>
      <c r="AA83">
        <v>31</v>
      </c>
      <c r="AB83">
        <v>5</v>
      </c>
      <c r="AC83" t="str">
        <v>90PY548</v>
      </c>
      <c r="AD83">
        <v>27</v>
      </c>
      <c r="AE83" t="str">
        <v>single</v>
      </c>
    </row>
    <row r="84" spans="1:31" hidden="1" x14ac:dyDescent="0.25">
      <c r="A84">
        <v>83</v>
      </c>
      <c r="B84">
        <v>2025</v>
      </c>
      <c r="C84">
        <v>3</v>
      </c>
      <c r="D84">
        <v>31</v>
      </c>
      <c r="E84">
        <v>2</v>
      </c>
      <c r="F84" t="str">
        <v>99LT168</v>
      </c>
      <c r="G84" s="223">
        <v>21</v>
      </c>
      <c r="H84" t="str">
        <v>single</v>
      </c>
      <c r="I84" t="str">
        <v/>
      </c>
      <c r="J84">
        <v>1</v>
      </c>
      <c r="K84" s="167">
        <f ca="1"/>
        <v>73.33</v>
      </c>
      <c r="L84" s="167">
        <f ca="1"/>
        <v>1539.93</v>
      </c>
      <c r="AA84">
        <v>31</v>
      </c>
      <c r="AB84">
        <v>5</v>
      </c>
      <c r="AC84" t="str">
        <v>90SL686</v>
      </c>
      <c r="AD84">
        <v>29</v>
      </c>
      <c r="AE84" t="str">
        <v>single</v>
      </c>
    </row>
    <row r="85" spans="1:31" hidden="1" x14ac:dyDescent="0.25">
      <c r="A85">
        <v>84</v>
      </c>
      <c r="B85">
        <v>2025</v>
      </c>
      <c r="C85">
        <v>3</v>
      </c>
      <c r="D85">
        <v>31</v>
      </c>
      <c r="E85">
        <v>2</v>
      </c>
      <c r="F85" t="str">
        <v>90OV187</v>
      </c>
      <c r="G85" s="223">
        <v>30</v>
      </c>
      <c r="H85" t="str">
        <v>single</v>
      </c>
      <c r="I85" t="str">
        <v/>
      </c>
      <c r="J85">
        <v>5</v>
      </c>
      <c r="K85" s="167">
        <f ca="1"/>
        <v>73.33</v>
      </c>
      <c r="L85" s="167">
        <f ca="1"/>
        <v>2199.9</v>
      </c>
      <c r="AA85">
        <v>31</v>
      </c>
      <c r="AB85">
        <v>5</v>
      </c>
      <c r="AC85" t="str">
        <v>90VS316</v>
      </c>
      <c r="AD85">
        <v>27</v>
      </c>
      <c r="AE85" t="str">
        <v>single</v>
      </c>
    </row>
    <row r="86" spans="1:31" hidden="1" x14ac:dyDescent="0.25">
      <c r="A86">
        <v>85</v>
      </c>
      <c r="B86">
        <v>2025</v>
      </c>
      <c r="C86">
        <v>3</v>
      </c>
      <c r="D86">
        <v>31</v>
      </c>
      <c r="E86">
        <v>2</v>
      </c>
      <c r="F86" t="str">
        <v>99HZ395</v>
      </c>
      <c r="G86" s="223">
        <v>25</v>
      </c>
      <c r="H86" t="str">
        <v>single</v>
      </c>
      <c r="I86" t="str">
        <v/>
      </c>
      <c r="J86">
        <v>3</v>
      </c>
      <c r="K86" s="167">
        <f ca="1"/>
        <v>65</v>
      </c>
      <c r="L86" s="167">
        <f ca="1"/>
        <v>1625</v>
      </c>
      <c r="AA86">
        <v>31</v>
      </c>
      <c r="AB86">
        <v>5</v>
      </c>
      <c r="AC86" t="str">
        <v>99EM163</v>
      </c>
      <c r="AD86">
        <v>27</v>
      </c>
      <c r="AE86" t="str">
        <v>single</v>
      </c>
    </row>
    <row r="87" spans="1:31" hidden="1" x14ac:dyDescent="0.25">
      <c r="A87">
        <v>86</v>
      </c>
      <c r="B87">
        <v>2025</v>
      </c>
      <c r="C87">
        <v>3</v>
      </c>
      <c r="D87">
        <v>31</v>
      </c>
      <c r="E87">
        <v>2</v>
      </c>
      <c r="F87" t="str">
        <v>90ZP408</v>
      </c>
      <c r="G87" s="223">
        <v>24</v>
      </c>
      <c r="H87" t="str">
        <v>single</v>
      </c>
      <c r="I87" t="str">
        <v/>
      </c>
      <c r="J87">
        <v>11</v>
      </c>
      <c r="K87" s="167">
        <f ca="1"/>
        <v>55.36</v>
      </c>
      <c r="L87" s="167">
        <f ca="1"/>
        <v>1328.6399999999999</v>
      </c>
      <c r="AA87">
        <v>31</v>
      </c>
      <c r="AB87">
        <v>5</v>
      </c>
      <c r="AC87" t="str">
        <v>99HZ395</v>
      </c>
      <c r="AD87">
        <v>30</v>
      </c>
      <c r="AE87" t="str">
        <v>single</v>
      </c>
    </row>
    <row r="88" spans="1:31" hidden="1" x14ac:dyDescent="0.25">
      <c r="A88">
        <v>87</v>
      </c>
      <c r="B88">
        <v>2025</v>
      </c>
      <c r="C88">
        <v>3</v>
      </c>
      <c r="D88">
        <v>31</v>
      </c>
      <c r="E88">
        <v>2</v>
      </c>
      <c r="F88" t="str">
        <v>66CC029</v>
      </c>
      <c r="G88" s="223">
        <v>25</v>
      </c>
      <c r="H88" t="str">
        <v>single</v>
      </c>
      <c r="I88" t="str">
        <v/>
      </c>
      <c r="J88">
        <v>15</v>
      </c>
      <c r="K88" s="167">
        <f ca="1"/>
        <v>55.36</v>
      </c>
      <c r="L88" s="167">
        <f ca="1"/>
        <v>1384</v>
      </c>
      <c r="AA88">
        <v>31</v>
      </c>
      <c r="AB88">
        <v>5</v>
      </c>
      <c r="AC88" t="str">
        <v>99LM412</v>
      </c>
      <c r="AD88">
        <v>29</v>
      </c>
      <c r="AE88" t="str">
        <v>single</v>
      </c>
    </row>
    <row r="89" spans="1:31" hidden="1" x14ac:dyDescent="0.25">
      <c r="A89">
        <v>88</v>
      </c>
      <c r="B89">
        <v>2025</v>
      </c>
      <c r="C89">
        <v>3</v>
      </c>
      <c r="D89">
        <v>31</v>
      </c>
      <c r="E89">
        <v>2</v>
      </c>
      <c r="F89" t="str">
        <v>77QK725</v>
      </c>
      <c r="G89" s="223">
        <v>24</v>
      </c>
      <c r="H89" t="str">
        <v>single</v>
      </c>
      <c r="I89" t="str">
        <v/>
      </c>
      <c r="J89">
        <v>17</v>
      </c>
      <c r="K89" s="167">
        <f ca="1"/>
        <v>275</v>
      </c>
      <c r="L89" s="167">
        <f ca="1"/>
        <v>6600</v>
      </c>
      <c r="AA89">
        <v>31</v>
      </c>
      <c r="AB89">
        <v>5</v>
      </c>
      <c r="AC89" t="str">
        <v>99MN472</v>
      </c>
      <c r="AD89">
        <v>29</v>
      </c>
      <c r="AE89" t="str">
        <v>single</v>
      </c>
    </row>
    <row r="90" spans="1:31" hidden="1" x14ac:dyDescent="0.25">
      <c r="A90">
        <v>89</v>
      </c>
      <c r="B90">
        <v>2025</v>
      </c>
      <c r="C90">
        <v>3</v>
      </c>
      <c r="D90">
        <v>31</v>
      </c>
      <c r="E90">
        <v>2</v>
      </c>
      <c r="F90" t="str">
        <v>77AT386</v>
      </c>
      <c r="G90" s="223">
        <v>31</v>
      </c>
      <c r="H90" t="str">
        <v>single</v>
      </c>
      <c r="I90" t="str">
        <v/>
      </c>
      <c r="J90">
        <v>13</v>
      </c>
      <c r="K90" s="167">
        <f ca="1"/>
        <v>46.67</v>
      </c>
      <c r="L90" s="167">
        <f ca="1"/>
        <v>1446.77</v>
      </c>
      <c r="AA90">
        <v>31</v>
      </c>
      <c r="AB90">
        <v>6</v>
      </c>
      <c r="AC90" t="str">
        <v>01CC689</v>
      </c>
      <c r="AD90">
        <v>31</v>
      </c>
      <c r="AE90" t="str">
        <v>single</v>
      </c>
    </row>
    <row r="91" spans="1:31" hidden="1" x14ac:dyDescent="0.25">
      <c r="A91">
        <v>90</v>
      </c>
      <c r="B91">
        <v>2025</v>
      </c>
      <c r="C91">
        <v>3</v>
      </c>
      <c r="D91">
        <v>31</v>
      </c>
      <c r="E91">
        <v>2</v>
      </c>
      <c r="F91" t="str">
        <v>90SL686</v>
      </c>
      <c r="G91" s="223">
        <v>30</v>
      </c>
      <c r="H91" t="str">
        <v>single</v>
      </c>
      <c r="I91" t="str">
        <v/>
      </c>
      <c r="J91">
        <v>19</v>
      </c>
      <c r="K91" s="167">
        <f ca="1"/>
        <v>58.93</v>
      </c>
      <c r="L91" s="167">
        <f ca="1"/>
        <v>1767.9</v>
      </c>
      <c r="AA91">
        <v>31</v>
      </c>
      <c r="AB91">
        <v>6</v>
      </c>
      <c r="AC91" t="str">
        <v>50BD165</v>
      </c>
      <c r="AD91">
        <v>30</v>
      </c>
      <c r="AE91" t="str">
        <v>single</v>
      </c>
    </row>
    <row r="92" spans="1:31" hidden="1" x14ac:dyDescent="0.25">
      <c r="A92">
        <v>91</v>
      </c>
      <c r="B92">
        <v>2025</v>
      </c>
      <c r="C92">
        <v>3</v>
      </c>
      <c r="D92">
        <v>31</v>
      </c>
      <c r="E92">
        <v>2</v>
      </c>
      <c r="F92" t="str">
        <v>55CB633</v>
      </c>
      <c r="G92" s="223">
        <v>25</v>
      </c>
      <c r="H92" t="str">
        <v>single</v>
      </c>
      <c r="I92" t="str">
        <v/>
      </c>
      <c r="J92">
        <v>57</v>
      </c>
      <c r="K92" s="167">
        <f ca="1"/>
        <v>55.36</v>
      </c>
      <c r="L92" s="167">
        <f ca="1"/>
        <v>1384</v>
      </c>
      <c r="AA92">
        <v>31</v>
      </c>
      <c r="AB92">
        <v>6</v>
      </c>
      <c r="AC92" t="str">
        <v>50BN724</v>
      </c>
      <c r="AD92">
        <v>16</v>
      </c>
      <c r="AE92" t="str">
        <v>single</v>
      </c>
    </row>
    <row r="93" spans="1:31" hidden="1" x14ac:dyDescent="0.25">
      <c r="A93">
        <v>92</v>
      </c>
      <c r="B93">
        <v>2025</v>
      </c>
      <c r="C93">
        <v>3</v>
      </c>
      <c r="D93">
        <v>31</v>
      </c>
      <c r="E93">
        <v>2</v>
      </c>
      <c r="F93" t="str">
        <v>77GM723</v>
      </c>
      <c r="G93" s="223">
        <v>28</v>
      </c>
      <c r="H93" t="str">
        <v>single</v>
      </c>
      <c r="I93" t="str">
        <v/>
      </c>
      <c r="J93">
        <v>61</v>
      </c>
      <c r="K93" s="167">
        <f ca="1"/>
        <v>55.36</v>
      </c>
      <c r="L93" s="167">
        <f ca="1"/>
        <v>1550.08</v>
      </c>
      <c r="AA93">
        <v>31</v>
      </c>
      <c r="AB93">
        <v>6</v>
      </c>
      <c r="AC93" t="str">
        <v>50DK730</v>
      </c>
      <c r="AD93">
        <v>31</v>
      </c>
      <c r="AE93" t="str">
        <v>single</v>
      </c>
    </row>
    <row r="94" spans="1:31" hidden="1" x14ac:dyDescent="0.25">
      <c r="A94">
        <v>93</v>
      </c>
      <c r="B94">
        <v>2025</v>
      </c>
      <c r="C94">
        <v>3</v>
      </c>
      <c r="D94">
        <v>31</v>
      </c>
      <c r="E94">
        <v>2</v>
      </c>
      <c r="F94" t="str">
        <v>99DX531</v>
      </c>
      <c r="G94" s="223">
        <v>27</v>
      </c>
      <c r="H94" t="str">
        <v>single</v>
      </c>
      <c r="I94" t="str">
        <v/>
      </c>
      <c r="J94">
        <v>97</v>
      </c>
      <c r="K94" s="167">
        <f ca="1"/>
        <v>55.36</v>
      </c>
      <c r="L94" s="167">
        <f ca="1"/>
        <v>1494.72</v>
      </c>
      <c r="AA94">
        <v>31</v>
      </c>
      <c r="AB94">
        <v>6</v>
      </c>
      <c r="AC94" t="str">
        <v>53BB774</v>
      </c>
      <c r="AD94">
        <v>30</v>
      </c>
      <c r="AE94" t="str">
        <v>single</v>
      </c>
    </row>
    <row r="95" spans="1:31" hidden="1" x14ac:dyDescent="0.25">
      <c r="A95">
        <v>94</v>
      </c>
      <c r="B95">
        <v>2025</v>
      </c>
      <c r="C95">
        <v>3</v>
      </c>
      <c r="D95">
        <v>31</v>
      </c>
      <c r="E95">
        <v>2</v>
      </c>
      <c r="F95" t="str">
        <v>15BZ942</v>
      </c>
      <c r="G95" s="223">
        <v>29</v>
      </c>
      <c r="H95" t="str">
        <v>single</v>
      </c>
      <c r="I95" t="str">
        <v/>
      </c>
      <c r="J95">
        <v>35</v>
      </c>
      <c r="K95" s="167">
        <f ca="1"/>
        <v>55.36</v>
      </c>
      <c r="L95" s="167">
        <f ca="1"/>
        <v>1605.44</v>
      </c>
      <c r="AA95">
        <v>31</v>
      </c>
      <c r="AB95">
        <v>6</v>
      </c>
      <c r="AC95" t="str">
        <v>55CB633</v>
      </c>
      <c r="AD95">
        <v>30</v>
      </c>
      <c r="AE95" t="str">
        <v>single</v>
      </c>
    </row>
    <row r="96" spans="1:31" hidden="1" x14ac:dyDescent="0.25">
      <c r="A96">
        <v>95</v>
      </c>
      <c r="B96">
        <v>2025</v>
      </c>
      <c r="C96">
        <v>3</v>
      </c>
      <c r="D96">
        <v>31</v>
      </c>
      <c r="E96">
        <v>2</v>
      </c>
      <c r="F96" t="str">
        <v>99BT339</v>
      </c>
      <c r="G96" s="223">
        <v>26</v>
      </c>
      <c r="H96" t="str">
        <v>single</v>
      </c>
      <c r="I96" t="str">
        <v/>
      </c>
      <c r="J96">
        <v>93</v>
      </c>
      <c r="K96" s="167">
        <f ca="1"/>
        <v>55.36</v>
      </c>
      <c r="L96" s="167">
        <f ca="1"/>
        <v>1439.36</v>
      </c>
      <c r="AA96">
        <v>31</v>
      </c>
      <c r="AB96">
        <v>6</v>
      </c>
      <c r="AC96" t="str">
        <v>77AT386</v>
      </c>
      <c r="AD96">
        <v>30</v>
      </c>
      <c r="AE96" t="str">
        <v>single</v>
      </c>
    </row>
    <row r="97" spans="1:31" hidden="1" x14ac:dyDescent="0.25">
      <c r="A97">
        <v>96</v>
      </c>
      <c r="B97">
        <v>2025</v>
      </c>
      <c r="C97">
        <v>3</v>
      </c>
      <c r="D97">
        <v>31</v>
      </c>
      <c r="E97">
        <v>2</v>
      </c>
      <c r="F97" t="str">
        <v>77ET143</v>
      </c>
      <c r="G97" s="223">
        <v>25</v>
      </c>
      <c r="H97" t="str">
        <v>single</v>
      </c>
      <c r="I97" t="str">
        <v/>
      </c>
      <c r="J97">
        <v>59</v>
      </c>
      <c r="K97" s="167">
        <f ca="1"/>
        <v>55.36</v>
      </c>
      <c r="L97" s="167">
        <f ca="1"/>
        <v>1384</v>
      </c>
      <c r="AA97">
        <v>31</v>
      </c>
      <c r="AB97">
        <v>6</v>
      </c>
      <c r="AC97" t="str">
        <v>77QE133</v>
      </c>
      <c r="AD97">
        <v>30</v>
      </c>
      <c r="AE97" t="str">
        <v>single</v>
      </c>
    </row>
    <row r="98" spans="1:31" hidden="1" x14ac:dyDescent="0.25">
      <c r="A98">
        <v>97</v>
      </c>
      <c r="B98">
        <v>2025</v>
      </c>
      <c r="C98">
        <v>3</v>
      </c>
      <c r="D98">
        <v>31</v>
      </c>
      <c r="E98">
        <v>2</v>
      </c>
      <c r="F98" t="str">
        <v>50DK730</v>
      </c>
      <c r="G98" s="223">
        <v>28</v>
      </c>
      <c r="H98" t="str">
        <v>single</v>
      </c>
      <c r="I98" t="str">
        <v/>
      </c>
      <c r="J98">
        <v>47</v>
      </c>
      <c r="K98" s="167">
        <f ca="1"/>
        <v>55.36</v>
      </c>
      <c r="L98" s="167">
        <f ca="1"/>
        <v>1550.08</v>
      </c>
      <c r="AA98">
        <v>31</v>
      </c>
      <c r="AB98">
        <v>6</v>
      </c>
      <c r="AC98" t="str">
        <v>77QK725</v>
      </c>
      <c r="AD98">
        <v>15</v>
      </c>
      <c r="AE98" t="str">
        <v>single</v>
      </c>
    </row>
    <row r="99" spans="1:31" hidden="1" x14ac:dyDescent="0.25">
      <c r="A99">
        <v>98</v>
      </c>
      <c r="B99">
        <v>2025</v>
      </c>
      <c r="C99">
        <v>3</v>
      </c>
      <c r="D99">
        <v>31</v>
      </c>
      <c r="E99">
        <v>2</v>
      </c>
      <c r="F99" t="str">
        <v>99MN472</v>
      </c>
      <c r="G99" s="223">
        <v>29</v>
      </c>
      <c r="H99" t="str">
        <v>single</v>
      </c>
      <c r="I99" t="str">
        <v/>
      </c>
      <c r="J99">
        <v>108</v>
      </c>
      <c r="K99" s="167">
        <f ca="1"/>
        <v>55.36</v>
      </c>
      <c r="L99" s="167">
        <f ca="1"/>
        <v>1605.44</v>
      </c>
      <c r="AA99">
        <v>31</v>
      </c>
      <c r="AB99">
        <v>6</v>
      </c>
      <c r="AC99" t="str">
        <v>77UR032</v>
      </c>
      <c r="AD99">
        <v>29</v>
      </c>
      <c r="AE99" t="str">
        <v>single</v>
      </c>
    </row>
    <row r="100" spans="1:31" hidden="1" x14ac:dyDescent="0.25">
      <c r="A100">
        <v>99</v>
      </c>
      <c r="B100">
        <v>2025</v>
      </c>
      <c r="C100">
        <v>3</v>
      </c>
      <c r="D100">
        <v>31</v>
      </c>
      <c r="E100">
        <v>2</v>
      </c>
      <c r="F100" t="str">
        <v>52BK688</v>
      </c>
      <c r="G100" s="223">
        <v>25</v>
      </c>
      <c r="H100" t="str">
        <v>single</v>
      </c>
      <c r="I100" t="str">
        <v/>
      </c>
      <c r="J100">
        <v>51</v>
      </c>
      <c r="K100" s="167">
        <f ca="1"/>
        <v>55.36</v>
      </c>
      <c r="L100" s="167">
        <f ca="1"/>
        <v>1384</v>
      </c>
      <c r="AA100">
        <v>31</v>
      </c>
      <c r="AB100">
        <v>6</v>
      </c>
      <c r="AC100" t="str">
        <v>90LS143</v>
      </c>
      <c r="AD100">
        <v>20</v>
      </c>
      <c r="AE100" t="str">
        <v>single</v>
      </c>
    </row>
    <row r="101" spans="1:31" hidden="1" x14ac:dyDescent="0.25">
      <c r="A101">
        <v>100</v>
      </c>
      <c r="B101">
        <v>2025</v>
      </c>
      <c r="C101">
        <v>3</v>
      </c>
      <c r="D101">
        <v>31</v>
      </c>
      <c r="E101">
        <v>2</v>
      </c>
      <c r="F101" t="str">
        <v>10RN527</v>
      </c>
      <c r="G101" s="223">
        <v>18</v>
      </c>
      <c r="H101" t="str">
        <v>single</v>
      </c>
      <c r="I101" t="str">
        <v/>
      </c>
      <c r="J101">
        <v>31</v>
      </c>
      <c r="K101" s="167">
        <f ca="1"/>
        <v>55.36</v>
      </c>
      <c r="L101" s="167">
        <f ca="1"/>
        <v>996.48</v>
      </c>
      <c r="AA101">
        <v>31</v>
      </c>
      <c r="AB101">
        <v>6</v>
      </c>
      <c r="AC101" t="str">
        <v>90PY548</v>
      </c>
      <c r="AD101">
        <v>30</v>
      </c>
      <c r="AE101" t="str">
        <v>single</v>
      </c>
    </row>
    <row r="102" spans="1:31" hidden="1" x14ac:dyDescent="0.25">
      <c r="A102">
        <v>101</v>
      </c>
      <c r="B102">
        <v>2025</v>
      </c>
      <c r="C102">
        <v>3</v>
      </c>
      <c r="D102">
        <v>31</v>
      </c>
      <c r="E102">
        <v>2</v>
      </c>
      <c r="F102" t="str">
        <v>77RN868</v>
      </c>
      <c r="G102" s="223">
        <v>10</v>
      </c>
      <c r="H102" t="str">
        <v>single</v>
      </c>
      <c r="I102" t="str">
        <v/>
      </c>
      <c r="J102">
        <v>71</v>
      </c>
      <c r="K102" s="167">
        <f ca="1"/>
        <v>73.33</v>
      </c>
      <c r="L102" s="167">
        <f ca="1"/>
        <v>733.3</v>
      </c>
      <c r="AA102">
        <v>31</v>
      </c>
      <c r="AB102">
        <v>6</v>
      </c>
      <c r="AC102" t="str">
        <v>90SL686</v>
      </c>
      <c r="AD102">
        <v>31</v>
      </c>
      <c r="AE102" t="str">
        <v>single</v>
      </c>
    </row>
    <row r="103" spans="1:31" hidden="1" x14ac:dyDescent="0.25">
      <c r="A103">
        <v>102</v>
      </c>
      <c r="B103">
        <v>2025</v>
      </c>
      <c r="C103">
        <v>3</v>
      </c>
      <c r="D103">
        <v>31</v>
      </c>
      <c r="E103">
        <v>2</v>
      </c>
      <c r="F103" t="str">
        <v>99LM412</v>
      </c>
      <c r="G103" s="223">
        <v>4</v>
      </c>
      <c r="H103" t="str">
        <v>single</v>
      </c>
      <c r="I103" t="str">
        <v/>
      </c>
      <c r="J103">
        <v>116</v>
      </c>
      <c r="K103" s="167">
        <f ca="1"/>
        <v>55.36</v>
      </c>
      <c r="L103" s="167">
        <f ca="1"/>
        <v>221.44</v>
      </c>
      <c r="AA103">
        <v>31</v>
      </c>
      <c r="AB103">
        <v>6</v>
      </c>
      <c r="AC103" t="str">
        <v>90VS316</v>
      </c>
      <c r="AD103">
        <v>30</v>
      </c>
      <c r="AE103" t="str">
        <v>single</v>
      </c>
    </row>
    <row r="104" spans="1:31" hidden="1" x14ac:dyDescent="0.25">
      <c r="A104">
        <v>103</v>
      </c>
      <c r="B104">
        <v>2025</v>
      </c>
      <c r="C104">
        <v>3</v>
      </c>
      <c r="D104">
        <v>31</v>
      </c>
      <c r="E104">
        <v>2</v>
      </c>
      <c r="F104" t="str">
        <v>99TV366</v>
      </c>
      <c r="G104" s="167">
        <v>14</v>
      </c>
      <c r="H104" t="str">
        <v>single</v>
      </c>
      <c r="I104" t="str">
        <v/>
      </c>
      <c r="J104">
        <v>112</v>
      </c>
      <c r="K104" s="167">
        <f ca="1"/>
        <v>55.36</v>
      </c>
      <c r="L104" s="167">
        <f ca="1"/>
        <v>775.04</v>
      </c>
      <c r="AA104">
        <v>31</v>
      </c>
      <c r="AB104">
        <v>6</v>
      </c>
      <c r="AC104" t="str">
        <v>99BT339</v>
      </c>
      <c r="AD104">
        <v>1</v>
      </c>
      <c r="AE104" t="str">
        <v>single</v>
      </c>
    </row>
    <row r="105" spans="1:31" hidden="1" x14ac:dyDescent="0.25">
      <c r="A105">
        <v>104</v>
      </c>
      <c r="B105">
        <v>2025</v>
      </c>
      <c r="C105">
        <v>3</v>
      </c>
      <c r="D105">
        <v>31</v>
      </c>
      <c r="E105">
        <v>2</v>
      </c>
      <c r="F105" t="str">
        <v>90OV187</v>
      </c>
      <c r="G105" s="167">
        <v>48.999999999999986</v>
      </c>
      <c r="H105" t="str">
        <v>hour</v>
      </c>
      <c r="I105" t="str">
        <v/>
      </c>
      <c r="J105">
        <v>6</v>
      </c>
      <c r="K105" s="167">
        <f ca="1"/>
        <v>7.3330000000000002</v>
      </c>
      <c r="L105" s="167">
        <f ca="1"/>
        <v>359.31699999999989</v>
      </c>
      <c r="AA105">
        <v>31</v>
      </c>
      <c r="AB105">
        <v>6</v>
      </c>
      <c r="AC105" t="str">
        <v>99EM163</v>
      </c>
      <c r="AD105">
        <v>30</v>
      </c>
      <c r="AE105" t="str">
        <v>single</v>
      </c>
    </row>
    <row r="106" spans="1:31" hidden="1" x14ac:dyDescent="0.25">
      <c r="A106">
        <v>105</v>
      </c>
      <c r="B106">
        <v>2025</v>
      </c>
      <c r="C106">
        <v>3</v>
      </c>
      <c r="D106">
        <v>31</v>
      </c>
      <c r="E106">
        <v>2</v>
      </c>
      <c r="F106" t="str">
        <v>90SL686</v>
      </c>
      <c r="G106" s="167">
        <v>104</v>
      </c>
      <c r="H106" t="str">
        <v>hour</v>
      </c>
      <c r="I106" t="str">
        <v/>
      </c>
      <c r="J106">
        <v>20</v>
      </c>
      <c r="K106" s="167">
        <f ca="1"/>
        <v>5.8929999999999998</v>
      </c>
      <c r="L106" s="167">
        <f ca="1"/>
        <v>612.87199999999996</v>
      </c>
      <c r="AA106">
        <v>31</v>
      </c>
      <c r="AB106">
        <v>6</v>
      </c>
      <c r="AC106" t="str">
        <v>99HZ395</v>
      </c>
      <c r="AD106">
        <v>30</v>
      </c>
      <c r="AE106" t="str">
        <v>single</v>
      </c>
    </row>
    <row r="107" spans="1:31" hidden="1" x14ac:dyDescent="0.25">
      <c r="A107">
        <v>106</v>
      </c>
      <c r="B107">
        <v>2025</v>
      </c>
      <c r="C107">
        <v>3</v>
      </c>
      <c r="D107">
        <v>31</v>
      </c>
      <c r="E107">
        <v>2</v>
      </c>
      <c r="F107" t="str">
        <v>55CB633</v>
      </c>
      <c r="G107" s="167">
        <v>35.999999999999964</v>
      </c>
      <c r="H107" t="str">
        <v>hour</v>
      </c>
      <c r="I107" t="str">
        <v/>
      </c>
      <c r="J107">
        <v>56</v>
      </c>
      <c r="K107" s="167">
        <f ca="1"/>
        <v>5.5359999999999996</v>
      </c>
      <c r="L107" s="167">
        <f ca="1"/>
        <v>199.29599999999979</v>
      </c>
      <c r="AA107">
        <v>31</v>
      </c>
      <c r="AB107">
        <v>6</v>
      </c>
      <c r="AC107" t="str">
        <v>99KL663</v>
      </c>
      <c r="AD107">
        <v>30</v>
      </c>
      <c r="AE107" t="str">
        <v>single</v>
      </c>
    </row>
    <row r="108" spans="1:31" hidden="1" x14ac:dyDescent="0.25">
      <c r="A108">
        <v>107</v>
      </c>
      <c r="B108">
        <v>2025</v>
      </c>
      <c r="C108">
        <v>3</v>
      </c>
      <c r="D108">
        <v>31</v>
      </c>
      <c r="E108">
        <v>2</v>
      </c>
      <c r="F108" t="str">
        <v>77GM723</v>
      </c>
      <c r="G108" s="167">
        <v>80.999999999999986</v>
      </c>
      <c r="H108" t="str">
        <v>hour</v>
      </c>
      <c r="I108" t="str">
        <v/>
      </c>
      <c r="J108">
        <v>60</v>
      </c>
      <c r="K108" s="167">
        <f ca="1"/>
        <v>5.5359999999999996</v>
      </c>
      <c r="L108" s="167">
        <f ca="1"/>
        <v>448.41599999999988</v>
      </c>
      <c r="AA108">
        <v>31</v>
      </c>
      <c r="AB108">
        <v>6</v>
      </c>
      <c r="AC108" t="str">
        <v>99LM412</v>
      </c>
      <c r="AD108">
        <v>31</v>
      </c>
      <c r="AE108" t="str">
        <v>single</v>
      </c>
    </row>
    <row r="109" spans="1:31" hidden="1" x14ac:dyDescent="0.25">
      <c r="A109">
        <v>108</v>
      </c>
      <c r="B109">
        <v>2025</v>
      </c>
      <c r="C109">
        <v>3</v>
      </c>
      <c r="D109">
        <v>31</v>
      </c>
      <c r="E109">
        <v>2</v>
      </c>
      <c r="F109" t="str">
        <v>99DX531</v>
      </c>
      <c r="G109" s="167">
        <v>34.999999999999986</v>
      </c>
      <c r="H109" t="str">
        <v>hour</v>
      </c>
      <c r="I109" t="str">
        <v/>
      </c>
      <c r="J109">
        <v>96</v>
      </c>
      <c r="K109" s="167">
        <f ca="1"/>
        <v>5.5359999999999996</v>
      </c>
      <c r="L109" s="167">
        <f ca="1"/>
        <v>193.75999999999991</v>
      </c>
      <c r="AA109">
        <v>31</v>
      </c>
      <c r="AB109">
        <v>6</v>
      </c>
      <c r="AC109" t="str">
        <v>99MN472</v>
      </c>
      <c r="AD109">
        <v>31</v>
      </c>
      <c r="AE109" t="str">
        <v>single</v>
      </c>
    </row>
    <row r="110" spans="1:31" hidden="1" x14ac:dyDescent="0.25">
      <c r="A110">
        <v>109</v>
      </c>
      <c r="B110">
        <v>2025</v>
      </c>
      <c r="C110">
        <v>3</v>
      </c>
      <c r="D110">
        <v>31</v>
      </c>
      <c r="E110">
        <v>2</v>
      </c>
      <c r="F110" t="str">
        <v>15BZ942</v>
      </c>
      <c r="G110" s="167">
        <v>26.999999999999993</v>
      </c>
      <c r="H110" t="str">
        <v>hour</v>
      </c>
      <c r="I110" t="str">
        <v/>
      </c>
      <c r="J110">
        <v>34</v>
      </c>
      <c r="K110" s="167">
        <f ca="1"/>
        <v>5.5359999999999996</v>
      </c>
      <c r="L110" s="167">
        <f ca="1"/>
        <v>149.47199999999995</v>
      </c>
      <c r="AA110">
        <v>31</v>
      </c>
      <c r="AB110">
        <v>7</v>
      </c>
      <c r="AC110" t="str">
        <v>01CC689</v>
      </c>
      <c r="AD110">
        <v>8</v>
      </c>
      <c r="AE110" t="str">
        <v>single</v>
      </c>
    </row>
    <row r="111" spans="1:31" hidden="1" x14ac:dyDescent="0.25">
      <c r="A111">
        <v>110</v>
      </c>
      <c r="B111">
        <v>2025</v>
      </c>
      <c r="C111">
        <v>3</v>
      </c>
      <c r="D111">
        <v>31</v>
      </c>
      <c r="E111">
        <v>2</v>
      </c>
      <c r="F111" t="str">
        <v>99BT339</v>
      </c>
      <c r="G111" s="167">
        <v>27.99999999999995</v>
      </c>
      <c r="H111" t="str">
        <v>hour</v>
      </c>
      <c r="I111" t="str">
        <v/>
      </c>
      <c r="J111">
        <v>92</v>
      </c>
      <c r="K111" s="167">
        <f ca="1"/>
        <v>5.5359999999999996</v>
      </c>
      <c r="L111" s="167">
        <f ca="1"/>
        <v>155.00799999999973</v>
      </c>
      <c r="AA111">
        <v>31</v>
      </c>
      <c r="AB111">
        <v>7</v>
      </c>
      <c r="AC111" t="str">
        <v>10RN527</v>
      </c>
      <c r="AD111">
        <v>27</v>
      </c>
      <c r="AE111" t="str">
        <v>single</v>
      </c>
    </row>
    <row r="112" spans="1:31" hidden="1" x14ac:dyDescent="0.25">
      <c r="A112">
        <v>111</v>
      </c>
      <c r="B112">
        <v>2025</v>
      </c>
      <c r="C112">
        <v>3</v>
      </c>
      <c r="D112">
        <v>31</v>
      </c>
      <c r="E112">
        <v>2</v>
      </c>
      <c r="F112" t="str">
        <v>50DK730</v>
      </c>
      <c r="G112" s="167">
        <v>81.999999999999986</v>
      </c>
      <c r="H112" t="str">
        <v>hour</v>
      </c>
      <c r="I112" t="str">
        <v/>
      </c>
      <c r="J112">
        <v>46</v>
      </c>
      <c r="K112" s="167">
        <f ca="1"/>
        <v>5.5359999999999996</v>
      </c>
      <c r="L112" s="167">
        <f ca="1"/>
        <v>453.95199999999988</v>
      </c>
      <c r="AA112">
        <v>31</v>
      </c>
      <c r="AB112">
        <v>7</v>
      </c>
      <c r="AC112" t="str">
        <v>50BD165</v>
      </c>
      <c r="AD112">
        <v>30</v>
      </c>
      <c r="AE112" t="str">
        <v>single</v>
      </c>
    </row>
    <row r="113" spans="1:31" hidden="1" x14ac:dyDescent="0.25">
      <c r="A113">
        <v>112</v>
      </c>
      <c r="B113">
        <v>2025</v>
      </c>
      <c r="C113">
        <v>3</v>
      </c>
      <c r="D113">
        <v>31</v>
      </c>
      <c r="E113">
        <v>2</v>
      </c>
      <c r="F113" t="str">
        <v>99MN472</v>
      </c>
      <c r="G113" s="167">
        <v>54.999999999999943</v>
      </c>
      <c r="H113" t="str">
        <v>hour</v>
      </c>
      <c r="I113" s="163" t="str">
        <v/>
      </c>
      <c r="J113">
        <v>107</v>
      </c>
      <c r="K113" s="167">
        <f ca="1"/>
        <v>5.5359999999999996</v>
      </c>
      <c r="L113" s="167">
        <f ca="1"/>
        <v>304.47999999999968</v>
      </c>
      <c r="AA113">
        <v>31</v>
      </c>
      <c r="AB113">
        <v>7</v>
      </c>
      <c r="AC113" t="str">
        <v>50BN724</v>
      </c>
      <c r="AD113">
        <v>30</v>
      </c>
      <c r="AE113" t="str">
        <v>single</v>
      </c>
    </row>
    <row r="114" spans="1:31" hidden="1" x14ac:dyDescent="0.25">
      <c r="A114">
        <v>113</v>
      </c>
      <c r="B114">
        <v>2025</v>
      </c>
      <c r="C114">
        <v>3</v>
      </c>
      <c r="D114">
        <v>31</v>
      </c>
      <c r="E114">
        <v>2</v>
      </c>
      <c r="F114" t="str">
        <v>10RN527</v>
      </c>
      <c r="G114" s="167">
        <v>33.999999999999986</v>
      </c>
      <c r="H114" t="str">
        <v>hour</v>
      </c>
      <c r="I114" t="str">
        <v/>
      </c>
      <c r="J114">
        <v>29</v>
      </c>
      <c r="K114" s="167">
        <f ca="1"/>
        <v>5.5359999999999996</v>
      </c>
      <c r="L114" s="167">
        <f ca="1"/>
        <v>188.2239999999999</v>
      </c>
      <c r="AA114">
        <v>31</v>
      </c>
      <c r="AB114">
        <v>7</v>
      </c>
      <c r="AC114" t="str">
        <v>50CN929</v>
      </c>
      <c r="AD114">
        <v>26</v>
      </c>
      <c r="AE114" t="str">
        <v>single</v>
      </c>
    </row>
    <row r="115" spans="1:31" hidden="1" x14ac:dyDescent="0.25">
      <c r="A115">
        <v>114</v>
      </c>
      <c r="B115">
        <v>2025</v>
      </c>
      <c r="C115">
        <v>3</v>
      </c>
      <c r="D115">
        <v>31</v>
      </c>
      <c r="E115">
        <v>2</v>
      </c>
      <c r="F115" t="str">
        <v>99LM412</v>
      </c>
      <c r="G115" s="167">
        <v>4.9999999999999964</v>
      </c>
      <c r="H115" t="str">
        <v>hour</v>
      </c>
      <c r="I115" s="163" t="str">
        <v/>
      </c>
      <c r="J115">
        <v>115</v>
      </c>
      <c r="K115" s="167">
        <f ca="1"/>
        <v>5.5359999999999996</v>
      </c>
      <c r="L115" s="167">
        <f ca="1"/>
        <v>27.679999999999978</v>
      </c>
      <c r="AA115">
        <v>31</v>
      </c>
      <c r="AB115">
        <v>7</v>
      </c>
      <c r="AC115" t="str">
        <v>50DK730</v>
      </c>
      <c r="AD115">
        <v>31</v>
      </c>
      <c r="AE115" t="str">
        <v>single</v>
      </c>
    </row>
    <row r="116" spans="1:31" hidden="1" x14ac:dyDescent="0.25">
      <c r="A116">
        <v>115</v>
      </c>
      <c r="B116">
        <v>2025</v>
      </c>
      <c r="C116">
        <v>3</v>
      </c>
      <c r="D116">
        <v>31</v>
      </c>
      <c r="E116">
        <v>2</v>
      </c>
      <c r="F116" t="str">
        <v>99TV366</v>
      </c>
      <c r="G116" s="167">
        <v>20.999999999999986</v>
      </c>
      <c r="H116" t="str">
        <v>hour</v>
      </c>
      <c r="I116" t="str">
        <v/>
      </c>
      <c r="J116">
        <v>111</v>
      </c>
      <c r="K116" s="167">
        <f ca="1"/>
        <v>5.5359999999999996</v>
      </c>
      <c r="L116" s="167">
        <f ca="1"/>
        <v>116.25599999999991</v>
      </c>
      <c r="AA116">
        <v>31</v>
      </c>
      <c r="AB116">
        <v>7</v>
      </c>
      <c r="AC116" t="str">
        <v>50EF902</v>
      </c>
      <c r="AD116">
        <v>22</v>
      </c>
      <c r="AE116" t="str">
        <v>single</v>
      </c>
    </row>
    <row r="117" spans="1:31" hidden="1" x14ac:dyDescent="0.25">
      <c r="A117">
        <v>116</v>
      </c>
      <c r="B117">
        <v>2025</v>
      </c>
      <c r="C117">
        <v>3</v>
      </c>
      <c r="D117">
        <v>31</v>
      </c>
      <c r="E117">
        <v>2</v>
      </c>
      <c r="F117" t="str">
        <v/>
      </c>
      <c r="G117" s="167">
        <v>11129.910000000002</v>
      </c>
      <c r="H117" t="str">
        <v/>
      </c>
      <c r="I117" t="str">
        <v/>
      </c>
      <c r="J117" t="str">
        <v>M-1</v>
      </c>
      <c r="K117" s="167">
        <f ca="1"/>
        <v>1</v>
      </c>
      <c r="L117" s="167">
        <f ca="1"/>
        <v>11129.910000000002</v>
      </c>
      <c r="AA117">
        <v>31</v>
      </c>
      <c r="AB117">
        <v>7</v>
      </c>
      <c r="AC117" t="str">
        <v>53BB774</v>
      </c>
      <c r="AD117">
        <v>10</v>
      </c>
      <c r="AE117" t="str">
        <v>single</v>
      </c>
    </row>
    <row r="118" spans="1:31" hidden="1" x14ac:dyDescent="0.25">
      <c r="A118">
        <v>117</v>
      </c>
      <c r="B118">
        <v>2025</v>
      </c>
      <c r="C118">
        <v>3</v>
      </c>
      <c r="D118">
        <v>31</v>
      </c>
      <c r="E118">
        <v>2</v>
      </c>
      <c r="F118" t="str">
        <v/>
      </c>
      <c r="G118" s="167">
        <v>9319</v>
      </c>
      <c r="H118" t="str">
        <v/>
      </c>
      <c r="I118" t="str">
        <v/>
      </c>
      <c r="J118" t="str">
        <v>R-1</v>
      </c>
      <c r="K118" s="167">
        <f ca="1"/>
        <v>-1</v>
      </c>
      <c r="L118" s="167">
        <f ca="1"/>
        <v>-9319</v>
      </c>
      <c r="AA118">
        <v>31</v>
      </c>
      <c r="AB118">
        <v>7</v>
      </c>
      <c r="AC118" t="str">
        <v>55CB633</v>
      </c>
      <c r="AD118">
        <v>30</v>
      </c>
      <c r="AE118" t="str">
        <v>single</v>
      </c>
    </row>
    <row r="119" spans="1:31" hidden="1" x14ac:dyDescent="0.25">
      <c r="A119">
        <v>118</v>
      </c>
      <c r="B119">
        <v>2025</v>
      </c>
      <c r="C119">
        <v>3</v>
      </c>
      <c r="D119">
        <v>31</v>
      </c>
      <c r="E119">
        <v>2</v>
      </c>
      <c r="F119" t="str">
        <v/>
      </c>
      <c r="G119" s="167">
        <v>100</v>
      </c>
      <c r="H119" t="str">
        <v/>
      </c>
      <c r="I119" t="str">
        <v/>
      </c>
      <c r="J119" t="str">
        <v>R-2</v>
      </c>
      <c r="K119" s="167">
        <f ca="1"/>
        <v>-1</v>
      </c>
      <c r="L119" s="167">
        <f ca="1"/>
        <v>-100</v>
      </c>
      <c r="AA119">
        <v>31</v>
      </c>
      <c r="AB119">
        <v>7</v>
      </c>
      <c r="AC119" t="str">
        <v>77AT386</v>
      </c>
      <c r="AD119">
        <v>30</v>
      </c>
      <c r="AE119" t="str">
        <v>single</v>
      </c>
    </row>
    <row r="120" spans="1:31" hidden="1" x14ac:dyDescent="0.25">
      <c r="A120">
        <v>119</v>
      </c>
      <c r="B120">
        <v>2025</v>
      </c>
      <c r="C120">
        <v>3</v>
      </c>
      <c r="D120">
        <v>33</v>
      </c>
      <c r="E120">
        <v>7</v>
      </c>
      <c r="F120" t="str">
        <v/>
      </c>
      <c r="G120" s="167">
        <v>17722</v>
      </c>
      <c r="H120" t="str">
        <v/>
      </c>
      <c r="I120" t="str">
        <v/>
      </c>
      <c r="J120">
        <v>7</v>
      </c>
      <c r="K120" s="167">
        <f ca="1"/>
        <v>1.45</v>
      </c>
      <c r="L120" s="167">
        <f ca="1"/>
        <v>25696.899999999998</v>
      </c>
      <c r="AA120">
        <v>31</v>
      </c>
      <c r="AB120">
        <v>7</v>
      </c>
      <c r="AC120" t="str">
        <v>77QE133</v>
      </c>
      <c r="AD120">
        <v>30</v>
      </c>
      <c r="AE120" t="str">
        <v>single</v>
      </c>
    </row>
    <row r="121" spans="1:31" hidden="1" x14ac:dyDescent="0.25">
      <c r="A121">
        <v>120</v>
      </c>
      <c r="B121">
        <v>2025</v>
      </c>
      <c r="C121">
        <v>3</v>
      </c>
      <c r="D121">
        <v>33</v>
      </c>
      <c r="E121">
        <v>7</v>
      </c>
      <c r="F121" t="str">
        <v/>
      </c>
      <c r="G121" s="167">
        <v>27701</v>
      </c>
      <c r="H121" t="str">
        <v/>
      </c>
      <c r="I121" t="str">
        <v/>
      </c>
      <c r="J121">
        <v>8</v>
      </c>
      <c r="K121" s="167">
        <f ca="1"/>
        <v>4.2</v>
      </c>
      <c r="L121" s="167">
        <f ca="1"/>
        <v>116344.20000000001</v>
      </c>
      <c r="AA121">
        <v>31</v>
      </c>
      <c r="AB121">
        <v>7</v>
      </c>
      <c r="AC121" t="str">
        <v>77TG971</v>
      </c>
      <c r="AD121">
        <v>25</v>
      </c>
      <c r="AE121" t="str">
        <v>single</v>
      </c>
    </row>
    <row r="122" spans="1:31" hidden="1" x14ac:dyDescent="0.25">
      <c r="A122">
        <v>121</v>
      </c>
      <c r="B122">
        <v>2025</v>
      </c>
      <c r="C122">
        <v>3</v>
      </c>
      <c r="D122">
        <v>33</v>
      </c>
      <c r="E122">
        <v>7</v>
      </c>
      <c r="F122" t="str">
        <v/>
      </c>
      <c r="G122" s="167">
        <v>22028</v>
      </c>
      <c r="H122" t="str">
        <v/>
      </c>
      <c r="I122" t="str">
        <v/>
      </c>
      <c r="J122">
        <v>9</v>
      </c>
      <c r="K122" s="167">
        <f ca="1"/>
        <v>4.2</v>
      </c>
      <c r="L122" s="167">
        <f ca="1"/>
        <v>92517.6</v>
      </c>
      <c r="AA122">
        <v>31</v>
      </c>
      <c r="AB122">
        <v>7</v>
      </c>
      <c r="AC122" t="str">
        <v>77UR032</v>
      </c>
      <c r="AD122">
        <v>29</v>
      </c>
      <c r="AE122" t="str">
        <v>single</v>
      </c>
    </row>
    <row r="123" spans="1:31" hidden="1" x14ac:dyDescent="0.25">
      <c r="A123">
        <v>122</v>
      </c>
      <c r="B123">
        <v>2025</v>
      </c>
      <c r="C123">
        <v>3</v>
      </c>
      <c r="D123">
        <v>33</v>
      </c>
      <c r="E123">
        <v>7</v>
      </c>
      <c r="F123" t="str">
        <v/>
      </c>
      <c r="G123" s="167">
        <v>2671</v>
      </c>
      <c r="H123" t="str">
        <v/>
      </c>
      <c r="I123" t="str">
        <v/>
      </c>
      <c r="J123">
        <v>11</v>
      </c>
      <c r="K123" s="167">
        <f ca="1"/>
        <v>3.5</v>
      </c>
      <c r="L123" s="167">
        <f ca="1"/>
        <v>9348.5</v>
      </c>
      <c r="AA123">
        <v>31</v>
      </c>
      <c r="AB123">
        <v>7</v>
      </c>
      <c r="AC123" t="str">
        <v>77VL420</v>
      </c>
      <c r="AD123">
        <v>15</v>
      </c>
      <c r="AE123" t="str">
        <v>single</v>
      </c>
    </row>
    <row r="124" spans="1:31" hidden="1" x14ac:dyDescent="0.25">
      <c r="A124">
        <v>123</v>
      </c>
      <c r="B124">
        <v>2025</v>
      </c>
      <c r="C124">
        <v>4</v>
      </c>
      <c r="D124">
        <v>11</v>
      </c>
      <c r="E124">
        <v>4</v>
      </c>
      <c r="F124" t="str">
        <v/>
      </c>
      <c r="G124" s="167">
        <v>1</v>
      </c>
      <c r="H124" t="str">
        <v/>
      </c>
      <c r="I124" t="str">
        <v/>
      </c>
      <c r="J124">
        <v>1</v>
      </c>
      <c r="K124" s="167">
        <f ca="1"/>
        <v>5500</v>
      </c>
      <c r="L124" s="167">
        <f ca="1"/>
        <v>5500</v>
      </c>
      <c r="AA124">
        <v>31</v>
      </c>
      <c r="AB124">
        <v>7</v>
      </c>
      <c r="AC124" t="str">
        <v>90LS143</v>
      </c>
      <c r="AD124">
        <v>29</v>
      </c>
      <c r="AE124" t="str">
        <v>single</v>
      </c>
    </row>
    <row r="125" spans="1:31" hidden="1" x14ac:dyDescent="0.25">
      <c r="A125">
        <v>124</v>
      </c>
      <c r="B125">
        <v>2025</v>
      </c>
      <c r="C125">
        <v>4</v>
      </c>
      <c r="D125">
        <v>11</v>
      </c>
      <c r="E125">
        <v>4</v>
      </c>
      <c r="F125" t="str">
        <v/>
      </c>
      <c r="G125" s="167">
        <v>6</v>
      </c>
      <c r="H125" t="str">
        <v/>
      </c>
      <c r="I125" t="str">
        <v/>
      </c>
      <c r="J125">
        <v>2</v>
      </c>
      <c r="K125" s="167">
        <f ca="1"/>
        <v>200</v>
      </c>
      <c r="L125" s="167">
        <f ca="1"/>
        <v>1200</v>
      </c>
      <c r="AA125">
        <v>31</v>
      </c>
      <c r="AB125">
        <v>7</v>
      </c>
      <c r="AC125" t="str">
        <v>90OE402</v>
      </c>
      <c r="AD125">
        <v>14</v>
      </c>
      <c r="AE125" t="str">
        <v>single</v>
      </c>
    </row>
    <row r="126" spans="1:31" hidden="1" x14ac:dyDescent="0.25">
      <c r="A126">
        <v>125</v>
      </c>
      <c r="B126">
        <v>2025</v>
      </c>
      <c r="C126">
        <v>4</v>
      </c>
      <c r="D126">
        <v>11</v>
      </c>
      <c r="E126">
        <v>4</v>
      </c>
      <c r="F126" t="str">
        <v/>
      </c>
      <c r="G126" s="167">
        <v>8</v>
      </c>
      <c r="H126" t="str">
        <v/>
      </c>
      <c r="I126" t="str">
        <v/>
      </c>
      <c r="J126">
        <v>3</v>
      </c>
      <c r="K126" s="167">
        <f ca="1"/>
        <v>100</v>
      </c>
      <c r="L126" s="167">
        <f ca="1"/>
        <v>800</v>
      </c>
      <c r="AA126">
        <v>31</v>
      </c>
      <c r="AB126">
        <v>7</v>
      </c>
      <c r="AC126" t="str">
        <v>90PY548</v>
      </c>
      <c r="AD126">
        <v>30</v>
      </c>
      <c r="AE126" t="str">
        <v>single</v>
      </c>
    </row>
    <row r="127" spans="1:31" hidden="1" x14ac:dyDescent="0.25">
      <c r="A127">
        <v>126</v>
      </c>
      <c r="B127">
        <v>2025</v>
      </c>
      <c r="C127">
        <v>4</v>
      </c>
      <c r="D127">
        <v>14</v>
      </c>
      <c r="E127">
        <v>4</v>
      </c>
      <c r="F127" t="str">
        <v/>
      </c>
      <c r="G127" s="223">
        <v>1</v>
      </c>
      <c r="H127" t="str">
        <v/>
      </c>
      <c r="I127" t="str">
        <v/>
      </c>
      <c r="J127">
        <v>1</v>
      </c>
      <c r="K127" s="167">
        <f ca="1"/>
        <v>730</v>
      </c>
      <c r="L127" s="167">
        <f ca="1"/>
        <v>730</v>
      </c>
      <c r="AA127">
        <v>31</v>
      </c>
      <c r="AB127">
        <v>7</v>
      </c>
      <c r="AC127" t="str">
        <v>90SL686</v>
      </c>
      <c r="AD127">
        <v>30</v>
      </c>
      <c r="AE127" t="str">
        <v>single</v>
      </c>
    </row>
    <row r="128" spans="1:31" hidden="1" x14ac:dyDescent="0.25">
      <c r="A128">
        <v>127</v>
      </c>
      <c r="B128">
        <v>2025</v>
      </c>
      <c r="C128">
        <v>4</v>
      </c>
      <c r="D128">
        <v>14</v>
      </c>
      <c r="E128">
        <v>4</v>
      </c>
      <c r="F128" t="str">
        <v/>
      </c>
      <c r="G128" s="167">
        <v>1</v>
      </c>
      <c r="H128" t="str">
        <v/>
      </c>
      <c r="I128" t="str">
        <v/>
      </c>
      <c r="J128">
        <v>2</v>
      </c>
      <c r="K128" s="167">
        <f ca="1"/>
        <v>1100</v>
      </c>
      <c r="L128" s="167">
        <f ca="1"/>
        <v>1100</v>
      </c>
      <c r="AA128">
        <v>31</v>
      </c>
      <c r="AB128">
        <v>7</v>
      </c>
      <c r="AC128" t="str">
        <v>90VS316</v>
      </c>
      <c r="AD128">
        <v>30</v>
      </c>
      <c r="AE128" t="str">
        <v>single</v>
      </c>
    </row>
    <row r="129" spans="1:31" hidden="1" x14ac:dyDescent="0.25">
      <c r="A129">
        <v>128</v>
      </c>
      <c r="B129">
        <v>2025</v>
      </c>
      <c r="C129">
        <v>4</v>
      </c>
      <c r="D129">
        <v>14</v>
      </c>
      <c r="E129">
        <v>4</v>
      </c>
      <c r="F129" t="str">
        <v/>
      </c>
      <c r="G129" s="167">
        <v>1</v>
      </c>
      <c r="H129" t="str">
        <v/>
      </c>
      <c r="I129" t="str">
        <v/>
      </c>
      <c r="J129">
        <v>3</v>
      </c>
      <c r="K129" s="167">
        <f ca="1"/>
        <v>900</v>
      </c>
      <c r="L129" s="167">
        <f ca="1"/>
        <v>900</v>
      </c>
      <c r="AA129">
        <v>31</v>
      </c>
      <c r="AB129">
        <v>7</v>
      </c>
      <c r="AC129" t="str">
        <v>99BT339</v>
      </c>
      <c r="AD129">
        <v>30</v>
      </c>
      <c r="AE129" t="str">
        <v>single</v>
      </c>
    </row>
    <row r="130" spans="1:31" hidden="1" x14ac:dyDescent="0.25">
      <c r="A130">
        <v>129</v>
      </c>
      <c r="B130">
        <v>2025</v>
      </c>
      <c r="C130">
        <v>4</v>
      </c>
      <c r="D130">
        <v>14</v>
      </c>
      <c r="E130">
        <v>4</v>
      </c>
      <c r="F130" t="str">
        <v/>
      </c>
      <c r="G130" s="167">
        <v>1</v>
      </c>
      <c r="H130" t="str">
        <v/>
      </c>
      <c r="I130" t="str">
        <v/>
      </c>
      <c r="J130">
        <v>4</v>
      </c>
      <c r="K130" s="167">
        <f ca="1"/>
        <v>800</v>
      </c>
      <c r="L130" s="167">
        <f ca="1"/>
        <v>800</v>
      </c>
      <c r="AA130">
        <v>31</v>
      </c>
      <c r="AB130">
        <v>7</v>
      </c>
      <c r="AC130" t="str">
        <v>99EM163</v>
      </c>
      <c r="AD130">
        <v>29</v>
      </c>
      <c r="AE130" t="str">
        <v>single</v>
      </c>
    </row>
    <row r="131" spans="1:31" hidden="1" x14ac:dyDescent="0.25">
      <c r="A131">
        <v>130</v>
      </c>
      <c r="B131">
        <v>2025</v>
      </c>
      <c r="C131">
        <v>4</v>
      </c>
      <c r="D131">
        <v>14</v>
      </c>
      <c r="E131">
        <v>4</v>
      </c>
      <c r="F131" t="str">
        <v/>
      </c>
      <c r="G131" s="167">
        <v>0.99999999999999989</v>
      </c>
      <c r="H131" t="str">
        <v/>
      </c>
      <c r="I131" t="str">
        <v/>
      </c>
      <c r="J131">
        <v>6</v>
      </c>
      <c r="K131" s="167">
        <f ca="1"/>
        <v>4000</v>
      </c>
      <c r="L131" s="167">
        <f ca="1"/>
        <v>3999.9999999999995</v>
      </c>
      <c r="AA131">
        <v>31</v>
      </c>
      <c r="AB131">
        <v>7</v>
      </c>
      <c r="AC131" t="str">
        <v>99HZ395</v>
      </c>
      <c r="AD131">
        <v>29</v>
      </c>
      <c r="AE131" t="str">
        <v>single</v>
      </c>
    </row>
    <row r="132" spans="1:31" hidden="1" x14ac:dyDescent="0.25">
      <c r="A132">
        <v>131</v>
      </c>
      <c r="B132">
        <v>2025</v>
      </c>
      <c r="C132">
        <v>4</v>
      </c>
      <c r="D132">
        <v>14</v>
      </c>
      <c r="E132">
        <v>4</v>
      </c>
      <c r="F132" t="str">
        <v/>
      </c>
      <c r="G132" s="167">
        <v>1</v>
      </c>
      <c r="H132" t="str">
        <v/>
      </c>
      <c r="I132" t="str">
        <v/>
      </c>
      <c r="J132">
        <v>7</v>
      </c>
      <c r="K132" s="167">
        <f ca="1"/>
        <v>900</v>
      </c>
      <c r="L132" s="167">
        <f ca="1"/>
        <v>900</v>
      </c>
      <c r="AA132">
        <v>31</v>
      </c>
      <c r="AB132">
        <v>7</v>
      </c>
      <c r="AC132" t="str">
        <v>99KL663</v>
      </c>
      <c r="AD132">
        <v>29</v>
      </c>
      <c r="AE132" t="str">
        <v>single</v>
      </c>
    </row>
    <row r="133" spans="1:31" hidden="1" x14ac:dyDescent="0.25">
      <c r="A133">
        <v>132</v>
      </c>
      <c r="B133">
        <v>2025</v>
      </c>
      <c r="C133">
        <v>4</v>
      </c>
      <c r="D133">
        <v>14</v>
      </c>
      <c r="E133">
        <v>4</v>
      </c>
      <c r="F133" t="str">
        <v/>
      </c>
      <c r="G133" s="223">
        <v>167</v>
      </c>
      <c r="H133" t="str">
        <v/>
      </c>
      <c r="I133" t="str">
        <v/>
      </c>
      <c r="J133">
        <v>8</v>
      </c>
      <c r="K133" s="167">
        <f ca="1"/>
        <v>2</v>
      </c>
      <c r="L133" s="167">
        <f ca="1"/>
        <v>334</v>
      </c>
      <c r="AA133">
        <v>31</v>
      </c>
      <c r="AB133">
        <v>7</v>
      </c>
      <c r="AC133" t="str">
        <v>99LM412</v>
      </c>
      <c r="AD133">
        <v>31</v>
      </c>
      <c r="AE133" t="str">
        <v>single</v>
      </c>
    </row>
    <row r="134" spans="1:31" hidden="1" x14ac:dyDescent="0.25">
      <c r="A134">
        <v>133</v>
      </c>
      <c r="B134">
        <v>2025</v>
      </c>
      <c r="C134">
        <v>4</v>
      </c>
      <c r="D134">
        <v>14</v>
      </c>
      <c r="E134">
        <v>4</v>
      </c>
      <c r="F134" t="str">
        <v/>
      </c>
      <c r="G134" s="167">
        <v>208</v>
      </c>
      <c r="H134" t="str">
        <v/>
      </c>
      <c r="I134" t="str">
        <v/>
      </c>
      <c r="J134">
        <v>9</v>
      </c>
      <c r="K134" s="167">
        <f ca="1"/>
        <v>2.5</v>
      </c>
      <c r="L134" s="167">
        <f ca="1"/>
        <v>520</v>
      </c>
      <c r="AA134">
        <v>31</v>
      </c>
      <c r="AB134">
        <v>7</v>
      </c>
      <c r="AC134" t="str">
        <v>99MN472</v>
      </c>
      <c r="AD134">
        <v>30</v>
      </c>
      <c r="AE134" t="str">
        <v>single</v>
      </c>
    </row>
    <row r="135" spans="1:31" hidden="1" x14ac:dyDescent="0.25">
      <c r="A135">
        <v>134</v>
      </c>
      <c r="B135">
        <v>2025</v>
      </c>
      <c r="C135">
        <v>4</v>
      </c>
      <c r="D135">
        <v>14</v>
      </c>
      <c r="E135">
        <v>4</v>
      </c>
      <c r="F135" t="str">
        <v/>
      </c>
      <c r="G135" s="167">
        <v>450</v>
      </c>
      <c r="H135" t="str">
        <v/>
      </c>
      <c r="I135" t="str">
        <v/>
      </c>
      <c r="J135">
        <v>10</v>
      </c>
      <c r="K135" s="167">
        <f ca="1"/>
        <v>2</v>
      </c>
      <c r="L135" s="167">
        <f ca="1"/>
        <v>900</v>
      </c>
      <c r="AA135">
        <v>31</v>
      </c>
      <c r="AB135">
        <v>8</v>
      </c>
      <c r="AC135" t="str">
        <v>10RN527</v>
      </c>
      <c r="AD135">
        <v>30</v>
      </c>
      <c r="AE135" t="str">
        <v>single</v>
      </c>
    </row>
    <row r="136" spans="1:31" hidden="1" x14ac:dyDescent="0.25">
      <c r="A136">
        <v>135</v>
      </c>
      <c r="B136">
        <v>2025</v>
      </c>
      <c r="C136">
        <v>4</v>
      </c>
      <c r="D136">
        <v>14</v>
      </c>
      <c r="E136">
        <v>4</v>
      </c>
      <c r="F136" t="str">
        <v/>
      </c>
      <c r="G136" s="167">
        <v>481</v>
      </c>
      <c r="H136" t="str">
        <v/>
      </c>
      <c r="I136" t="str">
        <v/>
      </c>
      <c r="J136">
        <v>11</v>
      </c>
      <c r="K136" s="167">
        <f ca="1"/>
        <v>2</v>
      </c>
      <c r="L136" s="167">
        <f ca="1"/>
        <v>962</v>
      </c>
      <c r="AA136">
        <v>31</v>
      </c>
      <c r="AB136">
        <v>8</v>
      </c>
      <c r="AC136" t="str">
        <v>50BD165</v>
      </c>
      <c r="AD136">
        <v>29</v>
      </c>
      <c r="AE136" t="str">
        <v>single</v>
      </c>
    </row>
    <row r="137" spans="1:31" hidden="1" x14ac:dyDescent="0.25">
      <c r="A137">
        <v>136</v>
      </c>
      <c r="B137">
        <v>2025</v>
      </c>
      <c r="C137">
        <v>4</v>
      </c>
      <c r="D137">
        <v>14</v>
      </c>
      <c r="E137">
        <v>4</v>
      </c>
      <c r="F137" t="str">
        <v/>
      </c>
      <c r="G137" s="167">
        <v>711</v>
      </c>
      <c r="H137" t="str">
        <v/>
      </c>
      <c r="I137" t="str">
        <v/>
      </c>
      <c r="J137">
        <v>13</v>
      </c>
      <c r="K137" s="167">
        <f ca="1"/>
        <v>4</v>
      </c>
      <c r="L137" s="167">
        <f ca="1"/>
        <v>2844</v>
      </c>
      <c r="AA137">
        <v>31</v>
      </c>
      <c r="AB137">
        <v>8</v>
      </c>
      <c r="AC137" t="str">
        <v>50BN724</v>
      </c>
      <c r="AD137">
        <v>30</v>
      </c>
      <c r="AE137" t="str">
        <v>single</v>
      </c>
    </row>
    <row r="138" spans="1:31" hidden="1" x14ac:dyDescent="0.25">
      <c r="A138">
        <v>137</v>
      </c>
      <c r="B138">
        <v>2025</v>
      </c>
      <c r="C138">
        <v>4</v>
      </c>
      <c r="D138">
        <v>14</v>
      </c>
      <c r="E138">
        <v>4</v>
      </c>
      <c r="F138" t="str">
        <v/>
      </c>
      <c r="G138" s="167">
        <v>173</v>
      </c>
      <c r="H138" t="str">
        <v/>
      </c>
      <c r="I138" t="str">
        <v/>
      </c>
      <c r="J138">
        <v>14</v>
      </c>
      <c r="K138" s="167">
        <f ca="1"/>
        <v>2</v>
      </c>
      <c r="L138" s="167">
        <f ca="1"/>
        <v>346</v>
      </c>
      <c r="AA138">
        <v>31</v>
      </c>
      <c r="AB138">
        <v>8</v>
      </c>
      <c r="AC138" t="str">
        <v>50CN929</v>
      </c>
      <c r="AD138">
        <v>29</v>
      </c>
      <c r="AE138" t="str">
        <v>single</v>
      </c>
    </row>
    <row r="139" spans="1:31" hidden="1" x14ac:dyDescent="0.25">
      <c r="A139">
        <v>138</v>
      </c>
      <c r="B139">
        <v>2025</v>
      </c>
      <c r="C139">
        <v>4</v>
      </c>
      <c r="D139">
        <v>30</v>
      </c>
      <c r="E139">
        <v>4</v>
      </c>
      <c r="F139" t="str">
        <v/>
      </c>
      <c r="G139" s="167">
        <v>1</v>
      </c>
      <c r="H139" t="str">
        <v/>
      </c>
      <c r="I139" t="str">
        <v/>
      </c>
      <c r="J139">
        <v>3</v>
      </c>
      <c r="K139" s="167">
        <f ca="1"/>
        <v>5500</v>
      </c>
      <c r="L139" s="167">
        <f ca="1"/>
        <v>5500</v>
      </c>
      <c r="AA139">
        <v>31</v>
      </c>
      <c r="AB139">
        <v>8</v>
      </c>
      <c r="AC139" t="str">
        <v>50DK730</v>
      </c>
      <c r="AD139">
        <v>29</v>
      </c>
      <c r="AE139" t="str">
        <v>single</v>
      </c>
    </row>
    <row r="140" spans="1:31" hidden="1" x14ac:dyDescent="0.25">
      <c r="A140">
        <v>139</v>
      </c>
      <c r="B140">
        <v>2025</v>
      </c>
      <c r="C140">
        <v>4</v>
      </c>
      <c r="D140">
        <v>30</v>
      </c>
      <c r="E140">
        <v>4</v>
      </c>
      <c r="F140" t="str">
        <v/>
      </c>
      <c r="G140" s="167">
        <v>1</v>
      </c>
      <c r="H140" t="str">
        <v/>
      </c>
      <c r="I140" t="str">
        <v/>
      </c>
      <c r="J140">
        <v>4</v>
      </c>
      <c r="K140" s="167">
        <f ca="1"/>
        <v>5500</v>
      </c>
      <c r="L140" s="167">
        <f ca="1"/>
        <v>5500</v>
      </c>
      <c r="AA140">
        <v>31</v>
      </c>
      <c r="AB140">
        <v>8</v>
      </c>
      <c r="AC140" t="str">
        <v>50EF902</v>
      </c>
      <c r="AD140">
        <v>30</v>
      </c>
      <c r="AE140" t="str">
        <v>single</v>
      </c>
    </row>
    <row r="141" spans="1:31" hidden="1" x14ac:dyDescent="0.25">
      <c r="A141">
        <v>140</v>
      </c>
      <c r="B141">
        <v>2025</v>
      </c>
      <c r="C141">
        <v>4</v>
      </c>
      <c r="D141">
        <v>31</v>
      </c>
      <c r="E141">
        <v>3</v>
      </c>
      <c r="F141" t="str">
        <v>99HZ395</v>
      </c>
      <c r="G141" s="167">
        <v>33</v>
      </c>
      <c r="H141" t="str">
        <v>single</v>
      </c>
      <c r="I141" t="str">
        <v/>
      </c>
      <c r="J141">
        <v>3</v>
      </c>
      <c r="K141" s="167">
        <f ca="1"/>
        <v>65</v>
      </c>
      <c r="L141" s="167">
        <f ca="1"/>
        <v>2145</v>
      </c>
      <c r="AA141">
        <v>31</v>
      </c>
      <c r="AB141">
        <v>8</v>
      </c>
      <c r="AC141" t="str">
        <v>55CB633</v>
      </c>
      <c r="AD141">
        <v>27</v>
      </c>
      <c r="AE141" t="str">
        <v>single</v>
      </c>
    </row>
    <row r="142" spans="1:31" hidden="1" x14ac:dyDescent="0.25">
      <c r="A142">
        <v>141</v>
      </c>
      <c r="B142">
        <v>2025</v>
      </c>
      <c r="C142">
        <v>4</v>
      </c>
      <c r="D142">
        <v>31</v>
      </c>
      <c r="E142">
        <v>3</v>
      </c>
      <c r="F142" t="str">
        <v>90ZP408</v>
      </c>
      <c r="G142" s="167">
        <v>30</v>
      </c>
      <c r="H142" t="str">
        <v>single</v>
      </c>
      <c r="I142" t="str">
        <v/>
      </c>
      <c r="J142">
        <v>11</v>
      </c>
      <c r="K142" s="167">
        <f ca="1"/>
        <v>55.36</v>
      </c>
      <c r="L142" s="167">
        <f ca="1"/>
        <v>1660.8</v>
      </c>
      <c r="AA142">
        <v>31</v>
      </c>
      <c r="AB142">
        <v>8</v>
      </c>
      <c r="AC142" t="str">
        <v>77AT386</v>
      </c>
      <c r="AD142">
        <v>30</v>
      </c>
      <c r="AE142" t="str">
        <v>single</v>
      </c>
    </row>
    <row r="143" spans="1:31" hidden="1" x14ac:dyDescent="0.25">
      <c r="A143">
        <v>142</v>
      </c>
      <c r="B143">
        <v>2025</v>
      </c>
      <c r="C143">
        <v>4</v>
      </c>
      <c r="D143">
        <v>31</v>
      </c>
      <c r="E143">
        <v>3</v>
      </c>
      <c r="F143" t="str">
        <v>66CC029</v>
      </c>
      <c r="G143" s="167">
        <v>30</v>
      </c>
      <c r="H143" t="str">
        <v>single</v>
      </c>
      <c r="I143" t="str">
        <v/>
      </c>
      <c r="J143">
        <v>15</v>
      </c>
      <c r="K143" s="167">
        <f ca="1"/>
        <v>55.36</v>
      </c>
      <c r="L143" s="167">
        <f ca="1"/>
        <v>1660.8</v>
      </c>
      <c r="AA143">
        <v>31</v>
      </c>
      <c r="AB143">
        <v>8</v>
      </c>
      <c r="AC143" t="str">
        <v>77QE133</v>
      </c>
      <c r="AD143">
        <v>8</v>
      </c>
      <c r="AE143" t="str">
        <v>single</v>
      </c>
    </row>
    <row r="144" spans="1:31" hidden="1" x14ac:dyDescent="0.25">
      <c r="A144">
        <v>143</v>
      </c>
      <c r="B144">
        <v>2025</v>
      </c>
      <c r="C144">
        <v>4</v>
      </c>
      <c r="D144">
        <v>31</v>
      </c>
      <c r="E144">
        <v>3</v>
      </c>
      <c r="F144" t="str">
        <v>77QK725</v>
      </c>
      <c r="G144" s="167">
        <v>20</v>
      </c>
      <c r="H144" t="str">
        <v>single</v>
      </c>
      <c r="I144" t="str">
        <v/>
      </c>
      <c r="J144">
        <v>17</v>
      </c>
      <c r="K144" s="167">
        <f ca="1"/>
        <v>275</v>
      </c>
      <c r="L144" s="167">
        <f ca="1"/>
        <v>5500</v>
      </c>
      <c r="AA144">
        <v>31</v>
      </c>
      <c r="AB144">
        <v>8</v>
      </c>
      <c r="AC144" t="str">
        <v>77SR538</v>
      </c>
      <c r="AD144">
        <v>30</v>
      </c>
      <c r="AE144" t="str">
        <v>single</v>
      </c>
    </row>
    <row r="145" spans="1:31" hidden="1" x14ac:dyDescent="0.25">
      <c r="A145">
        <v>144</v>
      </c>
      <c r="B145">
        <v>2025</v>
      </c>
      <c r="C145">
        <v>4</v>
      </c>
      <c r="D145">
        <v>31</v>
      </c>
      <c r="E145">
        <v>3</v>
      </c>
      <c r="F145" t="str">
        <v>77AT386</v>
      </c>
      <c r="G145" s="167">
        <v>30</v>
      </c>
      <c r="H145" t="str">
        <v>single</v>
      </c>
      <c r="I145" t="str">
        <v/>
      </c>
      <c r="J145">
        <v>13</v>
      </c>
      <c r="K145" s="167">
        <f ca="1"/>
        <v>46.67</v>
      </c>
      <c r="L145" s="167">
        <f ca="1"/>
        <v>1400.1000000000001</v>
      </c>
      <c r="AA145">
        <v>31</v>
      </c>
      <c r="AB145">
        <v>8</v>
      </c>
      <c r="AC145" t="str">
        <v>77TG971</v>
      </c>
      <c r="AD145">
        <v>29</v>
      </c>
      <c r="AE145" t="str">
        <v>single</v>
      </c>
    </row>
    <row r="146" spans="1:31" hidden="1" x14ac:dyDescent="0.25">
      <c r="A146">
        <v>145</v>
      </c>
      <c r="B146">
        <v>2025</v>
      </c>
      <c r="C146">
        <v>4</v>
      </c>
      <c r="D146">
        <v>31</v>
      </c>
      <c r="E146">
        <v>3</v>
      </c>
      <c r="F146" t="str">
        <v>90SL686</v>
      </c>
      <c r="G146" s="167">
        <v>31</v>
      </c>
      <c r="H146" t="str">
        <v>single</v>
      </c>
      <c r="I146" t="str">
        <v/>
      </c>
      <c r="J146">
        <v>19</v>
      </c>
      <c r="K146" s="167">
        <f ca="1"/>
        <v>58.93</v>
      </c>
      <c r="L146" s="167">
        <f ca="1"/>
        <v>1826.83</v>
      </c>
      <c r="AA146">
        <v>31</v>
      </c>
      <c r="AB146">
        <v>8</v>
      </c>
      <c r="AC146" t="str">
        <v>77UR032</v>
      </c>
      <c r="AD146">
        <v>27</v>
      </c>
      <c r="AE146" t="str">
        <v>single</v>
      </c>
    </row>
    <row r="147" spans="1:31" hidden="1" x14ac:dyDescent="0.25">
      <c r="A147">
        <v>146</v>
      </c>
      <c r="B147">
        <v>2025</v>
      </c>
      <c r="C147">
        <v>4</v>
      </c>
      <c r="D147">
        <v>31</v>
      </c>
      <c r="E147">
        <v>3</v>
      </c>
      <c r="F147" t="str">
        <v>55CB633</v>
      </c>
      <c r="G147" s="167">
        <v>30</v>
      </c>
      <c r="H147" t="str">
        <v>single</v>
      </c>
      <c r="I147" t="str">
        <v/>
      </c>
      <c r="J147">
        <v>57</v>
      </c>
      <c r="K147" s="167">
        <f ca="1"/>
        <v>55.36</v>
      </c>
      <c r="L147" s="167">
        <f ca="1"/>
        <v>1660.8</v>
      </c>
      <c r="AA147">
        <v>31</v>
      </c>
      <c r="AB147">
        <v>8</v>
      </c>
      <c r="AC147" t="str">
        <v>77VL420</v>
      </c>
      <c r="AD147">
        <v>15</v>
      </c>
      <c r="AE147" t="str">
        <v>single</v>
      </c>
    </row>
    <row r="148" spans="1:31" hidden="1" x14ac:dyDescent="0.25">
      <c r="A148">
        <v>147</v>
      </c>
      <c r="B148">
        <v>2025</v>
      </c>
      <c r="C148">
        <v>4</v>
      </c>
      <c r="D148">
        <v>31</v>
      </c>
      <c r="E148">
        <v>3</v>
      </c>
      <c r="F148" t="str">
        <v>99BT339</v>
      </c>
      <c r="G148" s="167">
        <v>30</v>
      </c>
      <c r="H148" t="str">
        <v>single</v>
      </c>
      <c r="I148" t="str">
        <v/>
      </c>
      <c r="J148">
        <v>93</v>
      </c>
      <c r="K148" s="167">
        <f ca="1"/>
        <v>55.36</v>
      </c>
      <c r="L148" s="167">
        <f ca="1"/>
        <v>1660.8</v>
      </c>
      <c r="AA148">
        <v>31</v>
      </c>
      <c r="AB148">
        <v>8</v>
      </c>
      <c r="AC148" t="str">
        <v>90LS143</v>
      </c>
      <c r="AD148">
        <v>27</v>
      </c>
      <c r="AE148" t="str">
        <v>single</v>
      </c>
    </row>
    <row r="149" spans="1:31" hidden="1" x14ac:dyDescent="0.25">
      <c r="A149">
        <v>148</v>
      </c>
      <c r="B149">
        <v>2025</v>
      </c>
      <c r="C149">
        <v>4</v>
      </c>
      <c r="D149">
        <v>31</v>
      </c>
      <c r="E149">
        <v>3</v>
      </c>
      <c r="F149" t="str">
        <v>77ET143</v>
      </c>
      <c r="G149" s="167">
        <v>30</v>
      </c>
      <c r="H149" t="str">
        <v>single</v>
      </c>
      <c r="I149" t="str">
        <v/>
      </c>
      <c r="J149">
        <v>59</v>
      </c>
      <c r="K149" s="167">
        <f ca="1"/>
        <v>55.36</v>
      </c>
      <c r="L149" s="167">
        <f ca="1"/>
        <v>1660.8</v>
      </c>
      <c r="AA149">
        <v>31</v>
      </c>
      <c r="AB149">
        <v>8</v>
      </c>
      <c r="AC149" t="str">
        <v>90OE402</v>
      </c>
      <c r="AD149">
        <v>30</v>
      </c>
      <c r="AE149" t="str">
        <v>single</v>
      </c>
    </row>
    <row r="150" spans="1:31" hidden="1" x14ac:dyDescent="0.25">
      <c r="A150">
        <v>149</v>
      </c>
      <c r="B150">
        <v>2025</v>
      </c>
      <c r="C150">
        <v>4</v>
      </c>
      <c r="D150">
        <v>31</v>
      </c>
      <c r="E150">
        <v>3</v>
      </c>
      <c r="F150" t="str">
        <v>50DK730</v>
      </c>
      <c r="G150" s="167">
        <v>30</v>
      </c>
      <c r="H150" t="str">
        <v>single</v>
      </c>
      <c r="I150" t="str">
        <v/>
      </c>
      <c r="J150">
        <v>47</v>
      </c>
      <c r="K150" s="167">
        <f ca="1"/>
        <v>55.36</v>
      </c>
      <c r="L150" s="167">
        <f ca="1"/>
        <v>1660.8</v>
      </c>
      <c r="AA150">
        <v>31</v>
      </c>
      <c r="AB150">
        <v>8</v>
      </c>
      <c r="AC150" t="str">
        <v>90PY548</v>
      </c>
      <c r="AD150">
        <v>30</v>
      </c>
      <c r="AE150" t="str">
        <v>single</v>
      </c>
    </row>
    <row r="151" spans="1:31" hidden="1" x14ac:dyDescent="0.25">
      <c r="A151">
        <v>150</v>
      </c>
      <c r="B151">
        <v>2025</v>
      </c>
      <c r="C151">
        <v>4</v>
      </c>
      <c r="D151">
        <v>31</v>
      </c>
      <c r="E151">
        <v>3</v>
      </c>
      <c r="F151" t="str">
        <v>99MN472</v>
      </c>
      <c r="G151" s="167">
        <v>30</v>
      </c>
      <c r="H151" t="str">
        <v>single</v>
      </c>
      <c r="I151" t="str">
        <v/>
      </c>
      <c r="J151">
        <v>108</v>
      </c>
      <c r="K151" s="167">
        <f ca="1"/>
        <v>55.36</v>
      </c>
      <c r="L151" s="167">
        <f ca="1"/>
        <v>1660.8</v>
      </c>
      <c r="AA151">
        <v>31</v>
      </c>
      <c r="AB151">
        <v>8</v>
      </c>
      <c r="AC151" t="str">
        <v>90SL686</v>
      </c>
      <c r="AD151">
        <v>11</v>
      </c>
      <c r="AE151" t="str">
        <v>single</v>
      </c>
    </row>
    <row r="152" spans="1:31" hidden="1" x14ac:dyDescent="0.25">
      <c r="A152">
        <v>151</v>
      </c>
      <c r="B152">
        <v>2025</v>
      </c>
      <c r="C152">
        <v>4</v>
      </c>
      <c r="D152">
        <v>31</v>
      </c>
      <c r="E152">
        <v>3</v>
      </c>
      <c r="F152" t="str">
        <v>52BK688</v>
      </c>
      <c r="G152" s="167">
        <v>5</v>
      </c>
      <c r="H152" t="str">
        <v>single</v>
      </c>
      <c r="I152" t="str">
        <v/>
      </c>
      <c r="J152">
        <v>51</v>
      </c>
      <c r="K152" s="167">
        <f ca="1"/>
        <v>55.36</v>
      </c>
      <c r="L152" s="167">
        <f ca="1"/>
        <v>276.8</v>
      </c>
      <c r="AA152">
        <v>31</v>
      </c>
      <c r="AB152">
        <v>8</v>
      </c>
      <c r="AC152" t="str">
        <v>90VS316</v>
      </c>
      <c r="AD152">
        <v>29</v>
      </c>
      <c r="AE152" t="str">
        <v>single</v>
      </c>
    </row>
    <row r="153" spans="1:31" hidden="1" x14ac:dyDescent="0.25">
      <c r="A153">
        <v>152</v>
      </c>
      <c r="B153">
        <v>2025</v>
      </c>
      <c r="C153">
        <v>4</v>
      </c>
      <c r="D153">
        <v>31</v>
      </c>
      <c r="E153">
        <v>3</v>
      </c>
      <c r="F153" t="str">
        <v>77RN868</v>
      </c>
      <c r="G153" s="167">
        <v>31</v>
      </c>
      <c r="H153" t="str">
        <v>single</v>
      </c>
      <c r="I153" t="str">
        <v/>
      </c>
      <c r="J153">
        <v>71</v>
      </c>
      <c r="K153" s="167">
        <f ca="1"/>
        <v>73.33</v>
      </c>
      <c r="L153" s="167">
        <f ca="1"/>
        <v>2273.23</v>
      </c>
      <c r="AA153">
        <v>31</v>
      </c>
      <c r="AB153">
        <v>8</v>
      </c>
      <c r="AC153" t="str">
        <v>99BT339</v>
      </c>
      <c r="AD153">
        <v>29</v>
      </c>
      <c r="AE153" t="str">
        <v>single</v>
      </c>
    </row>
    <row r="154" spans="1:31" hidden="1" x14ac:dyDescent="0.25">
      <c r="A154">
        <v>153</v>
      </c>
      <c r="B154">
        <v>2025</v>
      </c>
      <c r="C154">
        <v>4</v>
      </c>
      <c r="D154">
        <v>31</v>
      </c>
      <c r="E154">
        <v>3</v>
      </c>
      <c r="F154" t="str">
        <v>99LM412</v>
      </c>
      <c r="G154" s="167">
        <v>30</v>
      </c>
      <c r="H154" t="str">
        <v>single</v>
      </c>
      <c r="I154" t="str">
        <v/>
      </c>
      <c r="J154">
        <v>116</v>
      </c>
      <c r="K154" s="167">
        <f ca="1"/>
        <v>55.36</v>
      </c>
      <c r="L154" s="167">
        <f ca="1"/>
        <v>1660.8</v>
      </c>
      <c r="AA154">
        <v>31</v>
      </c>
      <c r="AB154">
        <v>8</v>
      </c>
      <c r="AC154" t="str">
        <v>99CN447</v>
      </c>
      <c r="AD154">
        <v>24</v>
      </c>
      <c r="AE154" t="str">
        <v>single</v>
      </c>
    </row>
    <row r="155" spans="1:31" hidden="1" x14ac:dyDescent="0.25">
      <c r="A155">
        <v>154</v>
      </c>
      <c r="B155">
        <v>2025</v>
      </c>
      <c r="C155">
        <v>4</v>
      </c>
      <c r="D155">
        <v>31</v>
      </c>
      <c r="E155">
        <v>3</v>
      </c>
      <c r="F155" t="str">
        <v>50BD165</v>
      </c>
      <c r="G155" s="167">
        <v>25</v>
      </c>
      <c r="H155" t="str">
        <v>single</v>
      </c>
      <c r="I155" t="str">
        <v/>
      </c>
      <c r="J155">
        <v>41</v>
      </c>
      <c r="K155" s="167">
        <f ca="1"/>
        <v>55.36</v>
      </c>
      <c r="L155" s="167">
        <f ca="1"/>
        <v>1384</v>
      </c>
      <c r="AA155">
        <v>31</v>
      </c>
      <c r="AB155">
        <v>8</v>
      </c>
      <c r="AC155" t="str">
        <v>99FO779</v>
      </c>
      <c r="AD155">
        <v>22</v>
      </c>
      <c r="AE155" t="str">
        <v>single</v>
      </c>
    </row>
    <row r="156" spans="1:31" hidden="1" x14ac:dyDescent="0.25">
      <c r="A156">
        <v>155</v>
      </c>
      <c r="B156">
        <v>2025</v>
      </c>
      <c r="C156">
        <v>4</v>
      </c>
      <c r="D156">
        <v>31</v>
      </c>
      <c r="E156">
        <v>3</v>
      </c>
      <c r="F156" t="str">
        <v>77QE133</v>
      </c>
      <c r="G156" s="167">
        <v>7</v>
      </c>
      <c r="H156" t="str">
        <v>single</v>
      </c>
      <c r="I156" t="str">
        <v/>
      </c>
      <c r="J156">
        <v>69</v>
      </c>
      <c r="K156" s="167">
        <f ca="1"/>
        <v>73.33</v>
      </c>
      <c r="L156" s="167">
        <f ca="1"/>
        <v>513.30999999999995</v>
      </c>
      <c r="AA156">
        <v>31</v>
      </c>
      <c r="AB156">
        <v>8</v>
      </c>
      <c r="AC156" t="str">
        <v>99HZ395</v>
      </c>
      <c r="AD156">
        <v>30</v>
      </c>
      <c r="AE156" t="str">
        <v>single</v>
      </c>
    </row>
    <row r="157" spans="1:31" hidden="1" x14ac:dyDescent="0.25">
      <c r="A157">
        <v>156</v>
      </c>
      <c r="B157">
        <v>2025</v>
      </c>
      <c r="C157">
        <v>4</v>
      </c>
      <c r="D157">
        <v>31</v>
      </c>
      <c r="E157">
        <v>3</v>
      </c>
      <c r="F157" t="str">
        <v>90ZP408</v>
      </c>
      <c r="G157" s="167">
        <v>15.299999999999976</v>
      </c>
      <c r="H157" t="str">
        <v>hour</v>
      </c>
      <c r="I157" t="str">
        <v/>
      </c>
      <c r="J157">
        <v>12</v>
      </c>
      <c r="K157" s="167">
        <f ca="1"/>
        <v>5.5359999999999996</v>
      </c>
      <c r="L157" s="167">
        <f ca="1"/>
        <v>84.700799999999859</v>
      </c>
      <c r="AA157">
        <v>31</v>
      </c>
      <c r="AB157">
        <v>8</v>
      </c>
      <c r="AC157" t="str">
        <v>99KL663</v>
      </c>
      <c r="AD157">
        <v>29</v>
      </c>
      <c r="AE157" t="str">
        <v>single</v>
      </c>
    </row>
    <row r="158" spans="1:31" hidden="1" x14ac:dyDescent="0.25">
      <c r="A158">
        <v>157</v>
      </c>
      <c r="B158">
        <v>2025</v>
      </c>
      <c r="C158">
        <v>4</v>
      </c>
      <c r="D158">
        <v>31</v>
      </c>
      <c r="E158">
        <v>3</v>
      </c>
      <c r="F158" t="str">
        <v>66CC029</v>
      </c>
      <c r="G158" s="167">
        <v>99.999999999999986</v>
      </c>
      <c r="H158" t="str">
        <v>hour</v>
      </c>
      <c r="I158" t="str">
        <v/>
      </c>
      <c r="J158">
        <v>16</v>
      </c>
      <c r="K158" s="167">
        <f ca="1"/>
        <v>5.5359999999999996</v>
      </c>
      <c r="L158" s="167">
        <f ca="1"/>
        <v>553.59999999999991</v>
      </c>
      <c r="AA158">
        <v>31</v>
      </c>
      <c r="AB158">
        <v>8</v>
      </c>
      <c r="AC158" t="str">
        <v>99LM412</v>
      </c>
      <c r="AD158">
        <v>30</v>
      </c>
      <c r="AE158" t="str">
        <v>single</v>
      </c>
    </row>
    <row r="159" spans="1:31" hidden="1" x14ac:dyDescent="0.25">
      <c r="A159">
        <v>158</v>
      </c>
      <c r="B159">
        <v>2025</v>
      </c>
      <c r="C159">
        <v>4</v>
      </c>
      <c r="D159">
        <v>31</v>
      </c>
      <c r="E159">
        <v>3</v>
      </c>
      <c r="F159" t="str">
        <v>90SL686</v>
      </c>
      <c r="G159" s="167">
        <v>67.84999999999998</v>
      </c>
      <c r="H159" t="str">
        <v>hour</v>
      </c>
      <c r="I159" t="str">
        <v/>
      </c>
      <c r="J159">
        <v>20</v>
      </c>
      <c r="K159" s="167">
        <f ca="1"/>
        <v>5.8929999999999998</v>
      </c>
      <c r="L159" s="167">
        <f ca="1"/>
        <v>399.84004999999985</v>
      </c>
      <c r="AA159">
        <v>31</v>
      </c>
      <c r="AB159">
        <v>8</v>
      </c>
      <c r="AC159" t="str">
        <v>99MN472</v>
      </c>
      <c r="AD159">
        <v>30</v>
      </c>
      <c r="AE159" t="str">
        <v>single</v>
      </c>
    </row>
    <row r="160" spans="1:31" hidden="1" x14ac:dyDescent="0.25">
      <c r="A160">
        <v>159</v>
      </c>
      <c r="B160">
        <v>2025</v>
      </c>
      <c r="C160">
        <v>4</v>
      </c>
      <c r="D160">
        <v>31</v>
      </c>
      <c r="E160">
        <v>3</v>
      </c>
      <c r="F160" t="str">
        <v>55CB633</v>
      </c>
      <c r="G160" s="167">
        <v>69.999999999999986</v>
      </c>
      <c r="H160" t="str">
        <v>hour</v>
      </c>
      <c r="I160" t="str">
        <v/>
      </c>
      <c r="J160">
        <v>56</v>
      </c>
      <c r="K160" s="167">
        <f ca="1"/>
        <v>5.5359999999999996</v>
      </c>
      <c r="L160" s="167">
        <f ca="1"/>
        <v>387.51999999999987</v>
      </c>
      <c r="AA160">
        <v>31</v>
      </c>
      <c r="AB160">
        <v>8</v>
      </c>
      <c r="AC160" t="str">
        <v>99OR961</v>
      </c>
      <c r="AD160">
        <v>25</v>
      </c>
      <c r="AE160" t="str">
        <v>single</v>
      </c>
    </row>
    <row r="161" spans="1:31" hidden="1" x14ac:dyDescent="0.25">
      <c r="A161">
        <v>160</v>
      </c>
      <c r="B161">
        <v>2025</v>
      </c>
      <c r="C161">
        <v>4</v>
      </c>
      <c r="D161">
        <v>31</v>
      </c>
      <c r="E161">
        <v>3</v>
      </c>
      <c r="F161" t="str">
        <v>99BT339</v>
      </c>
      <c r="G161" s="167">
        <v>36.999999999999957</v>
      </c>
      <c r="H161" t="str">
        <v>hour</v>
      </c>
      <c r="I161" t="str">
        <v/>
      </c>
      <c r="J161">
        <v>92</v>
      </c>
      <c r="K161" s="167">
        <f ca="1"/>
        <v>5.5359999999999996</v>
      </c>
      <c r="L161" s="167">
        <f ca="1"/>
        <v>204.83199999999974</v>
      </c>
      <c r="AA161">
        <v>31</v>
      </c>
      <c r="AB161">
        <v>8</v>
      </c>
      <c r="AC161" t="str">
        <v>99UK314</v>
      </c>
      <c r="AD161">
        <v>25</v>
      </c>
      <c r="AE161" t="str">
        <v>single</v>
      </c>
    </row>
    <row r="162" spans="1:31" hidden="1" x14ac:dyDescent="0.25">
      <c r="A162">
        <v>161</v>
      </c>
      <c r="B162">
        <v>2025</v>
      </c>
      <c r="C162">
        <v>4</v>
      </c>
      <c r="D162">
        <v>31</v>
      </c>
      <c r="E162">
        <v>3</v>
      </c>
      <c r="F162" t="str">
        <v>50DK730</v>
      </c>
      <c r="G162" s="167">
        <v>94.999999999999986</v>
      </c>
      <c r="H162" t="str">
        <v>hour</v>
      </c>
      <c r="I162" t="str">
        <v/>
      </c>
      <c r="J162">
        <v>46</v>
      </c>
      <c r="K162" s="167">
        <f ca="1"/>
        <v>5.5359999999999996</v>
      </c>
      <c r="L162" s="167">
        <f ca="1"/>
        <v>525.91999999999985</v>
      </c>
      <c r="AA162">
        <v>31</v>
      </c>
      <c r="AB162">
        <v>8</v>
      </c>
      <c r="AC162" t="str">
        <v>90YN163</v>
      </c>
      <c r="AD162">
        <v>2</v>
      </c>
      <c r="AE162" t="str">
        <v>single</v>
      </c>
    </row>
    <row r="163" spans="1:31" hidden="1" x14ac:dyDescent="0.25">
      <c r="A163">
        <v>162</v>
      </c>
      <c r="B163">
        <v>2025</v>
      </c>
      <c r="C163">
        <v>4</v>
      </c>
      <c r="D163">
        <v>31</v>
      </c>
      <c r="E163">
        <v>3</v>
      </c>
      <c r="F163" t="str">
        <v>99MN472</v>
      </c>
      <c r="G163" s="167">
        <v>61.999999999999943</v>
      </c>
      <c r="H163" t="str">
        <v>hour</v>
      </c>
      <c r="I163" t="str">
        <v/>
      </c>
      <c r="J163">
        <v>107</v>
      </c>
      <c r="K163" s="167">
        <f ca="1"/>
        <v>5.5359999999999996</v>
      </c>
      <c r="L163" s="167">
        <f ca="1"/>
        <v>343.23199999999969</v>
      </c>
      <c r="AA163">
        <v>31</v>
      </c>
      <c r="AB163">
        <v>9</v>
      </c>
      <c r="AC163" t="str">
        <v>10RN527</v>
      </c>
      <c r="AD163">
        <v>31</v>
      </c>
      <c r="AE163" t="str">
        <v>single</v>
      </c>
    </row>
    <row r="164" spans="1:31" hidden="1" x14ac:dyDescent="0.25">
      <c r="A164">
        <v>163</v>
      </c>
      <c r="B164">
        <v>2025</v>
      </c>
      <c r="C164">
        <v>4</v>
      </c>
      <c r="D164">
        <v>31</v>
      </c>
      <c r="E164">
        <v>3</v>
      </c>
      <c r="F164" t="str">
        <v>52BK688</v>
      </c>
      <c r="G164" s="167">
        <v>64.5</v>
      </c>
      <c r="H164" t="str">
        <v>hour</v>
      </c>
      <c r="I164" t="str">
        <v/>
      </c>
      <c r="J164">
        <v>50</v>
      </c>
      <c r="K164" s="167">
        <f ca="1"/>
        <v>5.5359999999999996</v>
      </c>
      <c r="L164" s="167">
        <f ca="1"/>
        <v>357.07199999999995</v>
      </c>
      <c r="AA164">
        <v>31</v>
      </c>
      <c r="AB164">
        <v>9</v>
      </c>
      <c r="AC164" t="str">
        <v>17BE358</v>
      </c>
      <c r="AD164">
        <v>1</v>
      </c>
      <c r="AE164" t="str">
        <v>single</v>
      </c>
    </row>
    <row r="165" spans="1:31" hidden="1" x14ac:dyDescent="0.25">
      <c r="A165">
        <v>164</v>
      </c>
      <c r="B165">
        <v>2025</v>
      </c>
      <c r="C165">
        <v>4</v>
      </c>
      <c r="D165">
        <v>31</v>
      </c>
      <c r="E165">
        <v>3</v>
      </c>
      <c r="F165" t="str">
        <v>99LM412</v>
      </c>
      <c r="G165" s="167">
        <v>49.799999999999969</v>
      </c>
      <c r="H165" t="str">
        <v>hour</v>
      </c>
      <c r="I165" t="str">
        <v/>
      </c>
      <c r="J165">
        <v>115</v>
      </c>
      <c r="K165" s="167">
        <f ca="1"/>
        <v>5.5359999999999996</v>
      </c>
      <c r="L165" s="167">
        <f ca="1"/>
        <v>275.69279999999981</v>
      </c>
      <c r="AA165">
        <v>31</v>
      </c>
      <c r="AB165">
        <v>9</v>
      </c>
      <c r="AC165" t="str">
        <v>21BF442</v>
      </c>
      <c r="AD165">
        <v>29</v>
      </c>
      <c r="AE165" t="str">
        <v>single</v>
      </c>
    </row>
    <row r="166" spans="1:31" hidden="1" x14ac:dyDescent="0.25">
      <c r="A166">
        <v>165</v>
      </c>
      <c r="B166">
        <v>2025</v>
      </c>
      <c r="C166">
        <v>4</v>
      </c>
      <c r="D166">
        <v>31</v>
      </c>
      <c r="E166">
        <v>3</v>
      </c>
      <c r="F166" t="str">
        <v>50BD165</v>
      </c>
      <c r="G166" s="167">
        <v>20.999999999999972</v>
      </c>
      <c r="H166" t="str">
        <v>hour</v>
      </c>
      <c r="I166" t="str">
        <v/>
      </c>
      <c r="J166">
        <v>40</v>
      </c>
      <c r="K166" s="167">
        <f ca="1"/>
        <v>5.5359999999999996</v>
      </c>
      <c r="L166" s="167">
        <f ca="1"/>
        <v>116.25599999999983</v>
      </c>
      <c r="AA166">
        <v>31</v>
      </c>
      <c r="AB166">
        <v>9</v>
      </c>
      <c r="AC166" t="str">
        <v>50BD165</v>
      </c>
      <c r="AD166">
        <v>31</v>
      </c>
      <c r="AE166" t="str">
        <v>single</v>
      </c>
    </row>
    <row r="167" spans="1:31" hidden="1" x14ac:dyDescent="0.25">
      <c r="A167">
        <v>166</v>
      </c>
      <c r="B167">
        <v>2025</v>
      </c>
      <c r="C167">
        <v>4</v>
      </c>
      <c r="D167">
        <v>31</v>
      </c>
      <c r="E167">
        <v>3</v>
      </c>
      <c r="F167" t="str">
        <v/>
      </c>
      <c r="G167" s="167">
        <v>7666.7399999999989</v>
      </c>
      <c r="H167" t="str">
        <v/>
      </c>
      <c r="I167" t="str">
        <v/>
      </c>
      <c r="J167" t="str">
        <v>M-1</v>
      </c>
      <c r="K167" s="167">
        <f ca="1"/>
        <v>1</v>
      </c>
      <c r="L167" s="167">
        <f ca="1"/>
        <v>7666.7399999999989</v>
      </c>
      <c r="AA167">
        <v>31</v>
      </c>
      <c r="AB167">
        <v>9</v>
      </c>
      <c r="AC167" t="str">
        <v>50BN724</v>
      </c>
      <c r="AD167">
        <v>17</v>
      </c>
      <c r="AE167" t="str">
        <v>single</v>
      </c>
    </row>
    <row r="168" spans="1:31" hidden="1" x14ac:dyDescent="0.25">
      <c r="A168">
        <v>167</v>
      </c>
      <c r="B168">
        <v>2025</v>
      </c>
      <c r="C168">
        <v>4</v>
      </c>
      <c r="D168">
        <v>31</v>
      </c>
      <c r="E168">
        <v>3</v>
      </c>
      <c r="F168" t="str">
        <v/>
      </c>
      <c r="G168" s="167">
        <v>6009</v>
      </c>
      <c r="H168" t="str">
        <v/>
      </c>
      <c r="I168" t="str">
        <v/>
      </c>
      <c r="J168" t="str">
        <v>R-1</v>
      </c>
      <c r="K168" s="167">
        <f ca="1"/>
        <v>-1</v>
      </c>
      <c r="L168" s="167">
        <f ca="1"/>
        <v>-6009</v>
      </c>
      <c r="AA168">
        <v>31</v>
      </c>
      <c r="AB168">
        <v>9</v>
      </c>
      <c r="AC168" t="str">
        <v>50CN929</v>
      </c>
      <c r="AD168">
        <v>24</v>
      </c>
      <c r="AE168" t="str">
        <v>single</v>
      </c>
    </row>
    <row r="169" spans="1:31" hidden="1" x14ac:dyDescent="0.25">
      <c r="A169">
        <v>168</v>
      </c>
      <c r="B169">
        <v>2025</v>
      </c>
      <c r="C169">
        <v>4</v>
      </c>
      <c r="D169">
        <v>33</v>
      </c>
      <c r="E169">
        <v>8</v>
      </c>
      <c r="F169" t="str">
        <v/>
      </c>
      <c r="G169" s="167">
        <v>22797</v>
      </c>
      <c r="H169" t="str">
        <v/>
      </c>
      <c r="I169" t="str">
        <v/>
      </c>
      <c r="J169">
        <v>7</v>
      </c>
      <c r="K169" s="167">
        <f ca="1"/>
        <v>1.45</v>
      </c>
      <c r="L169" s="167">
        <f ca="1"/>
        <v>33055.65</v>
      </c>
      <c r="AA169">
        <v>31</v>
      </c>
      <c r="AB169">
        <v>9</v>
      </c>
      <c r="AC169" t="str">
        <v>50DK730</v>
      </c>
      <c r="AD169">
        <v>30</v>
      </c>
      <c r="AE169" t="str">
        <v>single</v>
      </c>
    </row>
    <row r="170" spans="1:31" hidden="1" x14ac:dyDescent="0.25">
      <c r="A170">
        <v>169</v>
      </c>
      <c r="B170">
        <v>2025</v>
      </c>
      <c r="C170">
        <v>4</v>
      </c>
      <c r="D170">
        <v>33</v>
      </c>
      <c r="E170">
        <v>8</v>
      </c>
      <c r="F170" t="str">
        <v/>
      </c>
      <c r="G170" s="167">
        <v>32920</v>
      </c>
      <c r="H170" t="str">
        <v/>
      </c>
      <c r="I170" t="str">
        <v/>
      </c>
      <c r="J170">
        <v>8</v>
      </c>
      <c r="K170" s="167">
        <f ca="1"/>
        <v>4.2</v>
      </c>
      <c r="L170" s="167">
        <f ca="1"/>
        <v>138264</v>
      </c>
      <c r="AA170">
        <v>31</v>
      </c>
      <c r="AB170">
        <v>9</v>
      </c>
      <c r="AC170" t="str">
        <v>50EF902</v>
      </c>
      <c r="AD170">
        <v>31</v>
      </c>
      <c r="AE170" t="str">
        <v>single</v>
      </c>
    </row>
    <row r="171" spans="1:31" hidden="1" x14ac:dyDescent="0.25">
      <c r="A171">
        <v>170</v>
      </c>
      <c r="B171">
        <v>2025</v>
      </c>
      <c r="C171">
        <v>4</v>
      </c>
      <c r="D171">
        <v>33</v>
      </c>
      <c r="E171">
        <v>8</v>
      </c>
      <c r="F171" t="str">
        <v/>
      </c>
      <c r="G171" s="167">
        <v>33855</v>
      </c>
      <c r="H171" t="str">
        <v/>
      </c>
      <c r="I171" t="str">
        <v/>
      </c>
      <c r="J171">
        <v>9</v>
      </c>
      <c r="K171" s="167">
        <f ca="1"/>
        <v>4.2</v>
      </c>
      <c r="L171" s="167">
        <f ca="1"/>
        <v>142191</v>
      </c>
      <c r="AA171">
        <v>31</v>
      </c>
      <c r="AB171">
        <v>9</v>
      </c>
      <c r="AC171" t="str">
        <v>50FB264</v>
      </c>
      <c r="AD171">
        <v>19</v>
      </c>
      <c r="AE171" t="str">
        <v>single</v>
      </c>
    </row>
    <row r="172" spans="1:31" hidden="1" x14ac:dyDescent="0.25">
      <c r="A172">
        <v>171</v>
      </c>
      <c r="B172">
        <v>2025</v>
      </c>
      <c r="C172">
        <v>4</v>
      </c>
      <c r="D172">
        <v>33</v>
      </c>
      <c r="E172">
        <v>8</v>
      </c>
      <c r="F172" t="str">
        <v/>
      </c>
      <c r="G172" s="167">
        <v>5637</v>
      </c>
      <c r="H172" t="str">
        <v/>
      </c>
      <c r="I172" t="str">
        <v/>
      </c>
      <c r="J172">
        <v>11</v>
      </c>
      <c r="K172" s="167">
        <f ca="1"/>
        <v>3.5</v>
      </c>
      <c r="L172" s="167">
        <f ca="1"/>
        <v>19729.5</v>
      </c>
      <c r="AA172">
        <v>31</v>
      </c>
      <c r="AB172">
        <v>9</v>
      </c>
      <c r="AC172" t="str">
        <v>53BD338</v>
      </c>
      <c r="AD172">
        <v>2</v>
      </c>
      <c r="AE172" t="str">
        <v>single</v>
      </c>
    </row>
    <row r="173" spans="1:31" hidden="1" x14ac:dyDescent="0.25">
      <c r="A173">
        <v>172</v>
      </c>
      <c r="B173">
        <v>2025</v>
      </c>
      <c r="C173">
        <v>4</v>
      </c>
      <c r="D173">
        <v>33</v>
      </c>
      <c r="E173">
        <v>8</v>
      </c>
      <c r="F173" t="str">
        <v/>
      </c>
      <c r="G173" s="167">
        <v>2</v>
      </c>
      <c r="H173" t="str">
        <v/>
      </c>
      <c r="I173" t="str">
        <v/>
      </c>
      <c r="J173" t="str">
        <v>R-1</v>
      </c>
      <c r="K173" s="167">
        <f ca="1"/>
        <v>-80</v>
      </c>
      <c r="L173" s="167">
        <f ca="1"/>
        <v>-160</v>
      </c>
      <c r="AA173">
        <v>31</v>
      </c>
      <c r="AB173">
        <v>9</v>
      </c>
      <c r="AC173" t="str">
        <v>55CB633</v>
      </c>
      <c r="AD173">
        <v>30</v>
      </c>
      <c r="AE173" t="str">
        <v>single</v>
      </c>
    </row>
    <row r="174" spans="1:31" hidden="1" x14ac:dyDescent="0.25">
      <c r="A174">
        <v>173</v>
      </c>
      <c r="B174">
        <v>2025</v>
      </c>
      <c r="C174">
        <v>4</v>
      </c>
      <c r="D174">
        <v>33</v>
      </c>
      <c r="E174">
        <v>8</v>
      </c>
      <c r="F174" t="str">
        <v/>
      </c>
      <c r="G174" s="167">
        <v>2</v>
      </c>
      <c r="H174" t="str">
        <v/>
      </c>
      <c r="I174" t="str">
        <v/>
      </c>
      <c r="J174" t="str">
        <v>R-2</v>
      </c>
      <c r="K174" s="167">
        <f ca="1"/>
        <v>-80</v>
      </c>
      <c r="L174" s="167">
        <f ca="1"/>
        <v>-160</v>
      </c>
      <c r="AA174">
        <v>31</v>
      </c>
      <c r="AB174">
        <v>9</v>
      </c>
      <c r="AC174" t="str">
        <v>77AT386</v>
      </c>
      <c r="AD174">
        <v>30</v>
      </c>
      <c r="AE174" t="str">
        <v>single</v>
      </c>
    </row>
    <row r="175" spans="1:31" hidden="1" x14ac:dyDescent="0.25">
      <c r="A175">
        <v>174</v>
      </c>
      <c r="B175">
        <v>2025</v>
      </c>
      <c r="C175">
        <v>4</v>
      </c>
      <c r="D175">
        <v>52</v>
      </c>
      <c r="E175">
        <v>1</v>
      </c>
      <c r="F175" t="str">
        <v>10AC750</v>
      </c>
      <c r="G175" s="167">
        <v>16</v>
      </c>
      <c r="H175" t="str">
        <v>single</v>
      </c>
      <c r="I175" t="str">
        <v/>
      </c>
      <c r="J175">
        <v>1</v>
      </c>
      <c r="K175" s="167">
        <f ca="1"/>
        <v>375</v>
      </c>
      <c r="L175" s="167">
        <f ca="1"/>
        <v>6000</v>
      </c>
      <c r="AA175">
        <v>31</v>
      </c>
      <c r="AB175">
        <v>9</v>
      </c>
      <c r="AC175" t="str">
        <v>77DK884</v>
      </c>
      <c r="AD175">
        <v>7</v>
      </c>
      <c r="AE175" t="str">
        <v>single</v>
      </c>
    </row>
    <row r="176" spans="1:31" hidden="1" x14ac:dyDescent="0.25">
      <c r="A176">
        <v>175</v>
      </c>
      <c r="B176">
        <v>2025</v>
      </c>
      <c r="C176">
        <v>4</v>
      </c>
      <c r="D176">
        <v>52</v>
      </c>
      <c r="E176">
        <v>1</v>
      </c>
      <c r="F176" t="str">
        <v>10AC750</v>
      </c>
      <c r="G176" s="167">
        <v>6.9999999999999982</v>
      </c>
      <c r="H176" t="str">
        <v>hour</v>
      </c>
      <c r="I176" t="str">
        <v/>
      </c>
      <c r="J176">
        <v>2</v>
      </c>
      <c r="K176" s="167">
        <f ca="1"/>
        <v>37.5</v>
      </c>
      <c r="L176" s="167">
        <f ca="1"/>
        <v>262.49999999999994</v>
      </c>
      <c r="AA176">
        <v>31</v>
      </c>
      <c r="AB176">
        <v>9</v>
      </c>
      <c r="AC176" t="str">
        <v>77SR538</v>
      </c>
      <c r="AD176">
        <v>30</v>
      </c>
      <c r="AE176" t="str">
        <v>single</v>
      </c>
    </row>
    <row r="177" spans="1:31" hidden="1" x14ac:dyDescent="0.25">
      <c r="A177">
        <v>176</v>
      </c>
      <c r="B177">
        <v>2025</v>
      </c>
      <c r="C177">
        <v>5</v>
      </c>
      <c r="D177">
        <v>11</v>
      </c>
      <c r="E177">
        <v>5</v>
      </c>
      <c r="F177" t="str">
        <v/>
      </c>
      <c r="G177" s="167">
        <v>1</v>
      </c>
      <c r="H177" t="str">
        <v/>
      </c>
      <c r="I177" t="str">
        <v/>
      </c>
      <c r="J177">
        <v>1</v>
      </c>
      <c r="K177" s="167">
        <f ca="1"/>
        <v>5500</v>
      </c>
      <c r="L177" s="167">
        <f ca="1"/>
        <v>5500</v>
      </c>
      <c r="AA177">
        <v>31</v>
      </c>
      <c r="AB177">
        <v>9</v>
      </c>
      <c r="AC177" t="str">
        <v>77TG971</v>
      </c>
      <c r="AD177">
        <v>28</v>
      </c>
      <c r="AE177" t="str">
        <v>single</v>
      </c>
    </row>
    <row r="178" spans="1:31" hidden="1" x14ac:dyDescent="0.25">
      <c r="A178">
        <v>177</v>
      </c>
      <c r="B178">
        <v>2025</v>
      </c>
      <c r="C178">
        <v>5</v>
      </c>
      <c r="D178">
        <v>11</v>
      </c>
      <c r="E178">
        <v>5</v>
      </c>
      <c r="F178" t="str">
        <v/>
      </c>
      <c r="G178" s="167">
        <v>8</v>
      </c>
      <c r="H178" t="str">
        <v/>
      </c>
      <c r="I178" t="str">
        <v/>
      </c>
      <c r="J178">
        <v>2</v>
      </c>
      <c r="K178" s="167">
        <f ca="1"/>
        <v>200</v>
      </c>
      <c r="L178" s="167">
        <f ca="1"/>
        <v>1600</v>
      </c>
      <c r="AA178">
        <v>31</v>
      </c>
      <c r="AB178">
        <v>9</v>
      </c>
      <c r="AC178" t="str">
        <v>77UR032</v>
      </c>
      <c r="AD178">
        <v>29</v>
      </c>
      <c r="AE178" t="str">
        <v>single</v>
      </c>
    </row>
    <row r="179" spans="1:31" hidden="1" x14ac:dyDescent="0.25">
      <c r="A179">
        <v>178</v>
      </c>
      <c r="B179">
        <v>2025</v>
      </c>
      <c r="C179">
        <v>5</v>
      </c>
      <c r="D179">
        <v>11</v>
      </c>
      <c r="E179">
        <v>5</v>
      </c>
      <c r="F179" t="str">
        <v/>
      </c>
      <c r="G179" s="167">
        <v>12</v>
      </c>
      <c r="H179" t="str">
        <v/>
      </c>
      <c r="I179" t="str">
        <v/>
      </c>
      <c r="J179">
        <v>3</v>
      </c>
      <c r="K179" s="167">
        <f ca="1"/>
        <v>100</v>
      </c>
      <c r="L179" s="167">
        <f ca="1"/>
        <v>1200</v>
      </c>
      <c r="AA179">
        <v>31</v>
      </c>
      <c r="AB179">
        <v>9</v>
      </c>
      <c r="AC179" t="str">
        <v>77VL420</v>
      </c>
      <c r="AD179">
        <v>31</v>
      </c>
      <c r="AE179" t="str">
        <v>single</v>
      </c>
    </row>
    <row r="180" spans="1:31" hidden="1" x14ac:dyDescent="0.25">
      <c r="A180">
        <v>179</v>
      </c>
      <c r="B180">
        <v>2025</v>
      </c>
      <c r="C180">
        <v>5</v>
      </c>
      <c r="D180">
        <v>11</v>
      </c>
      <c r="E180">
        <v>5</v>
      </c>
      <c r="F180" t="str">
        <v/>
      </c>
      <c r="G180" s="167">
        <v>1</v>
      </c>
      <c r="H180" t="str">
        <v/>
      </c>
      <c r="I180" t="str">
        <v/>
      </c>
      <c r="J180">
        <v>6</v>
      </c>
      <c r="K180" s="167">
        <f ca="1"/>
        <v>1000</v>
      </c>
      <c r="L180" s="167">
        <f ca="1"/>
        <v>1000</v>
      </c>
      <c r="AA180">
        <v>31</v>
      </c>
      <c r="AB180">
        <v>9</v>
      </c>
      <c r="AC180" t="str">
        <v>90EC344</v>
      </c>
      <c r="AD180">
        <v>30</v>
      </c>
      <c r="AE180" t="str">
        <v>single</v>
      </c>
    </row>
    <row r="181" spans="1:31" hidden="1" x14ac:dyDescent="0.25">
      <c r="A181">
        <v>180</v>
      </c>
      <c r="B181">
        <v>2025</v>
      </c>
      <c r="C181">
        <v>5</v>
      </c>
      <c r="D181">
        <v>11</v>
      </c>
      <c r="E181">
        <v>5</v>
      </c>
      <c r="F181" t="str">
        <v/>
      </c>
      <c r="G181" s="167">
        <v>2</v>
      </c>
      <c r="H181" t="str">
        <v/>
      </c>
      <c r="I181" t="str">
        <v/>
      </c>
      <c r="J181">
        <v>8</v>
      </c>
      <c r="K181" s="167">
        <f ca="1"/>
        <v>357</v>
      </c>
      <c r="L181" s="167">
        <f ca="1"/>
        <v>714</v>
      </c>
      <c r="AA181">
        <v>31</v>
      </c>
      <c r="AB181">
        <v>9</v>
      </c>
      <c r="AC181" t="str">
        <v>90LS143</v>
      </c>
      <c r="AD181">
        <v>31</v>
      </c>
      <c r="AE181" t="str">
        <v>single</v>
      </c>
    </row>
    <row r="182" spans="1:31" hidden="1" x14ac:dyDescent="0.25">
      <c r="A182">
        <v>181</v>
      </c>
      <c r="B182">
        <v>2025</v>
      </c>
      <c r="C182">
        <v>5</v>
      </c>
      <c r="D182">
        <v>30</v>
      </c>
      <c r="E182">
        <v>5</v>
      </c>
      <c r="F182" t="str">
        <v/>
      </c>
      <c r="G182" s="167">
        <v>1</v>
      </c>
      <c r="H182" t="str">
        <v/>
      </c>
      <c r="I182" t="str">
        <v/>
      </c>
      <c r="J182">
        <v>4</v>
      </c>
      <c r="K182" s="167">
        <f ca="1"/>
        <v>5500</v>
      </c>
      <c r="L182" s="167">
        <f ca="1"/>
        <v>5500</v>
      </c>
      <c r="AA182">
        <v>31</v>
      </c>
      <c r="AB182">
        <v>9</v>
      </c>
      <c r="AC182" t="str">
        <v>90OE402</v>
      </c>
      <c r="AD182">
        <v>30</v>
      </c>
      <c r="AE182" t="str">
        <v>single</v>
      </c>
    </row>
    <row r="183" spans="1:31" hidden="1" x14ac:dyDescent="0.25">
      <c r="A183">
        <v>182</v>
      </c>
      <c r="B183">
        <v>2025</v>
      </c>
      <c r="C183">
        <v>5</v>
      </c>
      <c r="D183">
        <v>31</v>
      </c>
      <c r="E183">
        <v>4</v>
      </c>
      <c r="F183" t="str">
        <v>99HZ395</v>
      </c>
      <c r="G183" s="167">
        <v>30</v>
      </c>
      <c r="H183" t="str">
        <v>single</v>
      </c>
      <c r="I183" t="str">
        <v/>
      </c>
      <c r="J183">
        <v>3</v>
      </c>
      <c r="K183" s="167">
        <f ca="1"/>
        <v>65</v>
      </c>
      <c r="L183" s="167">
        <f ca="1"/>
        <v>1950</v>
      </c>
      <c r="AA183">
        <v>31</v>
      </c>
      <c r="AB183">
        <v>9</v>
      </c>
      <c r="AC183" t="str">
        <v>90PY548</v>
      </c>
      <c r="AD183">
        <v>30</v>
      </c>
      <c r="AE183" t="str">
        <v>single</v>
      </c>
    </row>
    <row r="184" spans="1:31" hidden="1" x14ac:dyDescent="0.25">
      <c r="A184">
        <v>183</v>
      </c>
      <c r="B184">
        <v>2025</v>
      </c>
      <c r="C184">
        <v>5</v>
      </c>
      <c r="D184">
        <v>31</v>
      </c>
      <c r="E184">
        <v>4</v>
      </c>
      <c r="F184" t="str">
        <v>90ZP408</v>
      </c>
      <c r="G184" s="167">
        <v>26</v>
      </c>
      <c r="H184" t="str">
        <v>single</v>
      </c>
      <c r="I184" t="str">
        <v/>
      </c>
      <c r="J184">
        <v>11</v>
      </c>
      <c r="K184" s="167">
        <f ca="1"/>
        <v>55.36</v>
      </c>
      <c r="L184" s="167">
        <f ca="1"/>
        <v>1439.36</v>
      </c>
      <c r="AA184">
        <v>31</v>
      </c>
      <c r="AB184">
        <v>9</v>
      </c>
      <c r="AC184" t="str">
        <v>90VS316</v>
      </c>
      <c r="AD184">
        <v>31</v>
      </c>
      <c r="AE184" t="str">
        <v>single</v>
      </c>
    </row>
    <row r="185" spans="1:31" hidden="1" x14ac:dyDescent="0.25">
      <c r="A185">
        <v>184</v>
      </c>
      <c r="B185">
        <v>2025</v>
      </c>
      <c r="C185">
        <v>5</v>
      </c>
      <c r="D185">
        <v>31</v>
      </c>
      <c r="E185">
        <v>4</v>
      </c>
      <c r="F185" t="str">
        <v>66CC029</v>
      </c>
      <c r="G185" s="167">
        <v>31</v>
      </c>
      <c r="H185" t="str">
        <v>single</v>
      </c>
      <c r="I185" t="str">
        <v/>
      </c>
      <c r="J185">
        <v>15</v>
      </c>
      <c r="K185" s="167">
        <f ca="1"/>
        <v>55.36</v>
      </c>
      <c r="L185" s="167">
        <f ca="1"/>
        <v>1716.16</v>
      </c>
      <c r="AA185">
        <v>31</v>
      </c>
      <c r="AB185">
        <v>9</v>
      </c>
      <c r="AC185" t="str">
        <v>90YN163</v>
      </c>
      <c r="AD185">
        <v>30</v>
      </c>
      <c r="AE185" t="str">
        <v>single</v>
      </c>
    </row>
    <row r="186" spans="1:31" hidden="1" x14ac:dyDescent="0.25">
      <c r="A186">
        <v>185</v>
      </c>
      <c r="B186">
        <v>2025</v>
      </c>
      <c r="C186">
        <v>5</v>
      </c>
      <c r="D186">
        <v>31</v>
      </c>
      <c r="E186">
        <v>4</v>
      </c>
      <c r="F186" t="str">
        <v>77QK725</v>
      </c>
      <c r="G186" s="167">
        <v>15</v>
      </c>
      <c r="H186" t="str">
        <v>single</v>
      </c>
      <c r="I186" t="str">
        <v/>
      </c>
      <c r="J186">
        <v>17</v>
      </c>
      <c r="K186" s="167">
        <f ca="1"/>
        <v>275</v>
      </c>
      <c r="L186" s="167">
        <f ca="1"/>
        <v>4125</v>
      </c>
      <c r="AA186">
        <v>31</v>
      </c>
      <c r="AB186">
        <v>9</v>
      </c>
      <c r="AC186" t="str">
        <v>99BT339</v>
      </c>
      <c r="AD186">
        <v>31</v>
      </c>
      <c r="AE186" t="str">
        <v>single</v>
      </c>
    </row>
    <row r="187" spans="1:31" hidden="1" x14ac:dyDescent="0.25">
      <c r="A187">
        <v>186</v>
      </c>
      <c r="B187">
        <v>2025</v>
      </c>
      <c r="C187">
        <v>5</v>
      </c>
      <c r="D187">
        <v>31</v>
      </c>
      <c r="E187">
        <v>4</v>
      </c>
      <c r="F187" t="str">
        <v>77AT386</v>
      </c>
      <c r="G187" s="167">
        <v>31</v>
      </c>
      <c r="H187" t="str">
        <v>single</v>
      </c>
      <c r="I187" t="str">
        <v/>
      </c>
      <c r="J187">
        <v>13</v>
      </c>
      <c r="K187" s="167">
        <f ca="1"/>
        <v>46.67</v>
      </c>
      <c r="L187" s="167">
        <f ca="1"/>
        <v>1446.77</v>
      </c>
      <c r="AA187">
        <v>31</v>
      </c>
      <c r="AB187">
        <v>9</v>
      </c>
      <c r="AC187" t="str">
        <v>99CN447</v>
      </c>
      <c r="AD187">
        <v>30</v>
      </c>
      <c r="AE187" t="str">
        <v>single</v>
      </c>
    </row>
    <row r="188" spans="1:31" hidden="1" x14ac:dyDescent="0.25">
      <c r="A188">
        <v>187</v>
      </c>
      <c r="B188">
        <v>2025</v>
      </c>
      <c r="C188">
        <v>5</v>
      </c>
      <c r="D188">
        <v>31</v>
      </c>
      <c r="E188">
        <v>4</v>
      </c>
      <c r="F188" t="str">
        <v>90SL686</v>
      </c>
      <c r="G188" s="167">
        <v>31</v>
      </c>
      <c r="H188" t="str">
        <v>single</v>
      </c>
      <c r="I188" t="str">
        <v/>
      </c>
      <c r="J188">
        <v>19</v>
      </c>
      <c r="K188" s="167">
        <f ca="1"/>
        <v>58.93</v>
      </c>
      <c r="L188" s="167">
        <f ca="1"/>
        <v>1826.83</v>
      </c>
      <c r="AA188">
        <v>31</v>
      </c>
      <c r="AB188">
        <v>9</v>
      </c>
      <c r="AC188" t="str">
        <v>99FO779</v>
      </c>
      <c r="AD188">
        <v>30</v>
      </c>
      <c r="AE188" t="str">
        <v>single</v>
      </c>
    </row>
    <row r="189" spans="1:31" hidden="1" x14ac:dyDescent="0.25">
      <c r="A189">
        <v>188</v>
      </c>
      <c r="B189">
        <v>2025</v>
      </c>
      <c r="C189">
        <v>5</v>
      </c>
      <c r="D189">
        <v>31</v>
      </c>
      <c r="E189">
        <v>4</v>
      </c>
      <c r="F189" t="str">
        <v>55CB633</v>
      </c>
      <c r="G189" s="167">
        <v>29</v>
      </c>
      <c r="H189" t="str">
        <v>single</v>
      </c>
      <c r="I189" t="str">
        <v/>
      </c>
      <c r="J189">
        <v>57</v>
      </c>
      <c r="K189" s="167">
        <f ca="1"/>
        <v>55.36</v>
      </c>
      <c r="L189" s="167">
        <f ca="1"/>
        <v>1605.44</v>
      </c>
      <c r="AA189">
        <v>31</v>
      </c>
      <c r="AB189">
        <v>9</v>
      </c>
      <c r="AC189" t="str">
        <v>99GZ612</v>
      </c>
      <c r="AD189">
        <v>12</v>
      </c>
      <c r="AE189" t="str">
        <v>single</v>
      </c>
    </row>
    <row r="190" spans="1:31" hidden="1" x14ac:dyDescent="0.25">
      <c r="A190">
        <v>189</v>
      </c>
      <c r="B190">
        <v>2025</v>
      </c>
      <c r="C190">
        <v>5</v>
      </c>
      <c r="D190">
        <v>31</v>
      </c>
      <c r="E190">
        <v>4</v>
      </c>
      <c r="F190" t="str">
        <v>99BT339</v>
      </c>
      <c r="G190" s="167">
        <v>39</v>
      </c>
      <c r="H190" t="str">
        <v>single</v>
      </c>
      <c r="I190" t="str">
        <v/>
      </c>
      <c r="J190">
        <v>93</v>
      </c>
      <c r="K190" s="167">
        <f ca="1"/>
        <v>55.36</v>
      </c>
      <c r="L190" s="167">
        <f ca="1"/>
        <v>2159.04</v>
      </c>
      <c r="AA190">
        <v>31</v>
      </c>
      <c r="AB190">
        <v>9</v>
      </c>
      <c r="AC190" t="str">
        <v>99HZ395</v>
      </c>
      <c r="AD190">
        <v>29</v>
      </c>
      <c r="AE190" t="str">
        <v>single</v>
      </c>
    </row>
    <row r="191" spans="1:31" hidden="1" x14ac:dyDescent="0.25">
      <c r="A191">
        <v>190</v>
      </c>
      <c r="B191">
        <v>2025</v>
      </c>
      <c r="C191">
        <v>5</v>
      </c>
      <c r="D191">
        <v>31</v>
      </c>
      <c r="E191">
        <v>4</v>
      </c>
      <c r="F191" t="str">
        <v>77ET143</v>
      </c>
      <c r="G191" s="167">
        <v>30</v>
      </c>
      <c r="H191" t="str">
        <v>single</v>
      </c>
      <c r="I191" t="str">
        <v/>
      </c>
      <c r="J191">
        <v>59</v>
      </c>
      <c r="K191" s="167">
        <f ca="1"/>
        <v>55.36</v>
      </c>
      <c r="L191" s="167">
        <f ca="1"/>
        <v>1660.8</v>
      </c>
      <c r="AA191">
        <v>31</v>
      </c>
      <c r="AB191">
        <v>9</v>
      </c>
      <c r="AC191" t="str">
        <v>99KL663</v>
      </c>
      <c r="AD191">
        <v>31</v>
      </c>
      <c r="AE191" t="str">
        <v>single</v>
      </c>
    </row>
    <row r="192" spans="1:31" hidden="1" x14ac:dyDescent="0.25">
      <c r="A192">
        <v>191</v>
      </c>
      <c r="B192">
        <v>2025</v>
      </c>
      <c r="C192">
        <v>5</v>
      </c>
      <c r="D192">
        <v>31</v>
      </c>
      <c r="E192">
        <v>4</v>
      </c>
      <c r="F192" t="str">
        <v>50DK730</v>
      </c>
      <c r="G192" s="167">
        <v>31</v>
      </c>
      <c r="H192" t="str">
        <v>single</v>
      </c>
      <c r="I192" t="str">
        <v/>
      </c>
      <c r="J192">
        <v>47</v>
      </c>
      <c r="K192" s="167">
        <f ca="1"/>
        <v>55.36</v>
      </c>
      <c r="L192" s="167">
        <f ca="1"/>
        <v>1716.16</v>
      </c>
      <c r="AA192">
        <v>31</v>
      </c>
      <c r="AB192">
        <v>9</v>
      </c>
      <c r="AC192" t="str">
        <v>99LM412</v>
      </c>
      <c r="AD192">
        <v>31</v>
      </c>
      <c r="AE192" t="str">
        <v>single</v>
      </c>
    </row>
    <row r="193" spans="1:31" hidden="1" x14ac:dyDescent="0.25">
      <c r="A193">
        <v>192</v>
      </c>
      <c r="B193">
        <v>2025</v>
      </c>
      <c r="C193">
        <v>5</v>
      </c>
      <c r="D193">
        <v>31</v>
      </c>
      <c r="E193">
        <v>4</v>
      </c>
      <c r="F193" t="str">
        <v>99MN472</v>
      </c>
      <c r="G193" s="167">
        <v>31</v>
      </c>
      <c r="H193" t="str">
        <v>single</v>
      </c>
      <c r="I193" t="str">
        <v/>
      </c>
      <c r="J193">
        <v>108</v>
      </c>
      <c r="K193" s="167">
        <f ca="1"/>
        <v>55.36</v>
      </c>
      <c r="L193" s="167">
        <f ca="1"/>
        <v>1716.16</v>
      </c>
      <c r="AA193">
        <v>31</v>
      </c>
      <c r="AB193">
        <v>9</v>
      </c>
      <c r="AC193" t="str">
        <v>99MN472</v>
      </c>
      <c r="AD193">
        <v>28</v>
      </c>
      <c r="AE193" t="str">
        <v>single</v>
      </c>
    </row>
    <row r="194" spans="1:31" hidden="1" x14ac:dyDescent="0.25">
      <c r="A194">
        <v>193</v>
      </c>
      <c r="B194">
        <v>2025</v>
      </c>
      <c r="C194">
        <v>5</v>
      </c>
      <c r="D194">
        <v>31</v>
      </c>
      <c r="E194">
        <v>4</v>
      </c>
      <c r="F194" t="str">
        <v>99LM412</v>
      </c>
      <c r="G194" s="167">
        <v>31</v>
      </c>
      <c r="H194" t="str">
        <v>single</v>
      </c>
      <c r="I194" t="str">
        <v/>
      </c>
      <c r="J194">
        <v>116</v>
      </c>
      <c r="K194" s="167">
        <f ca="1"/>
        <v>55.36</v>
      </c>
      <c r="L194" s="167">
        <f ca="1"/>
        <v>1716.16</v>
      </c>
      <c r="AA194">
        <v>31</v>
      </c>
      <c r="AB194">
        <v>9</v>
      </c>
      <c r="AC194" t="str">
        <v>99OR961</v>
      </c>
      <c r="AD194">
        <v>30</v>
      </c>
      <c r="AE194" t="str">
        <v>single</v>
      </c>
    </row>
    <row r="195" spans="1:31" hidden="1" x14ac:dyDescent="0.25">
      <c r="A195">
        <v>194</v>
      </c>
      <c r="B195">
        <v>2025</v>
      </c>
      <c r="C195">
        <v>5</v>
      </c>
      <c r="D195">
        <v>31</v>
      </c>
      <c r="E195">
        <v>4</v>
      </c>
      <c r="F195" t="str">
        <v>50BD165</v>
      </c>
      <c r="G195" s="167">
        <v>31</v>
      </c>
      <c r="H195" t="str">
        <v>single</v>
      </c>
      <c r="I195" t="str">
        <v/>
      </c>
      <c r="J195">
        <v>41</v>
      </c>
      <c r="K195" s="167">
        <f ca="1"/>
        <v>55.36</v>
      </c>
      <c r="L195" s="167">
        <f ca="1"/>
        <v>1716.16</v>
      </c>
      <c r="AA195">
        <v>31</v>
      </c>
      <c r="AB195">
        <v>9</v>
      </c>
      <c r="AC195" t="str">
        <v>99UK314</v>
      </c>
      <c r="AD195">
        <v>31</v>
      </c>
      <c r="AE195" t="str">
        <v>single</v>
      </c>
    </row>
    <row r="196" spans="1:31" hidden="1" x14ac:dyDescent="0.25">
      <c r="A196">
        <v>195</v>
      </c>
      <c r="B196">
        <v>2025</v>
      </c>
      <c r="C196">
        <v>5</v>
      </c>
      <c r="D196">
        <v>31</v>
      </c>
      <c r="E196">
        <v>4</v>
      </c>
      <c r="F196" t="str">
        <v>77QE133</v>
      </c>
      <c r="G196" s="167">
        <v>28</v>
      </c>
      <c r="H196" t="str">
        <v>single</v>
      </c>
      <c r="I196" t="str">
        <v/>
      </c>
      <c r="J196">
        <v>69</v>
      </c>
      <c r="K196" s="167">
        <f ca="1"/>
        <v>73.33</v>
      </c>
      <c r="L196" s="167">
        <f ca="1"/>
        <v>2053.2399999999998</v>
      </c>
      <c r="AA196">
        <v>31</v>
      </c>
      <c r="AB196">
        <v>10</v>
      </c>
      <c r="AC196" t="str">
        <v>10RN527</v>
      </c>
      <c r="AD196">
        <v>29</v>
      </c>
      <c r="AE196" t="str">
        <v>single</v>
      </c>
    </row>
    <row r="197" spans="1:31" hidden="1" x14ac:dyDescent="0.25">
      <c r="A197">
        <v>196</v>
      </c>
      <c r="B197">
        <v>2025</v>
      </c>
      <c r="C197">
        <v>5</v>
      </c>
      <c r="D197">
        <v>31</v>
      </c>
      <c r="E197">
        <v>4</v>
      </c>
      <c r="F197" t="str">
        <v>90VS316</v>
      </c>
      <c r="G197" s="167">
        <v>30</v>
      </c>
      <c r="H197" t="str">
        <v>single</v>
      </c>
      <c r="I197" t="str">
        <v/>
      </c>
      <c r="J197">
        <v>87</v>
      </c>
      <c r="K197" s="167">
        <f ca="1"/>
        <v>55.36</v>
      </c>
      <c r="L197" s="167">
        <f ca="1"/>
        <v>1660.8</v>
      </c>
      <c r="AA197">
        <v>31</v>
      </c>
      <c r="AB197">
        <v>10</v>
      </c>
      <c r="AC197" t="str">
        <v>21BF442</v>
      </c>
      <c r="AD197">
        <v>28</v>
      </c>
      <c r="AE197" t="str">
        <v>single</v>
      </c>
    </row>
    <row r="198" spans="1:31" hidden="1" x14ac:dyDescent="0.25">
      <c r="A198">
        <v>197</v>
      </c>
      <c r="B198">
        <v>2025</v>
      </c>
      <c r="C198">
        <v>5</v>
      </c>
      <c r="D198">
        <v>31</v>
      </c>
      <c r="E198">
        <v>4</v>
      </c>
      <c r="F198" t="str">
        <v>99EM163</v>
      </c>
      <c r="G198" s="167">
        <v>4</v>
      </c>
      <c r="H198" t="str">
        <v>single</v>
      </c>
      <c r="I198" t="str">
        <v/>
      </c>
      <c r="J198">
        <v>100</v>
      </c>
      <c r="K198" s="167">
        <f ca="1"/>
        <v>55.36</v>
      </c>
      <c r="L198" s="167">
        <f ca="1"/>
        <v>221.44</v>
      </c>
      <c r="AA198">
        <v>31</v>
      </c>
      <c r="AB198">
        <v>10</v>
      </c>
      <c r="AC198" t="str">
        <v>50BD165</v>
      </c>
      <c r="AD198">
        <v>12</v>
      </c>
      <c r="AE198" t="str">
        <v>single</v>
      </c>
    </row>
    <row r="199" spans="1:31" hidden="1" x14ac:dyDescent="0.25">
      <c r="A199">
        <v>198</v>
      </c>
      <c r="B199">
        <v>2025</v>
      </c>
      <c r="C199">
        <v>5</v>
      </c>
      <c r="D199">
        <v>31</v>
      </c>
      <c r="E199">
        <v>4</v>
      </c>
      <c r="F199" t="str">
        <v>53BB774</v>
      </c>
      <c r="G199" s="167">
        <v>4</v>
      </c>
      <c r="H199" s="168" t="str">
        <v>single</v>
      </c>
      <c r="I199" t="str">
        <v/>
      </c>
      <c r="J199">
        <v>53</v>
      </c>
      <c r="K199" s="167">
        <f ca="1"/>
        <v>55.36</v>
      </c>
      <c r="L199" s="167">
        <f ca="1"/>
        <v>221.44</v>
      </c>
      <c r="AA199">
        <v>31</v>
      </c>
      <c r="AB199">
        <v>10</v>
      </c>
      <c r="AC199" t="str">
        <v>50DK730</v>
      </c>
      <c r="AD199">
        <v>29</v>
      </c>
      <c r="AE199" t="str">
        <v>single</v>
      </c>
    </row>
    <row r="200" spans="1:31" hidden="1" x14ac:dyDescent="0.25">
      <c r="A200">
        <v>199</v>
      </c>
      <c r="B200">
        <v>2025</v>
      </c>
      <c r="C200">
        <v>5</v>
      </c>
      <c r="D200">
        <v>31</v>
      </c>
      <c r="E200">
        <v>4</v>
      </c>
      <c r="F200" t="str">
        <v>66CC029</v>
      </c>
      <c r="G200" s="167">
        <v>93</v>
      </c>
      <c r="H200" s="168" t="str">
        <v>hour</v>
      </c>
      <c r="I200" t="str">
        <v/>
      </c>
      <c r="J200">
        <v>16</v>
      </c>
      <c r="K200" s="167">
        <f ca="1"/>
        <v>5.5359999999999996</v>
      </c>
      <c r="L200" s="167">
        <f ca="1"/>
        <v>514.84799999999996</v>
      </c>
      <c r="AA200">
        <v>31</v>
      </c>
      <c r="AB200">
        <v>10</v>
      </c>
      <c r="AC200" t="str">
        <v>50EF902</v>
      </c>
      <c r="AD200">
        <v>28</v>
      </c>
      <c r="AE200" t="str">
        <v>single</v>
      </c>
    </row>
    <row r="201" spans="1:31" hidden="1" x14ac:dyDescent="0.25">
      <c r="A201">
        <v>200</v>
      </c>
      <c r="B201">
        <v>2025</v>
      </c>
      <c r="C201">
        <v>5</v>
      </c>
      <c r="D201">
        <v>31</v>
      </c>
      <c r="E201">
        <v>4</v>
      </c>
      <c r="F201" t="str">
        <v>90SL686</v>
      </c>
      <c r="G201" s="167">
        <v>82.499999999999986</v>
      </c>
      <c r="H201" s="168" t="str">
        <v>hour</v>
      </c>
      <c r="I201" t="str">
        <v/>
      </c>
      <c r="J201">
        <v>20</v>
      </c>
      <c r="K201" s="167">
        <f ca="1"/>
        <v>5.8929999999999998</v>
      </c>
      <c r="L201" s="167">
        <f ca="1"/>
        <v>486.1724999999999</v>
      </c>
      <c r="AA201">
        <v>31</v>
      </c>
      <c r="AB201">
        <v>10</v>
      </c>
      <c r="AC201" t="str">
        <v>55CB633</v>
      </c>
      <c r="AD201">
        <v>29</v>
      </c>
      <c r="AE201" t="str">
        <v>single</v>
      </c>
    </row>
    <row r="202" spans="1:31" hidden="1" x14ac:dyDescent="0.25">
      <c r="A202">
        <v>201</v>
      </c>
      <c r="B202">
        <v>2025</v>
      </c>
      <c r="C202">
        <v>5</v>
      </c>
      <c r="D202">
        <v>31</v>
      </c>
      <c r="E202">
        <v>4</v>
      </c>
      <c r="F202" t="str">
        <v>55CB633</v>
      </c>
      <c r="G202" s="167">
        <v>68.999999999999972</v>
      </c>
      <c r="H202" s="168" t="str">
        <v>hour</v>
      </c>
      <c r="I202" t="str">
        <v/>
      </c>
      <c r="J202">
        <v>56</v>
      </c>
      <c r="K202" s="167">
        <f ca="1"/>
        <v>5.5359999999999996</v>
      </c>
      <c r="L202" s="167">
        <f ca="1"/>
        <v>381.98399999999981</v>
      </c>
      <c r="AA202">
        <v>31</v>
      </c>
      <c r="AB202">
        <v>10</v>
      </c>
      <c r="AC202" t="str">
        <v>77SR538</v>
      </c>
      <c r="AD202">
        <v>30</v>
      </c>
      <c r="AE202" t="str">
        <v>single</v>
      </c>
    </row>
    <row r="203" spans="1:31" hidden="1" x14ac:dyDescent="0.25">
      <c r="A203">
        <v>202</v>
      </c>
      <c r="B203">
        <v>2025</v>
      </c>
      <c r="C203">
        <v>5</v>
      </c>
      <c r="D203">
        <v>31</v>
      </c>
      <c r="E203">
        <v>4</v>
      </c>
      <c r="F203" t="str">
        <v>99BT339</v>
      </c>
      <c r="G203" s="167">
        <v>39.999999999999957</v>
      </c>
      <c r="H203" s="168" t="str">
        <v>hour</v>
      </c>
      <c r="I203" t="str">
        <v/>
      </c>
      <c r="J203">
        <v>92</v>
      </c>
      <c r="K203" s="167">
        <f ca="1"/>
        <v>5.5359999999999996</v>
      </c>
      <c r="L203" s="167">
        <f ca="1"/>
        <v>221.43999999999974</v>
      </c>
      <c r="AA203">
        <v>31</v>
      </c>
      <c r="AB203">
        <v>10</v>
      </c>
      <c r="AC203" t="str">
        <v>77TG971</v>
      </c>
      <c r="AD203">
        <v>29</v>
      </c>
      <c r="AE203" t="str">
        <v>single</v>
      </c>
    </row>
    <row r="204" spans="1:31" hidden="1" x14ac:dyDescent="0.25">
      <c r="A204">
        <v>203</v>
      </c>
      <c r="B204">
        <v>2025</v>
      </c>
      <c r="C204">
        <v>5</v>
      </c>
      <c r="D204">
        <v>31</v>
      </c>
      <c r="E204">
        <v>4</v>
      </c>
      <c r="F204" t="str">
        <v>50DK730</v>
      </c>
      <c r="G204" s="167">
        <v>99.999999999999986</v>
      </c>
      <c r="H204" t="str">
        <v>hour</v>
      </c>
      <c r="I204" t="str">
        <v/>
      </c>
      <c r="J204">
        <v>46</v>
      </c>
      <c r="K204" s="167">
        <f ca="1"/>
        <v>5.5359999999999996</v>
      </c>
      <c r="L204" s="167">
        <f ca="1"/>
        <v>553.59999999999991</v>
      </c>
      <c r="AA204">
        <v>31</v>
      </c>
      <c r="AB204">
        <v>10</v>
      </c>
      <c r="AC204" t="str">
        <v>77UR032</v>
      </c>
      <c r="AD204">
        <v>28</v>
      </c>
      <c r="AE204" t="str">
        <v>single</v>
      </c>
    </row>
    <row r="205" spans="1:31" hidden="1" x14ac:dyDescent="0.25">
      <c r="A205">
        <v>204</v>
      </c>
      <c r="B205">
        <v>2025</v>
      </c>
      <c r="C205">
        <v>5</v>
      </c>
      <c r="D205">
        <v>31</v>
      </c>
      <c r="E205">
        <v>4</v>
      </c>
      <c r="F205" t="str">
        <v>99MN472</v>
      </c>
      <c r="G205" s="167">
        <v>61.999999999999943</v>
      </c>
      <c r="H205" t="str">
        <v>hour</v>
      </c>
      <c r="I205" t="str">
        <v/>
      </c>
      <c r="J205">
        <v>107</v>
      </c>
      <c r="K205" s="167">
        <f ca="1"/>
        <v>5.5359999999999996</v>
      </c>
      <c r="L205" s="167">
        <f ca="1"/>
        <v>343.23199999999969</v>
      </c>
      <c r="AA205">
        <v>31</v>
      </c>
      <c r="AB205">
        <v>10</v>
      </c>
      <c r="AC205" t="str">
        <v>77VL420</v>
      </c>
      <c r="AD205">
        <v>29</v>
      </c>
      <c r="AE205" t="str">
        <v>single</v>
      </c>
    </row>
    <row r="206" spans="1:31" hidden="1" x14ac:dyDescent="0.25">
      <c r="A206">
        <v>205</v>
      </c>
      <c r="B206">
        <v>2025</v>
      </c>
      <c r="C206">
        <v>5</v>
      </c>
      <c r="D206">
        <v>31</v>
      </c>
      <c r="E206">
        <v>4</v>
      </c>
      <c r="F206" t="str">
        <v>99LM412</v>
      </c>
      <c r="G206" s="167">
        <v>37.999999999999972</v>
      </c>
      <c r="H206" t="str">
        <v>hour</v>
      </c>
      <c r="I206" t="str">
        <v/>
      </c>
      <c r="J206">
        <v>115</v>
      </c>
      <c r="K206" s="167">
        <f ca="1"/>
        <v>5.5359999999999996</v>
      </c>
      <c r="L206" s="167">
        <f ca="1"/>
        <v>210.36799999999982</v>
      </c>
      <c r="AA206">
        <v>31</v>
      </c>
      <c r="AB206">
        <v>10</v>
      </c>
      <c r="AC206" t="str">
        <v>90EC344</v>
      </c>
      <c r="AD206">
        <v>29</v>
      </c>
      <c r="AE206" t="str">
        <v>single</v>
      </c>
    </row>
    <row r="207" spans="1:31" hidden="1" x14ac:dyDescent="0.25">
      <c r="A207">
        <v>206</v>
      </c>
      <c r="B207">
        <v>2025</v>
      </c>
      <c r="C207">
        <v>5</v>
      </c>
      <c r="D207">
        <v>31</v>
      </c>
      <c r="E207">
        <v>4</v>
      </c>
      <c r="F207" t="str">
        <v>50BD165</v>
      </c>
      <c r="G207" s="167">
        <v>51.999999999999957</v>
      </c>
      <c r="H207" t="str">
        <v>hour</v>
      </c>
      <c r="I207" t="str">
        <v/>
      </c>
      <c r="J207">
        <v>40</v>
      </c>
      <c r="K207" s="167">
        <f ca="1"/>
        <v>5.5359999999999996</v>
      </c>
      <c r="L207" s="167">
        <f ca="1"/>
        <v>287.87199999999973</v>
      </c>
      <c r="AA207">
        <v>31</v>
      </c>
      <c r="AB207">
        <v>10</v>
      </c>
      <c r="AC207" t="str">
        <v>90LS143</v>
      </c>
      <c r="AD207">
        <v>29</v>
      </c>
      <c r="AE207" t="str">
        <v>single</v>
      </c>
    </row>
    <row r="208" spans="1:31" hidden="1" x14ac:dyDescent="0.25">
      <c r="A208">
        <v>207</v>
      </c>
      <c r="B208">
        <v>2025</v>
      </c>
      <c r="C208">
        <v>5</v>
      </c>
      <c r="D208">
        <v>31</v>
      </c>
      <c r="E208">
        <v>4</v>
      </c>
      <c r="F208" t="str">
        <v>90VS316</v>
      </c>
      <c r="G208" s="167">
        <v>48.999999999999972</v>
      </c>
      <c r="H208" t="str">
        <v>hour</v>
      </c>
      <c r="I208" t="str">
        <v/>
      </c>
      <c r="J208">
        <v>86</v>
      </c>
      <c r="K208" s="167">
        <f ca="1"/>
        <v>5.5359999999999996</v>
      </c>
      <c r="L208" s="167">
        <f ca="1"/>
        <v>271.26399999999984</v>
      </c>
      <c r="AA208">
        <v>31</v>
      </c>
      <c r="AB208">
        <v>10</v>
      </c>
      <c r="AC208" t="str">
        <v>90OE402</v>
      </c>
      <c r="AD208">
        <v>30</v>
      </c>
      <c r="AE208" t="str">
        <v>single</v>
      </c>
    </row>
    <row r="209" spans="1:31" hidden="1" x14ac:dyDescent="0.25">
      <c r="A209">
        <v>208</v>
      </c>
      <c r="B209">
        <v>2025</v>
      </c>
      <c r="C209">
        <v>5</v>
      </c>
      <c r="D209">
        <v>31</v>
      </c>
      <c r="E209">
        <v>4</v>
      </c>
      <c r="F209" t="str">
        <v/>
      </c>
      <c r="G209" s="167">
        <v>7701.45</v>
      </c>
      <c r="H209" t="str">
        <v/>
      </c>
      <c r="I209" t="str">
        <v/>
      </c>
      <c r="J209" t="str">
        <v>M-1</v>
      </c>
      <c r="K209" s="167">
        <f ca="1"/>
        <v>1</v>
      </c>
      <c r="L209" s="167">
        <f ca="1"/>
        <v>7701.45</v>
      </c>
      <c r="AA209">
        <v>31</v>
      </c>
      <c r="AB209">
        <v>10</v>
      </c>
      <c r="AC209" t="str">
        <v>90VS316</v>
      </c>
      <c r="AD209">
        <v>13</v>
      </c>
      <c r="AE209" t="str">
        <v>single</v>
      </c>
    </row>
    <row r="210" spans="1:31" hidden="1" x14ac:dyDescent="0.25">
      <c r="A210">
        <v>209</v>
      </c>
      <c r="B210">
        <v>2025</v>
      </c>
      <c r="C210">
        <v>5</v>
      </c>
      <c r="D210">
        <v>31</v>
      </c>
      <c r="E210">
        <v>4</v>
      </c>
      <c r="F210" t="str">
        <v/>
      </c>
      <c r="G210" s="167">
        <v>6357</v>
      </c>
      <c r="H210" t="str">
        <v/>
      </c>
      <c r="I210" t="str">
        <v/>
      </c>
      <c r="J210" t="str">
        <v>R-1</v>
      </c>
      <c r="K210" s="167">
        <f ca="1"/>
        <v>-1</v>
      </c>
      <c r="L210" s="167">
        <f ca="1"/>
        <v>-6357</v>
      </c>
      <c r="AA210">
        <v>31</v>
      </c>
      <c r="AB210">
        <v>10</v>
      </c>
      <c r="AC210" t="str">
        <v>99BT339</v>
      </c>
      <c r="AD210">
        <v>29</v>
      </c>
      <c r="AE210" t="str">
        <v>single</v>
      </c>
    </row>
    <row r="211" spans="1:31" hidden="1" x14ac:dyDescent="0.25">
      <c r="A211">
        <v>210</v>
      </c>
      <c r="B211">
        <v>2025</v>
      </c>
      <c r="C211">
        <v>5</v>
      </c>
      <c r="D211">
        <v>33</v>
      </c>
      <c r="E211">
        <v>9</v>
      </c>
      <c r="F211" t="str">
        <v/>
      </c>
      <c r="G211" s="167">
        <v>-71872</v>
      </c>
      <c r="H211" t="str">
        <v/>
      </c>
      <c r="I211" t="str">
        <v/>
      </c>
      <c r="J211">
        <v>7</v>
      </c>
      <c r="K211" s="167">
        <f ca="1"/>
        <v>1.45</v>
      </c>
      <c r="L211" s="167">
        <f ca="1"/>
        <v>-104214.39999999999</v>
      </c>
      <c r="AA211">
        <v>31</v>
      </c>
      <c r="AB211">
        <v>10</v>
      </c>
      <c r="AC211" t="str">
        <v>99CN447</v>
      </c>
      <c r="AD211">
        <v>29</v>
      </c>
      <c r="AE211" t="str">
        <v>single</v>
      </c>
    </row>
    <row r="212" spans="1:31" hidden="1" x14ac:dyDescent="0.25">
      <c r="A212">
        <v>211</v>
      </c>
      <c r="B212">
        <v>2025</v>
      </c>
      <c r="C212">
        <v>5</v>
      </c>
      <c r="D212">
        <v>33</v>
      </c>
      <c r="E212">
        <v>9</v>
      </c>
      <c r="F212" t="str">
        <v/>
      </c>
      <c r="G212" s="167">
        <v>-102630</v>
      </c>
      <c r="H212" t="str">
        <v/>
      </c>
      <c r="I212" t="str">
        <v/>
      </c>
      <c r="J212">
        <v>8</v>
      </c>
      <c r="K212" s="167">
        <f ca="1"/>
        <v>4.2</v>
      </c>
      <c r="L212" s="167">
        <f ca="1"/>
        <v>-431046</v>
      </c>
      <c r="AA212">
        <v>31</v>
      </c>
      <c r="AB212">
        <v>10</v>
      </c>
      <c r="AC212" t="str">
        <v>99EM163</v>
      </c>
      <c r="AD212">
        <v>1</v>
      </c>
      <c r="AE212" t="str">
        <v>single</v>
      </c>
    </row>
    <row r="213" spans="1:31" hidden="1" x14ac:dyDescent="0.25">
      <c r="A213">
        <v>212</v>
      </c>
      <c r="B213">
        <v>2025</v>
      </c>
      <c r="C213">
        <v>5</v>
      </c>
      <c r="D213">
        <v>33</v>
      </c>
      <c r="E213">
        <v>9</v>
      </c>
      <c r="F213" t="str">
        <v/>
      </c>
      <c r="G213" s="167">
        <v>-90623</v>
      </c>
      <c r="H213" t="str">
        <v/>
      </c>
      <c r="I213" t="str">
        <v/>
      </c>
      <c r="J213">
        <v>9</v>
      </c>
      <c r="K213" s="167">
        <f ca="1"/>
        <v>4.2</v>
      </c>
      <c r="L213" s="167">
        <f ca="1"/>
        <v>-380616.60000000003</v>
      </c>
      <c r="AA213">
        <v>31</v>
      </c>
      <c r="AB213">
        <v>10</v>
      </c>
      <c r="AC213" t="str">
        <v>99FO779</v>
      </c>
      <c r="AD213">
        <v>28</v>
      </c>
      <c r="AE213" t="str">
        <v>single</v>
      </c>
    </row>
    <row r="214" spans="1:31" hidden="1" x14ac:dyDescent="0.25">
      <c r="A214">
        <v>213</v>
      </c>
      <c r="B214">
        <v>2025</v>
      </c>
      <c r="C214">
        <v>5</v>
      </c>
      <c r="D214">
        <v>33</v>
      </c>
      <c r="E214">
        <v>9</v>
      </c>
      <c r="F214" t="str">
        <v/>
      </c>
      <c r="G214" s="167" t="str">
        <v/>
      </c>
      <c r="H214" t="str">
        <v/>
      </c>
      <c r="I214" t="str">
        <v/>
      </c>
      <c r="J214">
        <v>10</v>
      </c>
      <c r="K214" s="167">
        <f ca="1"/>
        <v>4.2</v>
      </c>
      <c r="L214" s="167" t="e">
        <f ca="1"/>
        <v>#VALUE!</v>
      </c>
      <c r="AA214">
        <v>31</v>
      </c>
      <c r="AB214">
        <v>10</v>
      </c>
      <c r="AC214" t="str">
        <v>99KL663</v>
      </c>
      <c r="AD214">
        <v>29</v>
      </c>
      <c r="AE214" t="str">
        <v>single</v>
      </c>
    </row>
    <row r="215" spans="1:31" hidden="1" x14ac:dyDescent="0.25">
      <c r="A215">
        <v>214</v>
      </c>
      <c r="B215">
        <v>2025</v>
      </c>
      <c r="C215">
        <v>5</v>
      </c>
      <c r="D215">
        <v>33</v>
      </c>
      <c r="E215">
        <v>9</v>
      </c>
      <c r="F215" t="str">
        <v/>
      </c>
      <c r="G215" s="167">
        <v>-11560</v>
      </c>
      <c r="H215" t="str">
        <v/>
      </c>
      <c r="I215" t="str">
        <v/>
      </c>
      <c r="J215">
        <v>11</v>
      </c>
      <c r="K215" s="167">
        <f ca="1"/>
        <v>3.5</v>
      </c>
      <c r="L215" s="167">
        <f ca="1"/>
        <v>-40460</v>
      </c>
      <c r="AA215">
        <v>31</v>
      </c>
      <c r="AB215">
        <v>10</v>
      </c>
      <c r="AC215" t="str">
        <v>99LM412</v>
      </c>
      <c r="AD215">
        <v>29</v>
      </c>
      <c r="AE215" t="str">
        <v>single</v>
      </c>
    </row>
    <row r="216" spans="1:31" hidden="1" x14ac:dyDescent="0.25">
      <c r="A216">
        <v>215</v>
      </c>
      <c r="B216">
        <v>2025</v>
      </c>
      <c r="C216">
        <v>5</v>
      </c>
      <c r="D216">
        <v>33</v>
      </c>
      <c r="E216">
        <v>9</v>
      </c>
      <c r="F216" t="str">
        <v/>
      </c>
      <c r="G216" s="167">
        <v>101270</v>
      </c>
      <c r="H216" t="str">
        <v/>
      </c>
      <c r="I216" t="str">
        <v/>
      </c>
      <c r="J216">
        <v>12</v>
      </c>
      <c r="K216" s="167">
        <f ca="1"/>
        <v>1.56</v>
      </c>
      <c r="L216" s="167">
        <f ca="1"/>
        <v>157981.20000000001</v>
      </c>
      <c r="AA216">
        <v>31</v>
      </c>
      <c r="AB216">
        <v>10</v>
      </c>
      <c r="AC216" t="str">
        <v>99MN472</v>
      </c>
      <c r="AD216">
        <v>29</v>
      </c>
      <c r="AE216" t="str">
        <v>single</v>
      </c>
    </row>
    <row r="217" spans="1:31" hidden="1" x14ac:dyDescent="0.25">
      <c r="A217">
        <v>216</v>
      </c>
      <c r="B217">
        <v>2025</v>
      </c>
      <c r="C217">
        <v>5</v>
      </c>
      <c r="D217">
        <v>33</v>
      </c>
      <c r="E217">
        <v>9</v>
      </c>
      <c r="F217" t="str">
        <v/>
      </c>
      <c r="G217" s="223">
        <v>137486</v>
      </c>
      <c r="H217" t="str">
        <v/>
      </c>
      <c r="I217" t="str">
        <v/>
      </c>
      <c r="J217">
        <v>13</v>
      </c>
      <c r="K217" s="167">
        <f ca="1"/>
        <v>4.53</v>
      </c>
      <c r="L217" s="167">
        <f ca="1"/>
        <v>622811.58000000007</v>
      </c>
      <c r="AA217">
        <v>31</v>
      </c>
      <c r="AB217">
        <v>10</v>
      </c>
      <c r="AC217" t="str">
        <v>99OR961</v>
      </c>
      <c r="AD217">
        <v>29</v>
      </c>
      <c r="AE217" t="str">
        <v>single</v>
      </c>
    </row>
    <row r="218" spans="1:31" hidden="1" x14ac:dyDescent="0.25">
      <c r="A218">
        <v>217</v>
      </c>
      <c r="B218">
        <v>2025</v>
      </c>
      <c r="C218">
        <v>5</v>
      </c>
      <c r="D218">
        <v>33</v>
      </c>
      <c r="E218">
        <v>9</v>
      </c>
      <c r="F218" t="str">
        <v/>
      </c>
      <c r="G218" s="223">
        <v>118849</v>
      </c>
      <c r="H218" t="str">
        <v/>
      </c>
      <c r="I218" t="str">
        <v/>
      </c>
      <c r="J218">
        <v>14</v>
      </c>
      <c r="K218" s="167">
        <f ca="1"/>
        <v>4.53</v>
      </c>
      <c r="L218" s="167">
        <f ca="1"/>
        <v>538385.97</v>
      </c>
      <c r="AA218">
        <v>31</v>
      </c>
      <c r="AB218">
        <v>10</v>
      </c>
      <c r="AC218" t="str">
        <v>99UK314</v>
      </c>
      <c r="AD218">
        <v>30</v>
      </c>
      <c r="AE218" t="str">
        <v>single</v>
      </c>
    </row>
    <row r="219" spans="1:31" hidden="1" x14ac:dyDescent="0.25">
      <c r="A219">
        <v>218</v>
      </c>
      <c r="B219">
        <v>2025</v>
      </c>
      <c r="C219">
        <v>5</v>
      </c>
      <c r="D219">
        <v>33</v>
      </c>
      <c r="E219">
        <v>9</v>
      </c>
      <c r="F219" t="str">
        <v/>
      </c>
      <c r="G219" s="223">
        <v>3311</v>
      </c>
      <c r="H219" t="str">
        <v/>
      </c>
      <c r="I219" t="str">
        <v/>
      </c>
      <c r="J219">
        <v>15</v>
      </c>
      <c r="K219" s="167">
        <f ca="1"/>
        <v>4.53</v>
      </c>
      <c r="L219" s="167">
        <f ca="1"/>
        <v>14998.83</v>
      </c>
      <c r="AA219">
        <v>31</v>
      </c>
      <c r="AB219">
        <v>10</v>
      </c>
      <c r="AC219" t="str">
        <v>10NS184</v>
      </c>
      <c r="AD219">
        <v>16</v>
      </c>
      <c r="AE219" t="str">
        <v>single</v>
      </c>
    </row>
    <row r="220" spans="1:31" hidden="1" x14ac:dyDescent="0.25">
      <c r="A220">
        <v>219</v>
      </c>
      <c r="B220">
        <v>2025</v>
      </c>
      <c r="C220">
        <v>5</v>
      </c>
      <c r="D220">
        <v>33</v>
      </c>
      <c r="E220">
        <v>9</v>
      </c>
      <c r="F220" t="str">
        <v/>
      </c>
      <c r="G220" s="223">
        <v>13886</v>
      </c>
      <c r="H220" t="str">
        <v/>
      </c>
      <c r="I220" t="str">
        <v/>
      </c>
      <c r="J220">
        <v>16</v>
      </c>
      <c r="K220" s="167">
        <f ca="1"/>
        <v>3.77</v>
      </c>
      <c r="L220" s="167">
        <f ca="1"/>
        <v>52350.22</v>
      </c>
      <c r="AA220">
        <v>31</v>
      </c>
      <c r="AB220">
        <v>10</v>
      </c>
      <c r="AC220" t="str">
        <v>10ZS260</v>
      </c>
      <c r="AD220">
        <v>1</v>
      </c>
      <c r="AE220" t="str">
        <v>single</v>
      </c>
    </row>
    <row r="221" spans="1:31" hidden="1" x14ac:dyDescent="0.25">
      <c r="A221">
        <v>220</v>
      </c>
      <c r="B221">
        <v>2025</v>
      </c>
      <c r="C221">
        <v>5</v>
      </c>
      <c r="D221">
        <v>33</v>
      </c>
      <c r="E221">
        <v>9</v>
      </c>
      <c r="F221" t="str">
        <v/>
      </c>
      <c r="G221" s="223">
        <v>1</v>
      </c>
      <c r="H221" t="str">
        <v/>
      </c>
      <c r="I221" t="str">
        <v/>
      </c>
      <c r="J221" t="str">
        <v>R-3</v>
      </c>
      <c r="K221" s="167">
        <f ca="1"/>
        <v>-680</v>
      </c>
      <c r="L221" s="167">
        <f ca="1"/>
        <v>-680</v>
      </c>
      <c r="AA221">
        <v>31</v>
      </c>
      <c r="AB221">
        <v>10</v>
      </c>
      <c r="AC221" t="str">
        <v>50FB264</v>
      </c>
      <c r="AD221">
        <v>28</v>
      </c>
      <c r="AE221" t="str">
        <v>single</v>
      </c>
    </row>
    <row r="222" spans="1:31" hidden="1" x14ac:dyDescent="0.25">
      <c r="A222">
        <v>221</v>
      </c>
      <c r="B222">
        <v>2025</v>
      </c>
      <c r="C222">
        <v>5</v>
      </c>
      <c r="D222">
        <v>46</v>
      </c>
      <c r="E222">
        <v>1</v>
      </c>
      <c r="F222" t="str">
        <v>110FY523</v>
      </c>
      <c r="G222" s="223">
        <v>8</v>
      </c>
      <c r="H222" t="str">
        <v>single</v>
      </c>
      <c r="I222" t="str">
        <v/>
      </c>
      <c r="J222">
        <v>1</v>
      </c>
      <c r="K222" s="167">
        <f ca="1"/>
        <v>214.28571428571428</v>
      </c>
      <c r="L222" s="167">
        <f ca="1"/>
        <v>1714.2857142857142</v>
      </c>
      <c r="AA222">
        <v>31</v>
      </c>
      <c r="AB222">
        <v>10</v>
      </c>
      <c r="AC222" t="str">
        <v>57BV285</v>
      </c>
      <c r="AD222">
        <v>13</v>
      </c>
      <c r="AE222" t="str">
        <v>single</v>
      </c>
    </row>
    <row r="223" spans="1:31" hidden="1" x14ac:dyDescent="0.25">
      <c r="A223">
        <v>222</v>
      </c>
      <c r="B223">
        <v>2025</v>
      </c>
      <c r="C223">
        <v>5</v>
      </c>
      <c r="D223">
        <v>52</v>
      </c>
      <c r="E223">
        <v>2</v>
      </c>
      <c r="F223" t="str">
        <v>10AC750</v>
      </c>
      <c r="G223" s="167">
        <v>30</v>
      </c>
      <c r="H223" t="str">
        <v>single</v>
      </c>
      <c r="I223" t="str">
        <v/>
      </c>
      <c r="J223">
        <v>1</v>
      </c>
      <c r="K223" s="167">
        <f ca="1"/>
        <v>375</v>
      </c>
      <c r="L223" s="167">
        <f ca="1"/>
        <v>11250</v>
      </c>
      <c r="AA223">
        <v>31</v>
      </c>
      <c r="AB223">
        <v>10</v>
      </c>
      <c r="AC223" t="str">
        <v>77DK884</v>
      </c>
      <c r="AD223">
        <v>29</v>
      </c>
      <c r="AE223" t="str">
        <v>single</v>
      </c>
    </row>
    <row r="224" spans="1:31" hidden="1" x14ac:dyDescent="0.25">
      <c r="A224">
        <v>223</v>
      </c>
      <c r="B224">
        <v>2025</v>
      </c>
      <c r="C224">
        <v>5</v>
      </c>
      <c r="D224">
        <v>52</v>
      </c>
      <c r="E224">
        <v>2</v>
      </c>
      <c r="F224" t="str">
        <v>10BC326</v>
      </c>
      <c r="G224" s="167">
        <v>11</v>
      </c>
      <c r="H224" t="str">
        <v>single</v>
      </c>
      <c r="I224" t="str">
        <v/>
      </c>
      <c r="J224">
        <v>3</v>
      </c>
      <c r="K224" s="167">
        <f ca="1"/>
        <v>357.14</v>
      </c>
      <c r="L224" s="167">
        <f ca="1"/>
        <v>3928.54</v>
      </c>
      <c r="AA224">
        <v>31</v>
      </c>
      <c r="AB224">
        <v>10</v>
      </c>
      <c r="AC224" t="str">
        <v>90RC631</v>
      </c>
      <c r="AD224">
        <v>4</v>
      </c>
      <c r="AE224" t="str">
        <v>single</v>
      </c>
    </row>
    <row r="225" spans="1:31" hidden="1" x14ac:dyDescent="0.25">
      <c r="A225">
        <v>224</v>
      </c>
      <c r="B225">
        <v>2025</v>
      </c>
      <c r="C225">
        <v>5</v>
      </c>
      <c r="D225">
        <v>52</v>
      </c>
      <c r="E225">
        <v>3</v>
      </c>
      <c r="F225" t="str">
        <v>10BC326</v>
      </c>
      <c r="G225" s="167">
        <v>27</v>
      </c>
      <c r="H225" t="str">
        <v>single</v>
      </c>
      <c r="I225" t="str">
        <v/>
      </c>
      <c r="J225">
        <v>3</v>
      </c>
      <c r="K225" s="167">
        <f ca="1"/>
        <v>357.14</v>
      </c>
      <c r="L225" s="167">
        <f ca="1"/>
        <v>9642.7799999999988</v>
      </c>
      <c r="AA225">
        <v>31</v>
      </c>
      <c r="AB225">
        <v>10</v>
      </c>
      <c r="AC225" t="str">
        <v>90UX686</v>
      </c>
      <c r="AD225">
        <v>16</v>
      </c>
      <c r="AE225" t="str">
        <v>single</v>
      </c>
    </row>
    <row r="226" spans="1:31" hidden="1" x14ac:dyDescent="0.25">
      <c r="A226">
        <v>225</v>
      </c>
      <c r="B226">
        <v>2025</v>
      </c>
      <c r="C226">
        <v>5</v>
      </c>
      <c r="D226">
        <v>65</v>
      </c>
      <c r="E226">
        <v>1</v>
      </c>
      <c r="F226" t="str">
        <v>01BA176</v>
      </c>
      <c r="G226" s="167">
        <v>25</v>
      </c>
      <c r="H226" t="str">
        <v>single</v>
      </c>
      <c r="I226" t="str">
        <v/>
      </c>
      <c r="J226">
        <v>1</v>
      </c>
      <c r="K226" s="167">
        <f ca="1"/>
        <v>196.42857142857142</v>
      </c>
      <c r="L226" s="167">
        <f ca="1"/>
        <v>4910.7142857142853</v>
      </c>
      <c r="AA226">
        <v>31</v>
      </c>
      <c r="AB226">
        <v>10</v>
      </c>
      <c r="AC226" t="str">
        <v>99DT131</v>
      </c>
      <c r="AD226">
        <v>21</v>
      </c>
      <c r="AE226" t="str">
        <v>single</v>
      </c>
    </row>
    <row r="227" spans="1:31" hidden="1" x14ac:dyDescent="0.25">
      <c r="A227">
        <v>226</v>
      </c>
      <c r="B227">
        <v>2025</v>
      </c>
      <c r="C227">
        <v>5</v>
      </c>
      <c r="D227">
        <v>65</v>
      </c>
      <c r="E227">
        <v>1</v>
      </c>
      <c r="F227" t="str">
        <v>10BD252</v>
      </c>
      <c r="G227" s="167">
        <v>22</v>
      </c>
      <c r="H227" t="str">
        <v>single</v>
      </c>
      <c r="I227" t="str">
        <v/>
      </c>
      <c r="J227">
        <v>2</v>
      </c>
      <c r="K227" s="167">
        <f ca="1"/>
        <v>160.71</v>
      </c>
      <c r="L227" s="167">
        <f ca="1"/>
        <v>3535.6200000000003</v>
      </c>
      <c r="AA227">
        <v>31</v>
      </c>
      <c r="AB227">
        <v>10</v>
      </c>
      <c r="AC227" t="str">
        <v>77AT386</v>
      </c>
      <c r="AD227">
        <v>30</v>
      </c>
      <c r="AE227" t="str">
        <v>single</v>
      </c>
    </row>
    <row r="228" spans="1:31" hidden="1" x14ac:dyDescent="0.25">
      <c r="A228">
        <v>227</v>
      </c>
      <c r="B228">
        <v>2025</v>
      </c>
      <c r="C228">
        <v>6</v>
      </c>
      <c r="D228">
        <v>11</v>
      </c>
      <c r="E228">
        <v>6</v>
      </c>
      <c r="F228" t="str">
        <v/>
      </c>
      <c r="G228" s="167">
        <v>1</v>
      </c>
      <c r="H228" t="str">
        <v/>
      </c>
      <c r="I228" t="str">
        <v/>
      </c>
      <c r="J228">
        <v>1</v>
      </c>
      <c r="K228" s="167">
        <f ca="1"/>
        <v>5500</v>
      </c>
      <c r="L228" s="167">
        <f ca="1"/>
        <v>5500</v>
      </c>
      <c r="AA228">
        <v>31</v>
      </c>
      <c r="AB228">
        <v>10</v>
      </c>
      <c r="AC228" t="str">
        <v>90PY548</v>
      </c>
      <c r="AD228">
        <v>30</v>
      </c>
      <c r="AE228" t="str">
        <v>single</v>
      </c>
    </row>
    <row r="229" spans="1:31" hidden="1" x14ac:dyDescent="0.25">
      <c r="A229">
        <v>228</v>
      </c>
      <c r="B229">
        <v>2025</v>
      </c>
      <c r="C229">
        <v>6</v>
      </c>
      <c r="D229">
        <v>11</v>
      </c>
      <c r="E229">
        <v>6</v>
      </c>
      <c r="F229" t="str">
        <v/>
      </c>
      <c r="G229" s="167">
        <v>8</v>
      </c>
      <c r="H229" t="str">
        <v/>
      </c>
      <c r="I229" t="str">
        <v/>
      </c>
      <c r="J229">
        <v>2</v>
      </c>
      <c r="K229" s="167">
        <f ca="1"/>
        <v>200</v>
      </c>
      <c r="L229" s="167">
        <f ca="1"/>
        <v>1600</v>
      </c>
      <c r="AA229">
        <v>31</v>
      </c>
      <c r="AB229">
        <v>10</v>
      </c>
      <c r="AC229" t="str">
        <v>99HZ395</v>
      </c>
      <c r="AD229">
        <v>30</v>
      </c>
      <c r="AE229" t="str">
        <v>single</v>
      </c>
    </row>
    <row r="230" spans="1:31" hidden="1" x14ac:dyDescent="0.25">
      <c r="A230">
        <v>229</v>
      </c>
      <c r="B230">
        <v>2025</v>
      </c>
      <c r="C230">
        <v>6</v>
      </c>
      <c r="D230">
        <v>11</v>
      </c>
      <c r="E230">
        <v>6</v>
      </c>
      <c r="F230" t="str">
        <v/>
      </c>
      <c r="G230" s="167">
        <v>12</v>
      </c>
      <c r="H230" t="str">
        <v/>
      </c>
      <c r="I230" t="str">
        <v/>
      </c>
      <c r="J230">
        <v>3</v>
      </c>
      <c r="K230" s="167">
        <f ca="1"/>
        <v>100</v>
      </c>
      <c r="L230" s="167">
        <f ca="1"/>
        <v>1200</v>
      </c>
      <c r="AA230">
        <v>31</v>
      </c>
      <c r="AB230">
        <v>10</v>
      </c>
      <c r="AC230" t="str">
        <v>53BD338</v>
      </c>
      <c r="AD230">
        <v>29</v>
      </c>
      <c r="AE230" t="str">
        <v>single</v>
      </c>
    </row>
    <row r="231" spans="1:31" hidden="1" x14ac:dyDescent="0.25">
      <c r="A231">
        <v>230</v>
      </c>
      <c r="B231">
        <v>2025</v>
      </c>
      <c r="C231">
        <v>6</v>
      </c>
      <c r="D231">
        <v>11</v>
      </c>
      <c r="E231">
        <v>6</v>
      </c>
      <c r="F231" t="str">
        <v/>
      </c>
      <c r="G231" s="167">
        <v>1</v>
      </c>
      <c r="H231" t="str">
        <v/>
      </c>
      <c r="I231" t="str">
        <v/>
      </c>
      <c r="J231">
        <v>4</v>
      </c>
      <c r="K231" s="167">
        <f ca="1"/>
        <v>300</v>
      </c>
      <c r="L231" s="167">
        <f ca="1"/>
        <v>300</v>
      </c>
      <c r="AA231">
        <v>31</v>
      </c>
      <c r="AB231">
        <v>10</v>
      </c>
      <c r="AC231" t="str">
        <v>17BE358</v>
      </c>
      <c r="AD231">
        <v>18</v>
      </c>
      <c r="AE231" t="str">
        <v>single</v>
      </c>
    </row>
    <row r="232" spans="1:31" hidden="1" x14ac:dyDescent="0.25">
      <c r="A232">
        <v>231</v>
      </c>
      <c r="B232">
        <v>2025</v>
      </c>
      <c r="C232">
        <v>6</v>
      </c>
      <c r="D232">
        <v>11</v>
      </c>
      <c r="E232">
        <v>6</v>
      </c>
      <c r="F232" t="str">
        <v/>
      </c>
      <c r="G232" s="167">
        <v>3</v>
      </c>
      <c r="H232" t="str">
        <v/>
      </c>
      <c r="I232" t="str">
        <v/>
      </c>
      <c r="J232">
        <v>9</v>
      </c>
      <c r="K232" s="167">
        <f ca="1"/>
        <v>215</v>
      </c>
      <c r="L232" s="167">
        <f ca="1"/>
        <v>645</v>
      </c>
      <c r="AA232">
        <v>31</v>
      </c>
      <c r="AB232">
        <v>10</v>
      </c>
      <c r="AC232" t="str">
        <v>99GZ612</v>
      </c>
      <c r="AD232">
        <v>29</v>
      </c>
      <c r="AE232" t="str">
        <v>single</v>
      </c>
    </row>
    <row r="233" spans="1:31" hidden="1" x14ac:dyDescent="0.25">
      <c r="A233">
        <v>232</v>
      </c>
      <c r="B233">
        <v>2025</v>
      </c>
      <c r="C233">
        <v>6</v>
      </c>
      <c r="D233">
        <v>30</v>
      </c>
      <c r="E233">
        <v>6</v>
      </c>
      <c r="F233" t="str">
        <v/>
      </c>
      <c r="G233" s="167">
        <v>1</v>
      </c>
      <c r="H233" t="str">
        <v/>
      </c>
      <c r="I233" t="str">
        <v/>
      </c>
      <c r="J233">
        <v>4</v>
      </c>
      <c r="K233" s="167">
        <f ca="1"/>
        <v>5500</v>
      </c>
      <c r="L233" s="167">
        <f ca="1"/>
        <v>5500</v>
      </c>
      <c r="AA233">
        <v>31</v>
      </c>
      <c r="AB233">
        <v>10</v>
      </c>
      <c r="AC233" t="str">
        <v>77PV619</v>
      </c>
      <c r="AD233">
        <v>30</v>
      </c>
      <c r="AE233" t="str">
        <v>single</v>
      </c>
    </row>
    <row r="234" spans="1:31" hidden="1" x14ac:dyDescent="0.25">
      <c r="A234">
        <v>233</v>
      </c>
      <c r="B234">
        <v>2025</v>
      </c>
      <c r="C234">
        <v>6</v>
      </c>
      <c r="D234">
        <v>31</v>
      </c>
      <c r="E234">
        <v>5</v>
      </c>
      <c r="F234" t="str">
        <v>01CC689</v>
      </c>
      <c r="G234" s="167">
        <v>29</v>
      </c>
      <c r="H234" t="str">
        <v>single</v>
      </c>
      <c r="I234" t="str">
        <v/>
      </c>
      <c r="J234">
        <v>26</v>
      </c>
      <c r="K234" s="167">
        <f ca="1"/>
        <v>55.36</v>
      </c>
      <c r="L234" s="167">
        <f ca="1"/>
        <v>1605.44</v>
      </c>
      <c r="AA234">
        <v>46</v>
      </c>
      <c r="AB234">
        <v>1</v>
      </c>
      <c r="AC234" t="str">
        <v>110FY523</v>
      </c>
      <c r="AD234">
        <v>8</v>
      </c>
      <c r="AE234" t="str">
        <v>single</v>
      </c>
    </row>
    <row r="235" spans="1:31" hidden="1" x14ac:dyDescent="0.25">
      <c r="A235">
        <v>234</v>
      </c>
      <c r="B235">
        <v>2025</v>
      </c>
      <c r="C235">
        <v>6</v>
      </c>
      <c r="D235">
        <v>31</v>
      </c>
      <c r="E235">
        <v>5</v>
      </c>
      <c r="F235" t="str">
        <v>50BD165</v>
      </c>
      <c r="G235" s="167">
        <v>28</v>
      </c>
      <c r="H235" t="str">
        <v>single</v>
      </c>
      <c r="I235" t="str">
        <v/>
      </c>
      <c r="J235">
        <v>41</v>
      </c>
      <c r="K235" s="167">
        <f ca="1"/>
        <v>55.36</v>
      </c>
      <c r="L235" s="167">
        <f ca="1"/>
        <v>1550.08</v>
      </c>
      <c r="AA235">
        <v>46</v>
      </c>
      <c r="AB235">
        <v>2</v>
      </c>
      <c r="AC235" t="str">
        <v>110FY523</v>
      </c>
      <c r="AD235">
        <v>27</v>
      </c>
      <c r="AE235" t="str">
        <v>single</v>
      </c>
    </row>
    <row r="236" spans="1:31" hidden="1" x14ac:dyDescent="0.25">
      <c r="A236">
        <v>235</v>
      </c>
      <c r="B236">
        <v>2025</v>
      </c>
      <c r="C236">
        <v>6</v>
      </c>
      <c r="D236">
        <v>31</v>
      </c>
      <c r="E236">
        <v>5</v>
      </c>
      <c r="F236" t="str">
        <v>50DK730</v>
      </c>
      <c r="G236" s="167">
        <v>29</v>
      </c>
      <c r="H236" t="str">
        <v>single</v>
      </c>
      <c r="I236" t="str">
        <v/>
      </c>
      <c r="J236">
        <v>47</v>
      </c>
      <c r="K236" s="167">
        <f ca="1"/>
        <v>55.36</v>
      </c>
      <c r="L236" s="167">
        <f ca="1"/>
        <v>1605.44</v>
      </c>
      <c r="AA236">
        <v>46</v>
      </c>
      <c r="AB236">
        <v>2</v>
      </c>
      <c r="AC236" t="str">
        <v>10AD801</v>
      </c>
      <c r="AD236">
        <v>27</v>
      </c>
      <c r="AE236" t="str">
        <v>single</v>
      </c>
    </row>
    <row r="237" spans="1:31" hidden="1" x14ac:dyDescent="0.25">
      <c r="A237">
        <v>236</v>
      </c>
      <c r="B237">
        <v>2025</v>
      </c>
      <c r="C237">
        <v>6</v>
      </c>
      <c r="D237">
        <v>31</v>
      </c>
      <c r="E237">
        <v>5</v>
      </c>
      <c r="F237" t="str">
        <v>53BB774</v>
      </c>
      <c r="G237" s="167">
        <v>28</v>
      </c>
      <c r="H237" t="str">
        <v>single</v>
      </c>
      <c r="I237" t="str">
        <v/>
      </c>
      <c r="J237">
        <v>53</v>
      </c>
      <c r="K237" s="167">
        <f ca="1"/>
        <v>55.36</v>
      </c>
      <c r="L237" s="167">
        <f ca="1"/>
        <v>1550.08</v>
      </c>
      <c r="AA237">
        <v>46</v>
      </c>
      <c r="AB237">
        <v>3</v>
      </c>
      <c r="AC237" t="str">
        <v>110FY523</v>
      </c>
      <c r="AD237">
        <v>27.34</v>
      </c>
      <c r="AE237" t="str">
        <v>single</v>
      </c>
    </row>
    <row r="238" spans="1:31" hidden="1" x14ac:dyDescent="0.25">
      <c r="A238">
        <v>237</v>
      </c>
      <c r="B238">
        <v>2025</v>
      </c>
      <c r="C238">
        <v>6</v>
      </c>
      <c r="D238">
        <v>31</v>
      </c>
      <c r="E238">
        <v>5</v>
      </c>
      <c r="F238" t="str">
        <v>55CB633</v>
      </c>
      <c r="G238" s="167">
        <v>27</v>
      </c>
      <c r="H238" t="str">
        <v>single</v>
      </c>
      <c r="I238" t="str">
        <v/>
      </c>
      <c r="J238">
        <v>57</v>
      </c>
      <c r="K238" s="167">
        <f ca="1"/>
        <v>55.36</v>
      </c>
      <c r="L238" s="167">
        <f ca="1"/>
        <v>1494.72</v>
      </c>
      <c r="AA238">
        <v>46</v>
      </c>
      <c r="AB238">
        <v>3</v>
      </c>
      <c r="AC238" t="str">
        <v>110FY524</v>
      </c>
      <c r="AD238">
        <v>29</v>
      </c>
      <c r="AE238" t="str">
        <v>single</v>
      </c>
    </row>
    <row r="239" spans="1:31" hidden="1" x14ac:dyDescent="0.25">
      <c r="A239">
        <v>238</v>
      </c>
      <c r="B239">
        <v>2025</v>
      </c>
      <c r="C239">
        <v>6</v>
      </c>
      <c r="D239">
        <v>31</v>
      </c>
      <c r="E239">
        <v>5</v>
      </c>
      <c r="F239" t="str">
        <v>77AT386</v>
      </c>
      <c r="G239" s="167">
        <v>30</v>
      </c>
      <c r="H239" t="str">
        <v>single</v>
      </c>
      <c r="I239" t="str">
        <v/>
      </c>
      <c r="J239">
        <v>13</v>
      </c>
      <c r="K239" s="167">
        <f ca="1"/>
        <v>46.67</v>
      </c>
      <c r="L239" s="167">
        <f ca="1"/>
        <v>1400.1000000000001</v>
      </c>
      <c r="AA239">
        <v>46</v>
      </c>
      <c r="AB239">
        <v>3</v>
      </c>
      <c r="AC239" t="str">
        <v>10AD801</v>
      </c>
      <c r="AD239">
        <v>16</v>
      </c>
      <c r="AE239" t="str">
        <v>single</v>
      </c>
    </row>
    <row r="240" spans="1:31" hidden="1" x14ac:dyDescent="0.25">
      <c r="A240">
        <v>239</v>
      </c>
      <c r="B240">
        <v>2025</v>
      </c>
      <c r="C240">
        <v>6</v>
      </c>
      <c r="D240">
        <v>31</v>
      </c>
      <c r="E240">
        <v>5</v>
      </c>
      <c r="F240" t="str">
        <v>77GR998</v>
      </c>
      <c r="G240" s="167">
        <v>1</v>
      </c>
      <c r="H240" t="str">
        <v>single</v>
      </c>
      <c r="I240" t="str">
        <v/>
      </c>
      <c r="J240">
        <v>65</v>
      </c>
      <c r="K240" s="167">
        <f ca="1"/>
        <v>55.36</v>
      </c>
      <c r="L240" s="167">
        <f ca="1"/>
        <v>55.36</v>
      </c>
      <c r="AA240">
        <v>46</v>
      </c>
      <c r="AB240">
        <v>4</v>
      </c>
      <c r="AC240" t="str">
        <v>110FY523</v>
      </c>
      <c r="AD240">
        <v>29</v>
      </c>
      <c r="AE240" t="str">
        <v>single</v>
      </c>
    </row>
    <row r="241" spans="1:31" hidden="1" x14ac:dyDescent="0.25">
      <c r="A241">
        <v>240</v>
      </c>
      <c r="B241">
        <v>2025</v>
      </c>
      <c r="C241">
        <v>6</v>
      </c>
      <c r="D241">
        <v>31</v>
      </c>
      <c r="E241">
        <v>5</v>
      </c>
      <c r="F241" t="str">
        <v>77QE133</v>
      </c>
      <c r="G241" s="167">
        <v>32</v>
      </c>
      <c r="H241" t="str">
        <v>single</v>
      </c>
      <c r="I241" t="str">
        <v/>
      </c>
      <c r="J241">
        <v>69</v>
      </c>
      <c r="K241" s="167">
        <f ca="1"/>
        <v>73.33</v>
      </c>
      <c r="L241" s="167">
        <f ca="1"/>
        <v>2346.56</v>
      </c>
      <c r="AA241">
        <v>46</v>
      </c>
      <c r="AB241">
        <v>4</v>
      </c>
      <c r="AC241" t="str">
        <v>110FY524</v>
      </c>
      <c r="AD241">
        <v>6</v>
      </c>
      <c r="AE241" t="str">
        <v>single</v>
      </c>
    </row>
    <row r="242" spans="1:31" hidden="1" x14ac:dyDescent="0.25">
      <c r="A242">
        <v>241</v>
      </c>
      <c r="B242">
        <v>2025</v>
      </c>
      <c r="C242">
        <v>6</v>
      </c>
      <c r="D242">
        <v>31</v>
      </c>
      <c r="E242">
        <v>5</v>
      </c>
      <c r="F242" t="str">
        <v>77QK725</v>
      </c>
      <c r="G242" s="167">
        <v>15</v>
      </c>
      <c r="H242" t="str">
        <v>single</v>
      </c>
      <c r="I242" t="str">
        <v/>
      </c>
      <c r="J242">
        <v>17</v>
      </c>
      <c r="K242" s="167">
        <f ca="1"/>
        <v>275</v>
      </c>
      <c r="L242" s="167">
        <f ca="1"/>
        <v>4125</v>
      </c>
      <c r="AA242">
        <v>46</v>
      </c>
      <c r="AB242">
        <v>4</v>
      </c>
      <c r="AC242" t="str">
        <v>10AD801</v>
      </c>
      <c r="AD242">
        <v>19</v>
      </c>
      <c r="AE242" t="str">
        <v>single</v>
      </c>
    </row>
    <row r="243" spans="1:31" hidden="1" x14ac:dyDescent="0.25">
      <c r="A243">
        <v>242</v>
      </c>
      <c r="B243">
        <v>2025</v>
      </c>
      <c r="C243">
        <v>6</v>
      </c>
      <c r="D243">
        <v>31</v>
      </c>
      <c r="E243">
        <v>5</v>
      </c>
      <c r="F243" t="str">
        <v>77UR032</v>
      </c>
      <c r="G243" s="167">
        <v>27</v>
      </c>
      <c r="H243" t="str">
        <v>single</v>
      </c>
      <c r="I243" t="str">
        <v/>
      </c>
      <c r="J243">
        <v>77</v>
      </c>
      <c r="K243" s="167">
        <f ca="1"/>
        <v>55.36</v>
      </c>
      <c r="L243" s="167">
        <f ca="1"/>
        <v>1494.72</v>
      </c>
      <c r="AA243">
        <v>46</v>
      </c>
      <c r="AB243">
        <v>4</v>
      </c>
      <c r="AC243" t="str">
        <v>10AB468</v>
      </c>
      <c r="AD243">
        <v>23.5</v>
      </c>
      <c r="AE243" t="str">
        <v>single</v>
      </c>
    </row>
    <row r="244" spans="1:31" hidden="1" x14ac:dyDescent="0.25">
      <c r="A244">
        <v>243</v>
      </c>
      <c r="B244">
        <v>2025</v>
      </c>
      <c r="C244">
        <v>6</v>
      </c>
      <c r="D244">
        <v>31</v>
      </c>
      <c r="E244">
        <v>5</v>
      </c>
      <c r="F244" t="str">
        <v>90PY548</v>
      </c>
      <c r="G244" s="167">
        <v>27</v>
      </c>
      <c r="H244" t="str">
        <v>single</v>
      </c>
      <c r="I244" t="str">
        <v/>
      </c>
      <c r="J244">
        <v>85</v>
      </c>
      <c r="K244" s="167">
        <f ca="1"/>
        <v>40</v>
      </c>
      <c r="L244" s="167">
        <f ca="1"/>
        <v>1080</v>
      </c>
      <c r="AA244">
        <v>46</v>
      </c>
      <c r="AB244">
        <v>5</v>
      </c>
      <c r="AC244" t="str">
        <v>110FY523</v>
      </c>
      <c r="AD244">
        <v>27</v>
      </c>
      <c r="AE244" t="str">
        <v>single</v>
      </c>
    </row>
    <row r="245" spans="1:31" hidden="1" x14ac:dyDescent="0.25">
      <c r="A245">
        <v>244</v>
      </c>
      <c r="B245">
        <v>2025</v>
      </c>
      <c r="C245">
        <v>6</v>
      </c>
      <c r="D245">
        <v>31</v>
      </c>
      <c r="E245">
        <v>5</v>
      </c>
      <c r="F245" t="str">
        <v>90SL686</v>
      </c>
      <c r="G245" s="167">
        <v>29</v>
      </c>
      <c r="H245" t="str">
        <v>single</v>
      </c>
      <c r="I245" t="str">
        <v/>
      </c>
      <c r="J245">
        <v>19</v>
      </c>
      <c r="K245" s="167">
        <f ca="1"/>
        <v>58.93</v>
      </c>
      <c r="L245" s="167">
        <f ca="1"/>
        <v>1708.97</v>
      </c>
      <c r="AA245">
        <v>46</v>
      </c>
      <c r="AB245">
        <v>5</v>
      </c>
      <c r="AC245" t="str">
        <v>110FY524</v>
      </c>
      <c r="AD245">
        <v>20</v>
      </c>
      <c r="AE245" t="str">
        <v>single</v>
      </c>
    </row>
    <row r="246" spans="1:31" hidden="1" x14ac:dyDescent="0.25">
      <c r="A246">
        <v>245</v>
      </c>
      <c r="B246">
        <v>2025</v>
      </c>
      <c r="C246">
        <v>6</v>
      </c>
      <c r="D246">
        <v>31</v>
      </c>
      <c r="E246">
        <v>5</v>
      </c>
      <c r="F246" t="str">
        <v>90VS316</v>
      </c>
      <c r="G246" s="167">
        <v>27</v>
      </c>
      <c r="H246" t="str">
        <v>single</v>
      </c>
      <c r="I246" t="str">
        <v/>
      </c>
      <c r="J246">
        <v>87</v>
      </c>
      <c r="K246" s="167">
        <f ca="1"/>
        <v>55.36</v>
      </c>
      <c r="L246" s="167">
        <f ca="1"/>
        <v>1494.72</v>
      </c>
      <c r="AA246">
        <v>46</v>
      </c>
      <c r="AB246">
        <v>5</v>
      </c>
      <c r="AC246" t="str">
        <v>10AD801</v>
      </c>
      <c r="AD246">
        <v>8</v>
      </c>
      <c r="AE246" t="str">
        <v>single</v>
      </c>
    </row>
    <row r="247" spans="1:31" hidden="1" x14ac:dyDescent="0.25">
      <c r="A247">
        <v>246</v>
      </c>
      <c r="B247">
        <v>2025</v>
      </c>
      <c r="C247">
        <v>6</v>
      </c>
      <c r="D247">
        <v>31</v>
      </c>
      <c r="E247">
        <v>5</v>
      </c>
      <c r="F247" t="str">
        <v>99BT339</v>
      </c>
      <c r="G247" s="167">
        <v>-15</v>
      </c>
      <c r="H247" t="str">
        <v>single</v>
      </c>
      <c r="I247" t="str">
        <v/>
      </c>
      <c r="J247">
        <v>93</v>
      </c>
      <c r="K247" s="167">
        <f ca="1"/>
        <v>55.36</v>
      </c>
      <c r="L247" s="167">
        <f ca="1"/>
        <v>-830.4</v>
      </c>
      <c r="AA247">
        <v>46</v>
      </c>
      <c r="AB247">
        <v>5</v>
      </c>
      <c r="AC247" t="str">
        <v>10AB468</v>
      </c>
      <c r="AD247">
        <v>6</v>
      </c>
      <c r="AE247" t="str">
        <v>single</v>
      </c>
    </row>
    <row r="248" spans="1:31" hidden="1" x14ac:dyDescent="0.25">
      <c r="A248">
        <v>247</v>
      </c>
      <c r="B248">
        <v>2025</v>
      </c>
      <c r="C248">
        <v>6</v>
      </c>
      <c r="D248">
        <v>31</v>
      </c>
      <c r="E248">
        <v>5</v>
      </c>
      <c r="F248" t="str">
        <v>99EM163</v>
      </c>
      <c r="G248" s="167">
        <v>27</v>
      </c>
      <c r="H248" t="str">
        <v>single</v>
      </c>
      <c r="I248" t="str">
        <v/>
      </c>
      <c r="J248">
        <v>100</v>
      </c>
      <c r="K248" s="167">
        <f ca="1"/>
        <v>55.36</v>
      </c>
      <c r="L248" s="167">
        <f ca="1"/>
        <v>1494.72</v>
      </c>
      <c r="AA248">
        <v>46</v>
      </c>
      <c r="AB248">
        <v>6</v>
      </c>
      <c r="AC248" t="str">
        <v>110FY524</v>
      </c>
      <c r="AD248">
        <v>19</v>
      </c>
      <c r="AE248" t="str">
        <v>single</v>
      </c>
    </row>
    <row r="249" spans="1:31" hidden="1" x14ac:dyDescent="0.25">
      <c r="A249">
        <v>248</v>
      </c>
      <c r="B249">
        <v>2025</v>
      </c>
      <c r="C249">
        <v>6</v>
      </c>
      <c r="D249">
        <v>31</v>
      </c>
      <c r="E249">
        <v>5</v>
      </c>
      <c r="F249" t="str">
        <v>99HZ395</v>
      </c>
      <c r="G249" s="167">
        <v>30</v>
      </c>
      <c r="H249" t="str">
        <v>single</v>
      </c>
      <c r="I249" t="str">
        <v/>
      </c>
      <c r="J249">
        <v>3</v>
      </c>
      <c r="K249" s="167">
        <f ca="1"/>
        <v>65</v>
      </c>
      <c r="L249" s="167">
        <f ca="1"/>
        <v>1950</v>
      </c>
      <c r="AA249">
        <v>46</v>
      </c>
      <c r="AB249">
        <v>6</v>
      </c>
      <c r="AC249" t="str">
        <v>10AD801</v>
      </c>
      <c r="AD249">
        <v>1</v>
      </c>
      <c r="AE249" t="str">
        <v>single</v>
      </c>
    </row>
    <row r="250" spans="1:31" hidden="1" x14ac:dyDescent="0.25">
      <c r="A250">
        <v>249</v>
      </c>
      <c r="B250">
        <v>2025</v>
      </c>
      <c r="C250">
        <v>6</v>
      </c>
      <c r="D250">
        <v>31</v>
      </c>
      <c r="E250">
        <v>5</v>
      </c>
      <c r="F250" t="str">
        <v>99LM412</v>
      </c>
      <c r="G250" s="167">
        <v>29</v>
      </c>
      <c r="H250" t="str">
        <v>single</v>
      </c>
      <c r="I250" t="str">
        <v/>
      </c>
      <c r="J250">
        <v>116</v>
      </c>
      <c r="K250" s="167">
        <f ca="1"/>
        <v>55.36</v>
      </c>
      <c r="L250" s="167">
        <f ca="1"/>
        <v>1605.44</v>
      </c>
      <c r="AA250">
        <v>46</v>
      </c>
      <c r="AB250">
        <v>7</v>
      </c>
      <c r="AC250" t="str">
        <v>110FY523</v>
      </c>
      <c r="AD250">
        <v>28</v>
      </c>
      <c r="AE250" t="str">
        <v>single</v>
      </c>
    </row>
    <row r="251" spans="1:31" hidden="1" x14ac:dyDescent="0.25">
      <c r="A251">
        <v>250</v>
      </c>
      <c r="B251">
        <v>2025</v>
      </c>
      <c r="C251">
        <v>6</v>
      </c>
      <c r="D251">
        <v>31</v>
      </c>
      <c r="E251">
        <v>5</v>
      </c>
      <c r="F251" t="str">
        <v>99MN472</v>
      </c>
      <c r="G251" s="167">
        <v>29</v>
      </c>
      <c r="H251" t="str">
        <v>single</v>
      </c>
      <c r="I251" t="str">
        <v/>
      </c>
      <c r="J251">
        <v>108</v>
      </c>
      <c r="K251" s="167">
        <f ca="1"/>
        <v>55.36</v>
      </c>
      <c r="L251" s="167">
        <f ca="1"/>
        <v>1605.44</v>
      </c>
      <c r="AA251">
        <v>46</v>
      </c>
      <c r="AB251">
        <v>7</v>
      </c>
      <c r="AC251" t="str">
        <v>10AD801</v>
      </c>
      <c r="AD251">
        <v>19</v>
      </c>
      <c r="AE251" t="str">
        <v>single</v>
      </c>
    </row>
    <row r="252" spans="1:31" hidden="1" x14ac:dyDescent="0.25">
      <c r="A252">
        <v>251</v>
      </c>
      <c r="B252">
        <v>2025</v>
      </c>
      <c r="C252">
        <v>6</v>
      </c>
      <c r="D252">
        <v>31</v>
      </c>
      <c r="E252">
        <v>5</v>
      </c>
      <c r="F252" t="str">
        <v>77GR998</v>
      </c>
      <c r="G252" s="167">
        <v>17</v>
      </c>
      <c r="H252" t="str">
        <v>double</v>
      </c>
      <c r="I252" t="str">
        <v/>
      </c>
      <c r="J252">
        <v>62</v>
      </c>
      <c r="K252" s="167">
        <f ca="1"/>
        <v>91.34</v>
      </c>
      <c r="L252" s="167">
        <f ca="1"/>
        <v>1552.78</v>
      </c>
      <c r="AA252">
        <v>50</v>
      </c>
      <c r="AB252">
        <v>1</v>
      </c>
      <c r="AC252" t="str">
        <v>61AB256</v>
      </c>
      <c r="AD252">
        <v>24.5</v>
      </c>
      <c r="AE252" t="str">
        <v>single</v>
      </c>
    </row>
    <row r="253" spans="1:31" hidden="1" x14ac:dyDescent="0.25">
      <c r="A253">
        <v>252</v>
      </c>
      <c r="B253">
        <v>2025</v>
      </c>
      <c r="C253">
        <v>6</v>
      </c>
      <c r="D253">
        <v>31</v>
      </c>
      <c r="E253">
        <v>5</v>
      </c>
      <c r="F253" t="str">
        <v>99BT339</v>
      </c>
      <c r="G253" s="167">
        <v>35</v>
      </c>
      <c r="H253" t="str">
        <v>double</v>
      </c>
      <c r="I253" t="str">
        <v/>
      </c>
      <c r="J253">
        <v>90</v>
      </c>
      <c r="K253" s="167">
        <f ca="1"/>
        <v>91.34</v>
      </c>
      <c r="L253" s="167">
        <f ca="1"/>
        <v>3196.9</v>
      </c>
      <c r="AA253">
        <v>50</v>
      </c>
      <c r="AB253">
        <v>2</v>
      </c>
      <c r="AC253" t="str">
        <v>61AB256</v>
      </c>
      <c r="AD253">
        <v>29</v>
      </c>
      <c r="AE253" t="str">
        <v>single</v>
      </c>
    </row>
    <row r="254" spans="1:31" hidden="1" x14ac:dyDescent="0.25">
      <c r="A254">
        <v>253</v>
      </c>
      <c r="B254">
        <v>2025</v>
      </c>
      <c r="C254">
        <v>6</v>
      </c>
      <c r="D254">
        <v>31</v>
      </c>
      <c r="E254">
        <v>5</v>
      </c>
      <c r="F254" t="str">
        <v>01CC689</v>
      </c>
      <c r="G254" s="167">
        <v>63</v>
      </c>
      <c r="H254" t="str">
        <v>hour</v>
      </c>
      <c r="I254" t="str">
        <v/>
      </c>
      <c r="J254">
        <v>25</v>
      </c>
      <c r="K254" s="167">
        <f ca="1"/>
        <v>5.5359999999999996</v>
      </c>
      <c r="L254" s="167">
        <f ca="1"/>
        <v>348.76799999999997</v>
      </c>
      <c r="AA254">
        <v>50</v>
      </c>
      <c r="AB254">
        <v>3</v>
      </c>
      <c r="AC254" t="str">
        <v>61AB256</v>
      </c>
      <c r="AD254">
        <v>29</v>
      </c>
      <c r="AE254" t="str">
        <v>single</v>
      </c>
    </row>
    <row r="255" spans="1:31" hidden="1" x14ac:dyDescent="0.25">
      <c r="A255">
        <v>254</v>
      </c>
      <c r="B255">
        <v>2025</v>
      </c>
      <c r="C255">
        <v>6</v>
      </c>
      <c r="D255">
        <v>31</v>
      </c>
      <c r="E255">
        <v>5</v>
      </c>
      <c r="F255" t="str">
        <v>50BD165</v>
      </c>
      <c r="G255" s="167">
        <v>75.999999999999986</v>
      </c>
      <c r="H255" t="str">
        <v>hour</v>
      </c>
      <c r="I255" t="str">
        <v/>
      </c>
      <c r="J255">
        <v>40</v>
      </c>
      <c r="K255" s="167">
        <f ca="1"/>
        <v>5.5359999999999996</v>
      </c>
      <c r="L255" s="167">
        <f ca="1"/>
        <v>420.73599999999988</v>
      </c>
      <c r="AA255">
        <v>50</v>
      </c>
      <c r="AB255">
        <v>4</v>
      </c>
      <c r="AC255" t="str">
        <v>61AB256</v>
      </c>
      <c r="AD255">
        <v>27</v>
      </c>
      <c r="AE255" t="str">
        <v>single</v>
      </c>
    </row>
    <row r="256" spans="1:31" hidden="1" x14ac:dyDescent="0.25">
      <c r="A256">
        <v>255</v>
      </c>
      <c r="B256">
        <v>2025</v>
      </c>
      <c r="C256">
        <v>6</v>
      </c>
      <c r="D256">
        <v>31</v>
      </c>
      <c r="E256">
        <v>5</v>
      </c>
      <c r="F256" t="str">
        <v>50DK730</v>
      </c>
      <c r="G256" s="167">
        <v>104.99999999999999</v>
      </c>
      <c r="H256" t="str">
        <v>hour</v>
      </c>
      <c r="I256" t="str">
        <v/>
      </c>
      <c r="J256">
        <v>46</v>
      </c>
      <c r="K256" s="167">
        <f ca="1"/>
        <v>5.5359999999999996</v>
      </c>
      <c r="L256" s="167">
        <f ca="1"/>
        <v>581.27999999999986</v>
      </c>
      <c r="AA256">
        <v>50</v>
      </c>
      <c r="AB256">
        <v>5</v>
      </c>
      <c r="AC256" t="str">
        <v>61AB256</v>
      </c>
      <c r="AD256">
        <v>28</v>
      </c>
      <c r="AE256" t="str">
        <v>single</v>
      </c>
    </row>
    <row r="257" spans="1:31" hidden="1" x14ac:dyDescent="0.25">
      <c r="A257">
        <v>256</v>
      </c>
      <c r="B257">
        <v>2025</v>
      </c>
      <c r="C257">
        <v>6</v>
      </c>
      <c r="D257">
        <v>31</v>
      </c>
      <c r="E257">
        <v>5</v>
      </c>
      <c r="F257" t="str">
        <v>53BB774</v>
      </c>
      <c r="G257" s="167">
        <v>44.999999999999993</v>
      </c>
      <c r="H257" t="str">
        <v>hour</v>
      </c>
      <c r="I257" t="str">
        <v/>
      </c>
      <c r="J257">
        <v>52</v>
      </c>
      <c r="K257" s="167">
        <f ca="1"/>
        <v>0</v>
      </c>
      <c r="L257" s="167">
        <f ca="1"/>
        <v>0</v>
      </c>
      <c r="AA257">
        <v>50</v>
      </c>
      <c r="AB257">
        <v>6</v>
      </c>
      <c r="AC257" t="str">
        <v>61AB256</v>
      </c>
      <c r="AD257">
        <v>28</v>
      </c>
      <c r="AE257" t="str">
        <v>single</v>
      </c>
    </row>
    <row r="258" spans="1:31" hidden="1" x14ac:dyDescent="0.25">
      <c r="A258">
        <v>257</v>
      </c>
      <c r="B258">
        <v>2025</v>
      </c>
      <c r="C258">
        <v>6</v>
      </c>
      <c r="D258">
        <v>31</v>
      </c>
      <c r="E258">
        <v>5</v>
      </c>
      <c r="F258" t="str">
        <v>55CB633</v>
      </c>
      <c r="G258" s="167">
        <v>35.999999999999986</v>
      </c>
      <c r="H258" t="str">
        <v>hour</v>
      </c>
      <c r="I258" t="str">
        <v/>
      </c>
      <c r="J258">
        <v>56</v>
      </c>
      <c r="K258" s="167">
        <f ca="1"/>
        <v>5.5359999999999996</v>
      </c>
      <c r="L258" s="167">
        <f ca="1"/>
        <v>199.29599999999991</v>
      </c>
      <c r="AA258">
        <v>51</v>
      </c>
      <c r="AB258">
        <v>1</v>
      </c>
      <c r="AC258" t="str">
        <v>10BA194</v>
      </c>
      <c r="AD258">
        <v>16</v>
      </c>
      <c r="AE258" t="str">
        <v>single</v>
      </c>
    </row>
    <row r="259" spans="1:31" hidden="1" x14ac:dyDescent="0.25">
      <c r="A259">
        <v>258</v>
      </c>
      <c r="B259">
        <v>2025</v>
      </c>
      <c r="C259">
        <v>6</v>
      </c>
      <c r="D259">
        <v>31</v>
      </c>
      <c r="E259">
        <v>5</v>
      </c>
      <c r="F259" t="str">
        <v>90SL686</v>
      </c>
      <c r="G259" s="167">
        <v>89.499999999999986</v>
      </c>
      <c r="H259" t="str">
        <v>hour</v>
      </c>
      <c r="I259" t="str">
        <v/>
      </c>
      <c r="J259">
        <v>20</v>
      </c>
      <c r="K259" s="167">
        <f ca="1"/>
        <v>5.8929999999999998</v>
      </c>
      <c r="L259" s="167">
        <f ca="1"/>
        <v>527.42349999999988</v>
      </c>
      <c r="AA259">
        <v>51</v>
      </c>
      <c r="AB259">
        <v>2</v>
      </c>
      <c r="AC259" t="str">
        <v>10BA857</v>
      </c>
      <c r="AD259">
        <v>13</v>
      </c>
      <c r="AE259" t="str">
        <v>single</v>
      </c>
    </row>
    <row r="260" spans="1:31" hidden="1" x14ac:dyDescent="0.25">
      <c r="A260">
        <v>259</v>
      </c>
      <c r="B260">
        <v>2025</v>
      </c>
      <c r="C260">
        <v>6</v>
      </c>
      <c r="D260">
        <v>31</v>
      </c>
      <c r="E260">
        <v>5</v>
      </c>
      <c r="F260" t="str">
        <v>90VS316</v>
      </c>
      <c r="G260" s="167">
        <v>48.999999999999957</v>
      </c>
      <c r="H260" t="str">
        <v>hour</v>
      </c>
      <c r="I260" t="str">
        <v/>
      </c>
      <c r="J260">
        <v>86</v>
      </c>
      <c r="K260" s="167">
        <f ca="1"/>
        <v>5.5359999999999996</v>
      </c>
      <c r="L260" s="167">
        <f ca="1"/>
        <v>271.26399999999973</v>
      </c>
      <c r="AA260">
        <v>51</v>
      </c>
      <c r="AB260">
        <v>2</v>
      </c>
      <c r="AC260" t="str">
        <v>10BA857</v>
      </c>
      <c r="AD260">
        <v>25</v>
      </c>
      <c r="AE260" t="str">
        <v>single</v>
      </c>
    </row>
    <row r="261" spans="1:31" hidden="1" x14ac:dyDescent="0.25">
      <c r="A261">
        <v>260</v>
      </c>
      <c r="B261">
        <v>2025</v>
      </c>
      <c r="C261">
        <v>6</v>
      </c>
      <c r="D261">
        <v>31</v>
      </c>
      <c r="E261">
        <v>5</v>
      </c>
      <c r="F261" t="str">
        <v>99LM412</v>
      </c>
      <c r="G261" s="167">
        <v>39.999999999999943</v>
      </c>
      <c r="H261" t="str">
        <v>hour</v>
      </c>
      <c r="I261" t="str">
        <v/>
      </c>
      <c r="J261">
        <v>115</v>
      </c>
      <c r="K261" s="167">
        <f ca="1"/>
        <v>5.5359999999999996</v>
      </c>
      <c r="L261" s="167">
        <f ca="1"/>
        <v>221.43999999999966</v>
      </c>
      <c r="AA261">
        <v>51</v>
      </c>
      <c r="AB261">
        <v>3</v>
      </c>
      <c r="AC261" t="str">
        <v>10BA857</v>
      </c>
      <c r="AD261">
        <v>31</v>
      </c>
      <c r="AE261" t="str">
        <v>single</v>
      </c>
    </row>
    <row r="262" spans="1:31" hidden="1" x14ac:dyDescent="0.25">
      <c r="A262">
        <v>261</v>
      </c>
      <c r="B262">
        <v>2025</v>
      </c>
      <c r="C262">
        <v>6</v>
      </c>
      <c r="D262">
        <v>31</v>
      </c>
      <c r="E262">
        <v>5</v>
      </c>
      <c r="F262" t="str">
        <v>99MN472</v>
      </c>
      <c r="G262" s="167">
        <v>67.999999999999957</v>
      </c>
      <c r="H262" t="str">
        <v>hour</v>
      </c>
      <c r="I262" t="str">
        <v/>
      </c>
      <c r="J262">
        <v>107</v>
      </c>
      <c r="K262" s="167">
        <f ca="1"/>
        <v>5.5359999999999996</v>
      </c>
      <c r="L262" s="167">
        <f ca="1"/>
        <v>376.44799999999975</v>
      </c>
      <c r="AA262">
        <v>51</v>
      </c>
      <c r="AB262">
        <v>4</v>
      </c>
      <c r="AC262" t="str">
        <v>10BA857</v>
      </c>
      <c r="AD262">
        <v>29</v>
      </c>
      <c r="AE262" t="str">
        <v>single</v>
      </c>
    </row>
    <row r="263" spans="1:31" hidden="1" x14ac:dyDescent="0.25">
      <c r="A263">
        <v>262</v>
      </c>
      <c r="B263">
        <v>2025</v>
      </c>
      <c r="C263">
        <v>6</v>
      </c>
      <c r="D263">
        <v>31</v>
      </c>
      <c r="E263">
        <v>5</v>
      </c>
      <c r="F263" t="str">
        <v/>
      </c>
      <c r="G263" s="167">
        <v>8670.24</v>
      </c>
      <c r="H263" t="str">
        <v/>
      </c>
      <c r="I263" t="str">
        <v/>
      </c>
      <c r="J263" t="str">
        <v>M-1</v>
      </c>
      <c r="K263" s="167">
        <f ca="1"/>
        <v>1</v>
      </c>
      <c r="L263" s="167">
        <f ca="1"/>
        <v>8670.24</v>
      </c>
      <c r="AA263">
        <v>52</v>
      </c>
      <c r="AB263">
        <v>1</v>
      </c>
      <c r="AC263" t="str">
        <v>10AC750</v>
      </c>
      <c r="AD263">
        <v>16</v>
      </c>
      <c r="AE263" t="str">
        <v>single</v>
      </c>
    </row>
    <row r="264" spans="1:31" hidden="1" x14ac:dyDescent="0.25">
      <c r="A264">
        <v>263</v>
      </c>
      <c r="B264">
        <v>2025</v>
      </c>
      <c r="C264">
        <v>6</v>
      </c>
      <c r="D264">
        <v>31</v>
      </c>
      <c r="E264">
        <v>5</v>
      </c>
      <c r="F264" t="str">
        <v/>
      </c>
      <c r="G264" s="167">
        <v>6873.2350000000006</v>
      </c>
      <c r="H264" t="str">
        <v/>
      </c>
      <c r="I264" t="str">
        <v/>
      </c>
      <c r="J264" t="str">
        <v>R-1</v>
      </c>
      <c r="K264" s="167">
        <f ca="1"/>
        <v>-1</v>
      </c>
      <c r="L264" s="167">
        <f ca="1"/>
        <v>-6873.2350000000006</v>
      </c>
      <c r="AA264">
        <v>52</v>
      </c>
      <c r="AB264">
        <v>2</v>
      </c>
      <c r="AC264" t="str">
        <v>10AC750</v>
      </c>
      <c r="AD264">
        <v>30</v>
      </c>
      <c r="AE264" t="str">
        <v>single</v>
      </c>
    </row>
    <row r="265" spans="1:31" hidden="1" x14ac:dyDescent="0.25">
      <c r="A265">
        <v>264</v>
      </c>
      <c r="B265">
        <v>2025</v>
      </c>
      <c r="C265">
        <v>6</v>
      </c>
      <c r="D265">
        <v>33</v>
      </c>
      <c r="E265">
        <v>10</v>
      </c>
      <c r="F265" t="str">
        <v/>
      </c>
      <c r="G265" s="167">
        <v>28551</v>
      </c>
      <c r="H265" t="str">
        <v/>
      </c>
      <c r="I265" t="str">
        <v/>
      </c>
      <c r="J265">
        <v>12</v>
      </c>
      <c r="K265" s="167">
        <f ca="1"/>
        <v>1.56</v>
      </c>
      <c r="L265" s="167">
        <f ca="1"/>
        <v>44539.560000000005</v>
      </c>
      <c r="AA265">
        <v>52</v>
      </c>
      <c r="AB265">
        <v>2</v>
      </c>
      <c r="AC265" t="str">
        <v>10BC326</v>
      </c>
      <c r="AD265">
        <v>11</v>
      </c>
      <c r="AE265" t="str">
        <v>single</v>
      </c>
    </row>
    <row r="266" spans="1:31" hidden="1" x14ac:dyDescent="0.25">
      <c r="A266">
        <v>265</v>
      </c>
      <c r="B266">
        <v>2025</v>
      </c>
      <c r="C266">
        <v>6</v>
      </c>
      <c r="D266">
        <v>33</v>
      </c>
      <c r="E266">
        <v>10</v>
      </c>
      <c r="F266" t="str">
        <v/>
      </c>
      <c r="G266" s="167">
        <v>33698</v>
      </c>
      <c r="H266" t="str">
        <v/>
      </c>
      <c r="I266" t="str">
        <v/>
      </c>
      <c r="J266">
        <v>13</v>
      </c>
      <c r="K266" s="167">
        <f ca="1"/>
        <v>4.53</v>
      </c>
      <c r="L266" s="167">
        <f ca="1"/>
        <v>152651.94</v>
      </c>
      <c r="AA266">
        <v>52</v>
      </c>
      <c r="AB266">
        <v>3</v>
      </c>
      <c r="AC266" t="str">
        <v>10AC750</v>
      </c>
      <c r="AD266">
        <v>18.5</v>
      </c>
      <c r="AE266" t="str">
        <v>single</v>
      </c>
    </row>
    <row r="267" spans="1:31" hidden="1" x14ac:dyDescent="0.25">
      <c r="A267">
        <v>266</v>
      </c>
      <c r="B267">
        <v>2025</v>
      </c>
      <c r="C267">
        <v>6</v>
      </c>
      <c r="D267">
        <v>33</v>
      </c>
      <c r="E267">
        <v>10</v>
      </c>
      <c r="F267" t="str">
        <v/>
      </c>
      <c r="G267" s="167">
        <v>30708</v>
      </c>
      <c r="H267" t="str">
        <v/>
      </c>
      <c r="I267" t="str">
        <v/>
      </c>
      <c r="J267">
        <v>14</v>
      </c>
      <c r="K267" s="167">
        <f ca="1"/>
        <v>4.53</v>
      </c>
      <c r="L267" s="167">
        <f ca="1"/>
        <v>139107.24000000002</v>
      </c>
      <c r="AA267">
        <v>52</v>
      </c>
      <c r="AB267">
        <v>3</v>
      </c>
      <c r="AC267" t="str">
        <v>10BC326</v>
      </c>
      <c r="AD267">
        <v>27</v>
      </c>
      <c r="AE267" t="str">
        <v>single</v>
      </c>
    </row>
    <row r="268" spans="1:31" hidden="1" x14ac:dyDescent="0.25">
      <c r="A268">
        <v>267</v>
      </c>
      <c r="B268">
        <v>2025</v>
      </c>
      <c r="C268">
        <v>6</v>
      </c>
      <c r="D268">
        <v>33</v>
      </c>
      <c r="E268">
        <v>10</v>
      </c>
      <c r="F268" t="str">
        <v/>
      </c>
      <c r="G268" s="167">
        <v>3422</v>
      </c>
      <c r="H268" t="str">
        <v/>
      </c>
      <c r="I268" t="str">
        <v/>
      </c>
      <c r="J268">
        <v>15</v>
      </c>
      <c r="K268" s="167">
        <f ca="1"/>
        <v>4.53</v>
      </c>
      <c r="L268" s="167">
        <f ca="1"/>
        <v>15501.660000000002</v>
      </c>
      <c r="AA268">
        <v>52</v>
      </c>
      <c r="AB268">
        <v>4</v>
      </c>
      <c r="AC268" t="str">
        <v>10AC750</v>
      </c>
      <c r="AD268">
        <v>29</v>
      </c>
      <c r="AE268" t="str">
        <v>single</v>
      </c>
    </row>
    <row r="269" spans="1:31" hidden="1" x14ac:dyDescent="0.25">
      <c r="A269">
        <v>268</v>
      </c>
      <c r="B269">
        <v>2025</v>
      </c>
      <c r="C269">
        <v>6</v>
      </c>
      <c r="D269">
        <v>33</v>
      </c>
      <c r="E269">
        <v>10</v>
      </c>
      <c r="F269" t="str">
        <v/>
      </c>
      <c r="G269" s="167">
        <v>1781</v>
      </c>
      <c r="H269" t="str">
        <v/>
      </c>
      <c r="I269" t="str">
        <v/>
      </c>
      <c r="J269">
        <v>16</v>
      </c>
      <c r="K269" s="167">
        <f ca="1"/>
        <v>3.77</v>
      </c>
      <c r="L269" s="167">
        <f ca="1"/>
        <v>6714.37</v>
      </c>
      <c r="AA269">
        <v>65</v>
      </c>
      <c r="AB269">
        <v>1</v>
      </c>
      <c r="AC269" t="str">
        <v>01BA176</v>
      </c>
      <c r="AD269">
        <v>25</v>
      </c>
      <c r="AE269" t="str">
        <v>single</v>
      </c>
    </row>
    <row r="270" spans="1:31" hidden="1" x14ac:dyDescent="0.25">
      <c r="A270">
        <v>269</v>
      </c>
      <c r="B270">
        <v>2025</v>
      </c>
      <c r="C270">
        <v>6</v>
      </c>
      <c r="D270">
        <v>46</v>
      </c>
      <c r="E270">
        <v>2</v>
      </c>
      <c r="F270" t="str">
        <v>110FY523</v>
      </c>
      <c r="G270" s="167">
        <v>27</v>
      </c>
      <c r="H270" t="str">
        <v>single</v>
      </c>
      <c r="I270" t="str">
        <v/>
      </c>
      <c r="J270">
        <v>1</v>
      </c>
      <c r="K270" s="167">
        <f ca="1"/>
        <v>214.28571428571428</v>
      </c>
      <c r="L270" s="167">
        <f ca="1"/>
        <v>5785.7142857142853</v>
      </c>
      <c r="AA270">
        <v>65</v>
      </c>
      <c r="AB270">
        <v>1</v>
      </c>
      <c r="AC270" t="str">
        <v>10BD252</v>
      </c>
      <c r="AD270">
        <v>22</v>
      </c>
      <c r="AE270" t="str">
        <v>single</v>
      </c>
    </row>
    <row r="271" spans="1:31" hidden="1" x14ac:dyDescent="0.25">
      <c r="A271">
        <v>270</v>
      </c>
      <c r="B271">
        <v>2025</v>
      </c>
      <c r="C271">
        <v>6</v>
      </c>
      <c r="D271">
        <v>46</v>
      </c>
      <c r="E271">
        <v>2</v>
      </c>
      <c r="F271" t="str">
        <v>10AD801</v>
      </c>
      <c r="G271" s="167">
        <v>27</v>
      </c>
      <c r="H271" t="str">
        <v>single</v>
      </c>
      <c r="I271" t="str">
        <v/>
      </c>
      <c r="J271">
        <v>4</v>
      </c>
      <c r="K271" s="167">
        <f ca="1"/>
        <v>446.42857142857144</v>
      </c>
      <c r="L271" s="167">
        <f ca="1"/>
        <v>12053.571428571429</v>
      </c>
      <c r="AA271">
        <v>65</v>
      </c>
      <c r="AB271">
        <v>2</v>
      </c>
      <c r="AC271" t="str">
        <v>01BA176</v>
      </c>
      <c r="AD271">
        <v>23.5</v>
      </c>
      <c r="AE271" t="str">
        <v>single</v>
      </c>
    </row>
    <row r="272" spans="1:31" x14ac:dyDescent="0.25">
      <c r="A272">
        <v>271</v>
      </c>
      <c r="B272">
        <v>2025</v>
      </c>
      <c r="C272">
        <v>6</v>
      </c>
      <c r="D272">
        <v>50</v>
      </c>
      <c r="E272">
        <v>1</v>
      </c>
      <c r="F272" t="str">
        <v>61AB256</v>
      </c>
      <c r="G272" s="167">
        <v>24.5</v>
      </c>
      <c r="H272" t="str">
        <v>single</v>
      </c>
      <c r="I272" t="str">
        <v/>
      </c>
      <c r="J272">
        <v>1</v>
      </c>
      <c r="K272" s="167">
        <f ca="1"/>
        <v>357.1429</v>
      </c>
      <c r="L272" s="167">
        <f ca="1"/>
        <v>8750.0010500000008</v>
      </c>
      <c r="AA272">
        <v>65</v>
      </c>
      <c r="AB272">
        <v>2</v>
      </c>
      <c r="AC272" t="str">
        <v>10BD252</v>
      </c>
      <c r="AD272">
        <v>27</v>
      </c>
      <c r="AE272" t="str">
        <v>single</v>
      </c>
    </row>
    <row r="273" spans="1:31" hidden="1" x14ac:dyDescent="0.25">
      <c r="A273">
        <v>272</v>
      </c>
      <c r="B273">
        <v>2025</v>
      </c>
      <c r="C273">
        <v>6</v>
      </c>
      <c r="D273">
        <v>52</v>
      </c>
      <c r="E273">
        <v>3</v>
      </c>
      <c r="F273" t="str">
        <v>10AC750</v>
      </c>
      <c r="G273" s="167">
        <v>18.5</v>
      </c>
      <c r="H273" t="str">
        <v>single</v>
      </c>
      <c r="I273" t="str">
        <v/>
      </c>
      <c r="J273">
        <v>1</v>
      </c>
      <c r="K273" s="167">
        <f ca="1"/>
        <v>375</v>
      </c>
      <c r="L273" s="167">
        <f ca="1"/>
        <v>6937.5</v>
      </c>
      <c r="AA273">
        <v>65</v>
      </c>
      <c r="AB273">
        <v>3</v>
      </c>
      <c r="AC273" t="str">
        <v>01BA176</v>
      </c>
      <c r="AD273">
        <v>29</v>
      </c>
      <c r="AE273" t="str">
        <v>single</v>
      </c>
    </row>
    <row r="274" spans="1:31" hidden="1" x14ac:dyDescent="0.25">
      <c r="A274">
        <v>273</v>
      </c>
      <c r="B274">
        <v>2025</v>
      </c>
      <c r="C274">
        <v>6</v>
      </c>
      <c r="D274">
        <v>65</v>
      </c>
      <c r="E274">
        <v>2</v>
      </c>
      <c r="F274" t="str">
        <v>01BA176</v>
      </c>
      <c r="G274" s="167">
        <v>23.5</v>
      </c>
      <c r="H274" t="str">
        <v>single</v>
      </c>
      <c r="I274" t="str">
        <v/>
      </c>
      <c r="J274">
        <v>1</v>
      </c>
      <c r="K274" s="167">
        <f ca="1"/>
        <v>196.42857142857142</v>
      </c>
      <c r="L274" s="167">
        <f ca="1"/>
        <v>4616.0714285714284</v>
      </c>
      <c r="AA274">
        <v>65</v>
      </c>
      <c r="AB274">
        <v>3</v>
      </c>
      <c r="AC274" t="str">
        <v>10BD252</v>
      </c>
      <c r="AD274">
        <v>18</v>
      </c>
      <c r="AE274" t="str">
        <v>single</v>
      </c>
    </row>
    <row r="275" spans="1:31" hidden="1" x14ac:dyDescent="0.25">
      <c r="A275">
        <v>274</v>
      </c>
      <c r="B275">
        <v>2025</v>
      </c>
      <c r="C275">
        <v>6</v>
      </c>
      <c r="D275">
        <v>65</v>
      </c>
      <c r="E275">
        <v>2</v>
      </c>
      <c r="F275" t="str">
        <v>10BD252</v>
      </c>
      <c r="G275" s="167">
        <v>27</v>
      </c>
      <c r="H275" t="str">
        <v>single</v>
      </c>
      <c r="I275" t="str">
        <v/>
      </c>
      <c r="J275">
        <v>2</v>
      </c>
      <c r="K275" s="167">
        <f ca="1"/>
        <v>160.71</v>
      </c>
      <c r="L275" s="167">
        <f ca="1"/>
        <v>4339.17</v>
      </c>
      <c r="AA275">
        <v>65</v>
      </c>
      <c r="AB275">
        <v>4</v>
      </c>
      <c r="AC275" t="str">
        <v>01BA176</v>
      </c>
      <c r="AD275">
        <v>27</v>
      </c>
      <c r="AE275" t="str">
        <v>single</v>
      </c>
    </row>
    <row r="276" spans="1:31" hidden="1" x14ac:dyDescent="0.25">
      <c r="A276">
        <v>275</v>
      </c>
      <c r="B276">
        <v>2025</v>
      </c>
      <c r="C276">
        <v>6</v>
      </c>
      <c r="D276">
        <v>85</v>
      </c>
      <c r="E276">
        <v>1</v>
      </c>
      <c r="F276" t="str">
        <v>77SN951</v>
      </c>
      <c r="G276" s="167">
        <v>15</v>
      </c>
      <c r="H276" t="str">
        <v>single</v>
      </c>
      <c r="I276" t="str">
        <v/>
      </c>
      <c r="J276">
        <v>1</v>
      </c>
      <c r="K276" s="167">
        <f ca="1"/>
        <v>446.43</v>
      </c>
      <c r="L276" s="167">
        <f ca="1"/>
        <v>6696.45</v>
      </c>
      <c r="AA276">
        <v>65</v>
      </c>
      <c r="AB276">
        <v>4</v>
      </c>
      <c r="AC276" t="str">
        <v>10BD252</v>
      </c>
      <c r="AD276">
        <v>24.5</v>
      </c>
      <c r="AE276" t="str">
        <v>single</v>
      </c>
    </row>
    <row r="277" spans="1:31" hidden="1" x14ac:dyDescent="0.25">
      <c r="A277">
        <v>276</v>
      </c>
      <c r="B277">
        <v>2025</v>
      </c>
      <c r="C277">
        <v>6</v>
      </c>
      <c r="D277">
        <v>85</v>
      </c>
      <c r="E277">
        <v>1</v>
      </c>
      <c r="F277" t="str">
        <v>77SN951</v>
      </c>
      <c r="G277" s="167">
        <v>25.999999999999993</v>
      </c>
      <c r="H277" t="str">
        <v>hour</v>
      </c>
      <c r="I277" t="str">
        <v/>
      </c>
      <c r="J277">
        <v>2</v>
      </c>
      <c r="K277" s="167">
        <f ca="1"/>
        <v>44.643000000000001</v>
      </c>
      <c r="L277" s="167">
        <f ca="1"/>
        <v>1160.7179999999996</v>
      </c>
      <c r="AA277">
        <v>65</v>
      </c>
      <c r="AB277">
        <v>5</v>
      </c>
      <c r="AC277" t="str">
        <v>01BA176</v>
      </c>
      <c r="AD277">
        <v>27</v>
      </c>
      <c r="AE277" t="str">
        <v>single</v>
      </c>
    </row>
    <row r="278" spans="1:31" hidden="1" x14ac:dyDescent="0.25">
      <c r="A278">
        <v>277</v>
      </c>
      <c r="B278">
        <v>2025</v>
      </c>
      <c r="C278">
        <v>6</v>
      </c>
      <c r="D278">
        <v>91</v>
      </c>
      <c r="E278">
        <v>1</v>
      </c>
      <c r="F278" t="str">
        <v>90VJ454</v>
      </c>
      <c r="G278" s="167">
        <v>1.1666666666666667</v>
      </c>
      <c r="H278" t="str">
        <v/>
      </c>
      <c r="I278" t="str">
        <v/>
      </c>
      <c r="J278">
        <v>1</v>
      </c>
      <c r="K278" s="167">
        <f ca="1"/>
        <v>3500</v>
      </c>
      <c r="L278" s="167">
        <f ca="1"/>
        <v>4083.3333333333335</v>
      </c>
      <c r="AA278">
        <v>65</v>
      </c>
      <c r="AB278">
        <v>5</v>
      </c>
      <c r="AC278" t="str">
        <v>10BD252</v>
      </c>
      <c r="AD278">
        <v>28</v>
      </c>
      <c r="AE278" t="str">
        <v>single</v>
      </c>
    </row>
    <row r="279" spans="1:31" hidden="1" x14ac:dyDescent="0.25">
      <c r="A279">
        <v>278</v>
      </c>
      <c r="B279">
        <v>2025</v>
      </c>
      <c r="C279">
        <v>6</v>
      </c>
      <c r="D279">
        <v>94</v>
      </c>
      <c r="E279">
        <v>1</v>
      </c>
      <c r="F279" t="str">
        <v>54BM823</v>
      </c>
      <c r="G279" s="167">
        <v>28</v>
      </c>
      <c r="H279" t="str">
        <v>single</v>
      </c>
      <c r="I279" t="str">
        <v/>
      </c>
      <c r="J279">
        <v>1</v>
      </c>
      <c r="K279" s="167">
        <f ca="1"/>
        <v>125</v>
      </c>
      <c r="L279" s="167">
        <f ca="1"/>
        <v>3500</v>
      </c>
      <c r="AA279">
        <v>65</v>
      </c>
      <c r="AB279">
        <v>6</v>
      </c>
      <c r="AC279" t="str">
        <v>01BA176</v>
      </c>
      <c r="AD279">
        <v>14</v>
      </c>
      <c r="AE279" t="str">
        <v>single</v>
      </c>
    </row>
    <row r="280" spans="1:31" hidden="1" x14ac:dyDescent="0.25">
      <c r="A280">
        <v>279</v>
      </c>
      <c r="B280">
        <v>2025</v>
      </c>
      <c r="C280">
        <v>7</v>
      </c>
      <c r="D280">
        <v>11</v>
      </c>
      <c r="E280">
        <v>7</v>
      </c>
      <c r="F280" t="str">
        <v/>
      </c>
      <c r="G280" s="167">
        <v>2</v>
      </c>
      <c r="H280" t="str">
        <v/>
      </c>
      <c r="I280" t="str">
        <v/>
      </c>
      <c r="J280">
        <v>1</v>
      </c>
      <c r="K280" s="167">
        <f ca="1"/>
        <v>5500</v>
      </c>
      <c r="L280" s="167">
        <f ca="1"/>
        <v>11000</v>
      </c>
      <c r="AA280">
        <v>65</v>
      </c>
      <c r="AB280">
        <v>6</v>
      </c>
      <c r="AC280" t="str">
        <v>10BD252</v>
      </c>
      <c r="AD280">
        <v>29</v>
      </c>
      <c r="AE280" t="str">
        <v>single</v>
      </c>
    </row>
    <row r="281" spans="1:31" hidden="1" x14ac:dyDescent="0.25">
      <c r="A281">
        <v>280</v>
      </c>
      <c r="B281">
        <v>2025</v>
      </c>
      <c r="C281">
        <v>7</v>
      </c>
      <c r="D281">
        <v>11</v>
      </c>
      <c r="E281">
        <v>7</v>
      </c>
      <c r="F281" t="str">
        <v/>
      </c>
      <c r="G281" s="167">
        <v>10</v>
      </c>
      <c r="H281" t="str">
        <v/>
      </c>
      <c r="I281" t="str">
        <v/>
      </c>
      <c r="J281">
        <v>2</v>
      </c>
      <c r="K281" s="167">
        <f ca="1"/>
        <v>200</v>
      </c>
      <c r="L281" s="167">
        <f ca="1"/>
        <v>2000</v>
      </c>
      <c r="AA281">
        <v>65</v>
      </c>
      <c r="AB281">
        <v>7</v>
      </c>
      <c r="AC281" t="str">
        <v>01BA176</v>
      </c>
      <c r="AD281">
        <v>27</v>
      </c>
      <c r="AE281" t="str">
        <v>single</v>
      </c>
    </row>
    <row r="282" spans="1:31" hidden="1" x14ac:dyDescent="0.25">
      <c r="A282">
        <v>281</v>
      </c>
      <c r="B282">
        <v>2025</v>
      </c>
      <c r="C282">
        <v>7</v>
      </c>
      <c r="D282">
        <v>30</v>
      </c>
      <c r="E282">
        <v>7</v>
      </c>
      <c r="F282" t="str">
        <v/>
      </c>
      <c r="G282" s="167">
        <v>1</v>
      </c>
      <c r="H282" t="str">
        <v/>
      </c>
      <c r="I282" t="str">
        <v/>
      </c>
      <c r="J282">
        <v>4</v>
      </c>
      <c r="K282" s="167">
        <f ca="1"/>
        <v>5500</v>
      </c>
      <c r="L282" s="167">
        <f ca="1"/>
        <v>5500</v>
      </c>
      <c r="AA282">
        <v>65</v>
      </c>
      <c r="AB282">
        <v>7</v>
      </c>
      <c r="AC282" t="str">
        <v>10BD252</v>
      </c>
      <c r="AD282">
        <v>28</v>
      </c>
      <c r="AE282" t="str">
        <v>single</v>
      </c>
    </row>
    <row r="283" spans="1:31" hidden="1" x14ac:dyDescent="0.25">
      <c r="A283">
        <v>282</v>
      </c>
      <c r="B283">
        <v>2025</v>
      </c>
      <c r="C283">
        <v>7</v>
      </c>
      <c r="D283">
        <v>31</v>
      </c>
      <c r="E283">
        <v>6</v>
      </c>
      <c r="F283" t="str">
        <v>01CC689</v>
      </c>
      <c r="G283" s="167">
        <v>31</v>
      </c>
      <c r="H283" t="str">
        <v>single</v>
      </c>
      <c r="I283" t="str">
        <v/>
      </c>
      <c r="J283">
        <v>26</v>
      </c>
      <c r="K283" s="167">
        <f ca="1"/>
        <v>55.36</v>
      </c>
      <c r="L283" s="167">
        <f ca="1"/>
        <v>1716.16</v>
      </c>
      <c r="AA283">
        <v>85</v>
      </c>
      <c r="AB283">
        <v>1</v>
      </c>
      <c r="AC283" t="str">
        <v>77SN951</v>
      </c>
      <c r="AD283">
        <v>15</v>
      </c>
      <c r="AE283" t="str">
        <v>single</v>
      </c>
    </row>
    <row r="284" spans="1:31" hidden="1" x14ac:dyDescent="0.25">
      <c r="A284">
        <v>283</v>
      </c>
      <c r="B284">
        <v>2025</v>
      </c>
      <c r="C284">
        <v>7</v>
      </c>
      <c r="D284">
        <v>31</v>
      </c>
      <c r="E284">
        <v>6</v>
      </c>
      <c r="F284" t="str">
        <v>50BD165</v>
      </c>
      <c r="G284" s="167">
        <v>30</v>
      </c>
      <c r="H284" t="str">
        <v>single</v>
      </c>
      <c r="I284" t="str">
        <v/>
      </c>
      <c r="J284">
        <v>41</v>
      </c>
      <c r="K284" s="167">
        <f ca="1"/>
        <v>55.36</v>
      </c>
      <c r="L284" s="167">
        <f ca="1"/>
        <v>1660.8</v>
      </c>
      <c r="AA284">
        <v>85</v>
      </c>
      <c r="AB284">
        <v>2</v>
      </c>
      <c r="AC284" t="str">
        <v>77SN951</v>
      </c>
      <c r="AD284">
        <v>29</v>
      </c>
      <c r="AE284" t="str">
        <v>single</v>
      </c>
    </row>
    <row r="285" spans="1:31" hidden="1" x14ac:dyDescent="0.25">
      <c r="A285">
        <v>284</v>
      </c>
      <c r="B285">
        <v>2025</v>
      </c>
      <c r="C285">
        <v>7</v>
      </c>
      <c r="D285">
        <v>31</v>
      </c>
      <c r="E285">
        <v>6</v>
      </c>
      <c r="F285" t="str">
        <v>50BN724</v>
      </c>
      <c r="G285" s="167">
        <v>16</v>
      </c>
      <c r="H285" t="str">
        <v>single</v>
      </c>
      <c r="I285" t="str">
        <v/>
      </c>
      <c r="J285">
        <v>43</v>
      </c>
      <c r="K285" s="167">
        <f ca="1"/>
        <v>66.069999999999993</v>
      </c>
      <c r="L285" s="167">
        <f ca="1"/>
        <v>1057.1199999999999</v>
      </c>
      <c r="AA285">
        <v>85</v>
      </c>
      <c r="AB285">
        <v>3</v>
      </c>
      <c r="AC285" t="str">
        <v>77SN951</v>
      </c>
      <c r="AD285">
        <v>29</v>
      </c>
      <c r="AE285" t="str">
        <v>single</v>
      </c>
    </row>
    <row r="286" spans="1:31" hidden="1" x14ac:dyDescent="0.25">
      <c r="A286">
        <v>285</v>
      </c>
      <c r="B286">
        <v>2025</v>
      </c>
      <c r="C286">
        <v>7</v>
      </c>
      <c r="D286">
        <v>31</v>
      </c>
      <c r="E286">
        <v>6</v>
      </c>
      <c r="F286" t="str">
        <v>50DK730</v>
      </c>
      <c r="G286" s="167">
        <v>31</v>
      </c>
      <c r="H286" t="str">
        <v>single</v>
      </c>
      <c r="I286" t="str">
        <v/>
      </c>
      <c r="J286">
        <v>47</v>
      </c>
      <c r="K286" s="167">
        <f ca="1"/>
        <v>55.36</v>
      </c>
      <c r="L286" s="167">
        <f ca="1"/>
        <v>1716.16</v>
      </c>
      <c r="AA286">
        <v>85</v>
      </c>
      <c r="AB286">
        <v>4</v>
      </c>
      <c r="AC286" t="str">
        <v>77SN951</v>
      </c>
      <c r="AD286">
        <v>28</v>
      </c>
      <c r="AE286" t="str">
        <v>single</v>
      </c>
    </row>
    <row r="287" spans="1:31" hidden="1" x14ac:dyDescent="0.25">
      <c r="A287">
        <v>286</v>
      </c>
      <c r="B287">
        <v>2025</v>
      </c>
      <c r="C287">
        <v>7</v>
      </c>
      <c r="D287">
        <v>31</v>
      </c>
      <c r="E287">
        <v>6</v>
      </c>
      <c r="F287" t="str">
        <v>53BB774</v>
      </c>
      <c r="G287" s="167">
        <v>30</v>
      </c>
      <c r="H287" t="str">
        <v>single</v>
      </c>
      <c r="I287" t="str">
        <v/>
      </c>
      <c r="J287">
        <v>53</v>
      </c>
      <c r="K287" s="167">
        <f ca="1"/>
        <v>55.36</v>
      </c>
      <c r="L287" s="167">
        <f ca="1"/>
        <v>1660.8</v>
      </c>
      <c r="AA287">
        <v>85</v>
      </c>
      <c r="AB287">
        <v>5</v>
      </c>
      <c r="AC287" t="str">
        <v>77SN951</v>
      </c>
      <c r="AD287">
        <v>29</v>
      </c>
      <c r="AE287" t="str">
        <v>single</v>
      </c>
    </row>
    <row r="288" spans="1:31" hidden="1" x14ac:dyDescent="0.25">
      <c r="A288">
        <v>287</v>
      </c>
      <c r="B288">
        <v>2025</v>
      </c>
      <c r="C288">
        <v>7</v>
      </c>
      <c r="D288">
        <v>31</v>
      </c>
      <c r="E288">
        <v>6</v>
      </c>
      <c r="F288" t="str">
        <v>55CB633</v>
      </c>
      <c r="G288" s="167">
        <v>30</v>
      </c>
      <c r="H288" t="str">
        <v>single</v>
      </c>
      <c r="I288" t="str">
        <v/>
      </c>
      <c r="J288">
        <v>57</v>
      </c>
      <c r="K288" s="167">
        <f ca="1"/>
        <v>55.36</v>
      </c>
      <c r="L288" s="167">
        <f ca="1"/>
        <v>1660.8</v>
      </c>
      <c r="AA288">
        <v>85</v>
      </c>
      <c r="AB288">
        <v>6</v>
      </c>
      <c r="AC288" t="str">
        <v>77SN951</v>
      </c>
      <c r="AD288">
        <v>29</v>
      </c>
      <c r="AE288" t="str">
        <v>single</v>
      </c>
    </row>
    <row r="289" spans="1:31" hidden="1" x14ac:dyDescent="0.25">
      <c r="A289">
        <v>288</v>
      </c>
      <c r="B289">
        <v>2025</v>
      </c>
      <c r="C289">
        <v>7</v>
      </c>
      <c r="D289">
        <v>31</v>
      </c>
      <c r="E289">
        <v>6</v>
      </c>
      <c r="F289" t="str">
        <v>77AT386</v>
      </c>
      <c r="G289" s="167">
        <v>30</v>
      </c>
      <c r="H289" t="str">
        <v>single</v>
      </c>
      <c r="I289" t="str">
        <v/>
      </c>
      <c r="J289">
        <v>13</v>
      </c>
      <c r="K289" s="167">
        <f ca="1"/>
        <v>46.67</v>
      </c>
      <c r="L289" s="167">
        <f ca="1"/>
        <v>1400.1000000000001</v>
      </c>
      <c r="AA289">
        <v>94</v>
      </c>
      <c r="AB289">
        <v>1</v>
      </c>
      <c r="AC289" t="str">
        <v>54BM823</v>
      </c>
      <c r="AD289">
        <v>28</v>
      </c>
      <c r="AE289" t="str">
        <v>single</v>
      </c>
    </row>
    <row r="290" spans="1:31" hidden="1" x14ac:dyDescent="0.25">
      <c r="A290">
        <v>289</v>
      </c>
      <c r="B290">
        <v>2025</v>
      </c>
      <c r="C290">
        <v>7</v>
      </c>
      <c r="D290">
        <v>31</v>
      </c>
      <c r="E290">
        <v>6</v>
      </c>
      <c r="F290" t="str">
        <v>77QE133</v>
      </c>
      <c r="G290" s="167">
        <v>30</v>
      </c>
      <c r="H290" t="str">
        <v>single</v>
      </c>
      <c r="I290" t="str">
        <v/>
      </c>
      <c r="J290">
        <v>69</v>
      </c>
      <c r="K290" s="167">
        <f ca="1"/>
        <v>73.33</v>
      </c>
      <c r="L290" s="167">
        <f ca="1"/>
        <v>2199.9</v>
      </c>
      <c r="AA290">
        <v>94</v>
      </c>
      <c r="AB290">
        <v>2</v>
      </c>
      <c r="AC290" t="str">
        <v>54BM823</v>
      </c>
      <c r="AD290">
        <v>31</v>
      </c>
      <c r="AE290" t="str">
        <v>single</v>
      </c>
    </row>
    <row r="291" spans="1:31" hidden="1" x14ac:dyDescent="0.25">
      <c r="A291">
        <v>290</v>
      </c>
      <c r="B291">
        <v>2025</v>
      </c>
      <c r="C291">
        <v>7</v>
      </c>
      <c r="D291">
        <v>31</v>
      </c>
      <c r="E291">
        <v>6</v>
      </c>
      <c r="F291" t="str">
        <v>77QK725</v>
      </c>
      <c r="G291" s="167">
        <v>15</v>
      </c>
      <c r="H291" t="str">
        <v>single</v>
      </c>
      <c r="I291" t="str">
        <v/>
      </c>
      <c r="J291">
        <v>17</v>
      </c>
      <c r="K291" s="167">
        <f ca="1"/>
        <v>275</v>
      </c>
      <c r="L291" s="167">
        <f ca="1"/>
        <v>4125</v>
      </c>
      <c r="AA291">
        <v>94</v>
      </c>
      <c r="AB291">
        <v>2</v>
      </c>
      <c r="AC291" t="str">
        <v>54BM823</v>
      </c>
      <c r="AD291">
        <v>14</v>
      </c>
      <c r="AE291" t="str">
        <v>single</v>
      </c>
    </row>
    <row r="292" spans="1:31" hidden="1" x14ac:dyDescent="0.25">
      <c r="A292">
        <v>291</v>
      </c>
      <c r="B292">
        <v>2025</v>
      </c>
      <c r="C292">
        <v>7</v>
      </c>
      <c r="D292">
        <v>31</v>
      </c>
      <c r="E292">
        <v>6</v>
      </c>
      <c r="F292" t="str">
        <v>77UR032</v>
      </c>
      <c r="G292" s="167">
        <v>29</v>
      </c>
      <c r="H292" t="str">
        <v>single</v>
      </c>
      <c r="I292" t="str">
        <v/>
      </c>
      <c r="J292">
        <v>77</v>
      </c>
      <c r="K292" s="167">
        <f ca="1"/>
        <v>55.36</v>
      </c>
      <c r="L292" s="167">
        <f ca="1"/>
        <v>1605.44</v>
      </c>
      <c r="AA292">
        <v>94</v>
      </c>
      <c r="AB292">
        <v>3</v>
      </c>
      <c r="AC292" t="str">
        <v>54BM823</v>
      </c>
      <c r="AD292">
        <v>31</v>
      </c>
      <c r="AE292" t="str">
        <v>single</v>
      </c>
    </row>
    <row r="293" spans="1:31" hidden="1" x14ac:dyDescent="0.25">
      <c r="A293">
        <v>292</v>
      </c>
      <c r="B293">
        <v>2025</v>
      </c>
      <c r="C293">
        <v>7</v>
      </c>
      <c r="D293">
        <v>31</v>
      </c>
      <c r="E293">
        <v>6</v>
      </c>
      <c r="F293" t="str">
        <v>90LS143</v>
      </c>
      <c r="G293" s="167">
        <v>20</v>
      </c>
      <c r="H293" t="str">
        <v>single</v>
      </c>
      <c r="I293" t="str">
        <v/>
      </c>
      <c r="J293">
        <v>81</v>
      </c>
      <c r="K293" s="167">
        <f ca="1"/>
        <v>55.36</v>
      </c>
      <c r="L293" s="167">
        <f ca="1"/>
        <v>1107.2</v>
      </c>
      <c r="AA293">
        <v>94</v>
      </c>
      <c r="AB293">
        <v>3</v>
      </c>
      <c r="AC293" t="str">
        <v>01BT754</v>
      </c>
      <c r="AD293">
        <v>31</v>
      </c>
      <c r="AE293" t="str">
        <v>single</v>
      </c>
    </row>
    <row r="294" spans="1:31" hidden="1" x14ac:dyDescent="0.25">
      <c r="A294">
        <v>293</v>
      </c>
      <c r="B294">
        <v>2025</v>
      </c>
      <c r="C294">
        <v>7</v>
      </c>
      <c r="D294">
        <v>31</v>
      </c>
      <c r="E294">
        <v>6</v>
      </c>
      <c r="F294" t="str">
        <v>90PY548</v>
      </c>
      <c r="G294" s="167">
        <v>30</v>
      </c>
      <c r="H294" t="str">
        <v>single</v>
      </c>
      <c r="I294" t="str">
        <v/>
      </c>
      <c r="J294">
        <v>85</v>
      </c>
      <c r="K294" s="167">
        <f ca="1"/>
        <v>40</v>
      </c>
      <c r="L294" s="167">
        <f ca="1"/>
        <v>1200</v>
      </c>
      <c r="AA294">
        <v>94</v>
      </c>
      <c r="AB294">
        <v>3</v>
      </c>
      <c r="AC294" t="str">
        <v>10MF640</v>
      </c>
      <c r="AD294">
        <v>22</v>
      </c>
      <c r="AE294" t="str">
        <v>single</v>
      </c>
    </row>
    <row r="295" spans="1:31" hidden="1" x14ac:dyDescent="0.25">
      <c r="A295">
        <v>294</v>
      </c>
      <c r="B295">
        <v>2025</v>
      </c>
      <c r="C295">
        <v>7</v>
      </c>
      <c r="D295">
        <v>31</v>
      </c>
      <c r="E295">
        <v>6</v>
      </c>
      <c r="F295" t="str">
        <v>90SL686</v>
      </c>
      <c r="G295" s="167">
        <v>31</v>
      </c>
      <c r="H295" t="str">
        <v>single</v>
      </c>
      <c r="I295" t="str">
        <v/>
      </c>
      <c r="J295">
        <v>19</v>
      </c>
      <c r="K295" s="167">
        <f ca="1"/>
        <v>58.93</v>
      </c>
      <c r="L295" s="167">
        <f ca="1"/>
        <v>1826.83</v>
      </c>
      <c r="AA295">
        <v>94</v>
      </c>
      <c r="AB295">
        <v>4</v>
      </c>
      <c r="AC295" t="str">
        <v>54BM823</v>
      </c>
      <c r="AD295">
        <v>30</v>
      </c>
      <c r="AE295" t="str">
        <v>single</v>
      </c>
    </row>
    <row r="296" spans="1:31" hidden="1" x14ac:dyDescent="0.25">
      <c r="A296">
        <v>295</v>
      </c>
      <c r="B296">
        <v>2025</v>
      </c>
      <c r="C296">
        <v>7</v>
      </c>
      <c r="D296">
        <v>31</v>
      </c>
      <c r="E296">
        <v>6</v>
      </c>
      <c r="F296" t="str">
        <v>90VS316</v>
      </c>
      <c r="G296" s="167">
        <v>30</v>
      </c>
      <c r="H296" t="str">
        <v>single</v>
      </c>
      <c r="I296" t="str">
        <v/>
      </c>
      <c r="J296">
        <v>87</v>
      </c>
      <c r="K296" s="167">
        <f ca="1"/>
        <v>55.36</v>
      </c>
      <c r="L296" s="167">
        <f ca="1"/>
        <v>1660.8</v>
      </c>
      <c r="AA296">
        <v>94</v>
      </c>
      <c r="AB296">
        <v>4</v>
      </c>
      <c r="AC296" t="str">
        <v>01BT754</v>
      </c>
      <c r="AD296">
        <v>30</v>
      </c>
      <c r="AE296" t="str">
        <v>single</v>
      </c>
    </row>
    <row r="297" spans="1:31" hidden="1" x14ac:dyDescent="0.25">
      <c r="A297">
        <v>296</v>
      </c>
      <c r="B297">
        <v>2025</v>
      </c>
      <c r="C297">
        <v>7</v>
      </c>
      <c r="D297">
        <v>31</v>
      </c>
      <c r="E297">
        <v>6</v>
      </c>
      <c r="F297" t="str">
        <v>99BT339</v>
      </c>
      <c r="G297" s="167">
        <v>1</v>
      </c>
      <c r="H297" t="str">
        <v>single</v>
      </c>
      <c r="I297" t="str">
        <v/>
      </c>
      <c r="J297">
        <v>93</v>
      </c>
      <c r="K297" s="167">
        <f ca="1"/>
        <v>55.36</v>
      </c>
      <c r="L297" s="167">
        <f ca="1"/>
        <v>55.36</v>
      </c>
      <c r="AA297">
        <v>94</v>
      </c>
      <c r="AB297">
        <v>5</v>
      </c>
      <c r="AC297" t="str">
        <v>01BT754</v>
      </c>
      <c r="AD297">
        <v>31</v>
      </c>
      <c r="AE297" t="str">
        <v>single</v>
      </c>
    </row>
    <row r="298" spans="1:31" hidden="1" x14ac:dyDescent="0.25">
      <c r="A298">
        <v>297</v>
      </c>
      <c r="B298">
        <v>2025</v>
      </c>
      <c r="C298">
        <v>7</v>
      </c>
      <c r="D298">
        <v>31</v>
      </c>
      <c r="E298">
        <v>6</v>
      </c>
      <c r="F298" t="str">
        <v>99EM163</v>
      </c>
      <c r="G298" s="167">
        <v>30</v>
      </c>
      <c r="H298" t="str">
        <v>single</v>
      </c>
      <c r="I298" t="str">
        <v/>
      </c>
      <c r="J298">
        <v>100</v>
      </c>
      <c r="K298" s="167">
        <f ca="1"/>
        <v>55.36</v>
      </c>
      <c r="L298" s="167">
        <f ca="1"/>
        <v>1660.8</v>
      </c>
      <c r="AA298">
        <v>95</v>
      </c>
      <c r="AB298">
        <v>1</v>
      </c>
      <c r="AC298" t="str">
        <v>54BA209</v>
      </c>
      <c r="AD298">
        <v>16.5</v>
      </c>
      <c r="AE298" t="str">
        <v>single</v>
      </c>
    </row>
    <row r="299" spans="1:31" hidden="1" x14ac:dyDescent="0.25">
      <c r="A299">
        <v>298</v>
      </c>
      <c r="B299">
        <v>2025</v>
      </c>
      <c r="C299">
        <v>7</v>
      </c>
      <c r="D299">
        <v>31</v>
      </c>
      <c r="E299">
        <v>6</v>
      </c>
      <c r="F299" t="str">
        <v>99HZ395</v>
      </c>
      <c r="G299" s="167">
        <v>30</v>
      </c>
      <c r="H299" t="str">
        <v>single</v>
      </c>
      <c r="I299" t="str">
        <v/>
      </c>
      <c r="J299">
        <v>3</v>
      </c>
      <c r="K299" s="167">
        <f ca="1"/>
        <v>65</v>
      </c>
      <c r="L299" s="167">
        <f ca="1"/>
        <v>1950</v>
      </c>
      <c r="AA299">
        <v>95</v>
      </c>
      <c r="AB299">
        <v>2</v>
      </c>
      <c r="AC299" t="str">
        <v>54BA209</v>
      </c>
      <c r="AD299">
        <v>27</v>
      </c>
      <c r="AE299" t="str">
        <v>single</v>
      </c>
    </row>
    <row r="300" spans="1:31" hidden="1" x14ac:dyDescent="0.25">
      <c r="A300">
        <v>299</v>
      </c>
      <c r="B300">
        <v>2025</v>
      </c>
      <c r="C300">
        <v>7</v>
      </c>
      <c r="D300">
        <v>31</v>
      </c>
      <c r="E300">
        <v>6</v>
      </c>
      <c r="F300" t="str">
        <v>99KL663</v>
      </c>
      <c r="G300" s="167">
        <v>30</v>
      </c>
      <c r="H300" t="str">
        <v>single</v>
      </c>
      <c r="I300" t="str">
        <v/>
      </c>
      <c r="J300">
        <v>106</v>
      </c>
      <c r="K300" s="167">
        <f ca="1"/>
        <v>55.36</v>
      </c>
      <c r="L300" s="167">
        <f ca="1"/>
        <v>1660.8</v>
      </c>
      <c r="AA300">
        <v>95</v>
      </c>
      <c r="AB300">
        <v>3</v>
      </c>
      <c r="AC300" t="str">
        <v>54BA209</v>
      </c>
      <c r="AD300">
        <v>24</v>
      </c>
      <c r="AE300" t="str">
        <v>single</v>
      </c>
    </row>
    <row r="301" spans="1:31" hidden="1" x14ac:dyDescent="0.25">
      <c r="A301">
        <v>300</v>
      </c>
      <c r="B301">
        <v>2025</v>
      </c>
      <c r="C301">
        <v>7</v>
      </c>
      <c r="D301">
        <v>31</v>
      </c>
      <c r="E301">
        <v>6</v>
      </c>
      <c r="F301" t="str">
        <v>99LM412</v>
      </c>
      <c r="G301" s="167">
        <v>31</v>
      </c>
      <c r="H301" t="str">
        <v>single</v>
      </c>
      <c r="I301" t="str">
        <v/>
      </c>
      <c r="J301">
        <v>116</v>
      </c>
      <c r="K301" s="167">
        <f ca="1"/>
        <v>55.36</v>
      </c>
      <c r="L301" s="167">
        <f ca="1"/>
        <v>1716.16</v>
      </c>
      <c r="AA301">
        <v>95</v>
      </c>
      <c r="AB301">
        <v>4</v>
      </c>
      <c r="AC301" t="str">
        <v>54BA209</v>
      </c>
      <c r="AD301">
        <v>28.5</v>
      </c>
      <c r="AE301" t="str">
        <v>single</v>
      </c>
    </row>
    <row r="302" spans="1:31" hidden="1" x14ac:dyDescent="0.25">
      <c r="A302">
        <v>301</v>
      </c>
      <c r="B302">
        <v>2025</v>
      </c>
      <c r="C302">
        <v>7</v>
      </c>
      <c r="D302">
        <v>31</v>
      </c>
      <c r="E302">
        <v>6</v>
      </c>
      <c r="F302" t="str">
        <v>99MN472</v>
      </c>
      <c r="G302" s="167">
        <v>31</v>
      </c>
      <c r="H302" t="str">
        <v>single</v>
      </c>
      <c r="I302" t="str">
        <v/>
      </c>
      <c r="J302">
        <v>108</v>
      </c>
      <c r="K302" s="167">
        <f ca="1"/>
        <v>55.36</v>
      </c>
      <c r="L302" s="167">
        <f ca="1"/>
        <v>1716.16</v>
      </c>
      <c r="AA302">
        <v>95</v>
      </c>
      <c r="AB302">
        <v>5</v>
      </c>
      <c r="AC302" t="str">
        <v>54BA209</v>
      </c>
      <c r="AD302">
        <v>22</v>
      </c>
      <c r="AE302" t="str">
        <v>single</v>
      </c>
    </row>
    <row r="303" spans="1:31" hidden="1" x14ac:dyDescent="0.25">
      <c r="A303">
        <v>302</v>
      </c>
      <c r="B303">
        <v>2025</v>
      </c>
      <c r="C303">
        <v>7</v>
      </c>
      <c r="D303">
        <v>31</v>
      </c>
      <c r="E303">
        <v>6</v>
      </c>
      <c r="F303" t="str">
        <v>99BT339</v>
      </c>
      <c r="G303" s="167">
        <v>29</v>
      </c>
      <c r="H303" t="str">
        <v>double</v>
      </c>
      <c r="I303" t="str">
        <v/>
      </c>
      <c r="J303">
        <v>91</v>
      </c>
      <c r="K303" s="167">
        <f ca="1"/>
        <v>99.647999999999996</v>
      </c>
      <c r="L303" s="167">
        <f ca="1"/>
        <v>2889.7919999999999</v>
      </c>
      <c r="AA303">
        <v>98</v>
      </c>
      <c r="AB303">
        <v>1</v>
      </c>
      <c r="AC303" t="str">
        <v>50BD416</v>
      </c>
      <c r="AD303">
        <v>12</v>
      </c>
      <c r="AE303" t="str">
        <v>single</v>
      </c>
    </row>
    <row r="304" spans="1:31" hidden="1" x14ac:dyDescent="0.25">
      <c r="A304">
        <v>303</v>
      </c>
      <c r="B304">
        <v>2025</v>
      </c>
      <c r="C304">
        <v>7</v>
      </c>
      <c r="D304">
        <v>31</v>
      </c>
      <c r="E304">
        <v>6</v>
      </c>
      <c r="F304" t="str">
        <v>77GR998</v>
      </c>
      <c r="G304" s="167">
        <v>31</v>
      </c>
      <c r="H304" t="str">
        <v>double</v>
      </c>
      <c r="I304" t="str">
        <v/>
      </c>
      <c r="J304">
        <v>63</v>
      </c>
      <c r="K304" s="167">
        <f ca="1"/>
        <v>99.65</v>
      </c>
      <c r="L304" s="167">
        <f ca="1"/>
        <v>3089.15</v>
      </c>
      <c r="AA304">
        <v>98</v>
      </c>
      <c r="AB304">
        <v>2</v>
      </c>
      <c r="AC304" t="str">
        <v>50BD416</v>
      </c>
      <c r="AD304">
        <v>29</v>
      </c>
      <c r="AE304" t="str">
        <v>single</v>
      </c>
    </row>
    <row r="305" spans="1:31" hidden="1" x14ac:dyDescent="0.25">
      <c r="A305">
        <v>304</v>
      </c>
      <c r="B305">
        <v>2025</v>
      </c>
      <c r="C305">
        <v>7</v>
      </c>
      <c r="D305">
        <v>31</v>
      </c>
      <c r="E305">
        <v>6</v>
      </c>
      <c r="F305" t="str">
        <v>01CC689</v>
      </c>
      <c r="G305" s="167">
        <v>15.499999999999979</v>
      </c>
      <c r="H305" t="str">
        <v>hour</v>
      </c>
      <c r="I305" t="str">
        <v/>
      </c>
      <c r="J305">
        <v>25</v>
      </c>
      <c r="K305" s="167">
        <f ca="1"/>
        <v>5.5359999999999996</v>
      </c>
      <c r="L305" s="167">
        <f ca="1"/>
        <v>85.807999999999879</v>
      </c>
      <c r="AA305">
        <v>98</v>
      </c>
      <c r="AB305">
        <v>3</v>
      </c>
      <c r="AC305" t="str">
        <v>50BD416</v>
      </c>
      <c r="AD305">
        <v>27</v>
      </c>
      <c r="AE305" t="str">
        <v>single</v>
      </c>
    </row>
    <row r="306" spans="1:31" hidden="1" x14ac:dyDescent="0.25">
      <c r="A306">
        <v>305</v>
      </c>
      <c r="B306">
        <v>2025</v>
      </c>
      <c r="C306">
        <v>7</v>
      </c>
      <c r="D306">
        <v>31</v>
      </c>
      <c r="E306">
        <v>6</v>
      </c>
      <c r="F306" t="str">
        <v>50BD165</v>
      </c>
      <c r="G306" s="167">
        <v>66.999999999999986</v>
      </c>
      <c r="H306" t="str">
        <v>hour</v>
      </c>
      <c r="I306" t="str">
        <v/>
      </c>
      <c r="J306">
        <v>40</v>
      </c>
      <c r="K306" s="167">
        <f ca="1"/>
        <v>5.5359999999999996</v>
      </c>
      <c r="L306" s="167">
        <f ca="1"/>
        <v>370.91199999999992</v>
      </c>
      <c r="AA306">
        <v>98</v>
      </c>
      <c r="AB306">
        <v>4</v>
      </c>
      <c r="AC306" t="str">
        <v>50BD416</v>
      </c>
      <c r="AD306">
        <v>28</v>
      </c>
      <c r="AE306" t="str">
        <v>single</v>
      </c>
    </row>
    <row r="307" spans="1:31" hidden="1" x14ac:dyDescent="0.25">
      <c r="A307">
        <v>306</v>
      </c>
      <c r="B307">
        <v>2025</v>
      </c>
      <c r="C307">
        <v>7</v>
      </c>
      <c r="D307">
        <v>31</v>
      </c>
      <c r="E307">
        <v>6</v>
      </c>
      <c r="F307" t="str">
        <v>50BN724</v>
      </c>
      <c r="G307" s="167">
        <v>24.999999999999979</v>
      </c>
      <c r="H307" t="str">
        <v>hour</v>
      </c>
      <c r="I307" t="str">
        <v/>
      </c>
      <c r="J307">
        <v>42</v>
      </c>
      <c r="K307" s="167">
        <f ca="1"/>
        <v>6.6070000000000002</v>
      </c>
      <c r="L307" s="167">
        <f ca="1"/>
        <v>165.17499999999987</v>
      </c>
      <c r="AA307">
        <v>98</v>
      </c>
      <c r="AB307">
        <v>5</v>
      </c>
      <c r="AC307" t="str">
        <v>50BD416</v>
      </c>
      <c r="AD307">
        <v>27</v>
      </c>
      <c r="AE307" t="str">
        <v>single</v>
      </c>
    </row>
    <row r="308" spans="1:31" hidden="1" x14ac:dyDescent="0.25">
      <c r="A308">
        <v>307</v>
      </c>
      <c r="B308">
        <v>2025</v>
      </c>
      <c r="C308">
        <v>7</v>
      </c>
      <c r="D308">
        <v>31</v>
      </c>
      <c r="E308">
        <v>6</v>
      </c>
      <c r="F308" t="str">
        <v>50DK730</v>
      </c>
      <c r="G308" s="167">
        <v>94</v>
      </c>
      <c r="H308" t="str">
        <v>hour</v>
      </c>
      <c r="I308" t="str">
        <v/>
      </c>
      <c r="J308">
        <v>46</v>
      </c>
      <c r="K308" s="167">
        <f ca="1"/>
        <v>5.5359999999999996</v>
      </c>
      <c r="L308" s="167">
        <f ca="1"/>
        <v>520.38400000000001</v>
      </c>
      <c r="AA308">
        <v>99</v>
      </c>
      <c r="AB308">
        <v>1</v>
      </c>
      <c r="AC308" t="str">
        <v>50BX301</v>
      </c>
      <c r="AD308">
        <v>10</v>
      </c>
      <c r="AE308" t="str">
        <v>single</v>
      </c>
    </row>
    <row r="309" spans="1:31" hidden="1" x14ac:dyDescent="0.25">
      <c r="A309">
        <v>308</v>
      </c>
      <c r="B309">
        <v>2025</v>
      </c>
      <c r="C309">
        <v>7</v>
      </c>
      <c r="D309">
        <v>31</v>
      </c>
      <c r="E309">
        <v>6</v>
      </c>
      <c r="F309" t="str">
        <v>53BB774</v>
      </c>
      <c r="G309" s="167">
        <v>97.999999999999986</v>
      </c>
      <c r="H309" t="str">
        <v>hour</v>
      </c>
      <c r="I309" t="str">
        <v/>
      </c>
      <c r="J309">
        <v>52</v>
      </c>
      <c r="K309" s="167">
        <f ca="1"/>
        <v>0</v>
      </c>
      <c r="L309" s="167">
        <f ca="1"/>
        <v>0</v>
      </c>
      <c r="AA309">
        <v>99</v>
      </c>
      <c r="AB309">
        <v>2</v>
      </c>
      <c r="AC309" t="str">
        <v>50BX301</v>
      </c>
      <c r="AD309">
        <v>31</v>
      </c>
      <c r="AE309" t="str">
        <v>single</v>
      </c>
    </row>
    <row r="310" spans="1:31" hidden="1" x14ac:dyDescent="0.25">
      <c r="A310">
        <v>309</v>
      </c>
      <c r="B310">
        <v>2025</v>
      </c>
      <c r="C310">
        <v>7</v>
      </c>
      <c r="D310">
        <v>31</v>
      </c>
      <c r="E310">
        <v>6</v>
      </c>
      <c r="F310" t="str">
        <v>55CB633</v>
      </c>
      <c r="G310" s="167">
        <v>107</v>
      </c>
      <c r="H310" t="str">
        <v>hour</v>
      </c>
      <c r="I310" t="str">
        <v/>
      </c>
      <c r="J310">
        <v>56</v>
      </c>
      <c r="K310" s="167">
        <f ca="1"/>
        <v>5.5359999999999996</v>
      </c>
      <c r="L310" s="167">
        <f ca="1"/>
        <v>592.35199999999998</v>
      </c>
      <c r="AA310">
        <v>99</v>
      </c>
      <c r="AB310">
        <v>3</v>
      </c>
      <c r="AC310" t="str">
        <v>50BX301</v>
      </c>
      <c r="AD310">
        <v>29</v>
      </c>
      <c r="AE310" t="str">
        <v>single</v>
      </c>
    </row>
    <row r="311" spans="1:31" hidden="1" x14ac:dyDescent="0.25">
      <c r="A311">
        <v>310</v>
      </c>
      <c r="B311">
        <v>2025</v>
      </c>
      <c r="C311">
        <v>7</v>
      </c>
      <c r="D311">
        <v>31</v>
      </c>
      <c r="E311">
        <v>6</v>
      </c>
      <c r="F311" t="str">
        <v>77QE133</v>
      </c>
      <c r="G311" s="167">
        <v>40</v>
      </c>
      <c r="H311" t="str">
        <v>hour</v>
      </c>
      <c r="I311" t="str">
        <v/>
      </c>
      <c r="J311">
        <v>68</v>
      </c>
      <c r="K311" s="167">
        <f ca="1"/>
        <v>7.3330000000000002</v>
      </c>
      <c r="L311" s="167">
        <f ca="1"/>
        <v>293.32</v>
      </c>
      <c r="AA311">
        <v>99</v>
      </c>
      <c r="AB311">
        <v>4</v>
      </c>
      <c r="AC311" t="str">
        <v>50BX301</v>
      </c>
      <c r="AD311">
        <v>31</v>
      </c>
      <c r="AE311" t="str">
        <v>single</v>
      </c>
    </row>
    <row r="312" spans="1:31" hidden="1" x14ac:dyDescent="0.25">
      <c r="A312">
        <v>311</v>
      </c>
      <c r="B312">
        <v>2025</v>
      </c>
      <c r="C312">
        <v>7</v>
      </c>
      <c r="D312">
        <v>31</v>
      </c>
      <c r="E312">
        <v>6</v>
      </c>
      <c r="F312" t="str">
        <v>77UR032</v>
      </c>
      <c r="G312" s="167">
        <v>9.9999999999999822</v>
      </c>
      <c r="H312" t="str">
        <v>hour</v>
      </c>
      <c r="I312" t="str">
        <v/>
      </c>
      <c r="J312">
        <v>76</v>
      </c>
      <c r="K312" s="167">
        <f ca="1"/>
        <v>5.5359999999999996</v>
      </c>
      <c r="L312" s="167">
        <f ca="1"/>
        <v>55.3599999999999</v>
      </c>
      <c r="AA312">
        <v>100</v>
      </c>
      <c r="AB312">
        <v>1</v>
      </c>
      <c r="AC312" t="str">
        <v>22AB273</v>
      </c>
      <c r="AD312">
        <v>9</v>
      </c>
      <c r="AE312" t="str">
        <v>single</v>
      </c>
    </row>
    <row r="313" spans="1:31" hidden="1" x14ac:dyDescent="0.25">
      <c r="A313">
        <v>312</v>
      </c>
      <c r="B313">
        <v>2025</v>
      </c>
      <c r="C313">
        <v>7</v>
      </c>
      <c r="D313">
        <v>31</v>
      </c>
      <c r="E313">
        <v>6</v>
      </c>
      <c r="F313" t="str">
        <v>90LS143</v>
      </c>
      <c r="G313" s="167">
        <v>5.9999999999999929</v>
      </c>
      <c r="H313" t="str">
        <v>hour</v>
      </c>
      <c r="I313" t="str">
        <v/>
      </c>
      <c r="J313">
        <v>80</v>
      </c>
      <c r="K313" s="167">
        <f ca="1"/>
        <v>5.5359999999999996</v>
      </c>
      <c r="L313" s="167">
        <f ca="1"/>
        <v>33.215999999999958</v>
      </c>
      <c r="AA313">
        <v>100</v>
      </c>
      <c r="AB313">
        <v>2</v>
      </c>
      <c r="AC313" t="str">
        <v>22AB273</v>
      </c>
      <c r="AD313">
        <v>27</v>
      </c>
      <c r="AE313" t="str">
        <v>single</v>
      </c>
    </row>
    <row r="314" spans="1:31" hidden="1" x14ac:dyDescent="0.25">
      <c r="A314">
        <v>313</v>
      </c>
      <c r="B314">
        <v>2025</v>
      </c>
      <c r="C314">
        <v>7</v>
      </c>
      <c r="D314">
        <v>31</v>
      </c>
      <c r="E314">
        <v>6</v>
      </c>
      <c r="F314" t="str">
        <v>90SL686</v>
      </c>
      <c r="G314" s="167">
        <v>108.99999999999999</v>
      </c>
      <c r="H314" t="str">
        <v>hour</v>
      </c>
      <c r="I314" t="str">
        <v/>
      </c>
      <c r="J314">
        <v>20</v>
      </c>
      <c r="K314" s="167">
        <f ca="1"/>
        <v>5.8929999999999998</v>
      </c>
      <c r="L314" s="167">
        <f ca="1"/>
        <v>642.33699999999988</v>
      </c>
      <c r="AA314">
        <v>100</v>
      </c>
      <c r="AB314">
        <v>3</v>
      </c>
      <c r="AC314" t="str">
        <v>22AB273</v>
      </c>
      <c r="AD314">
        <v>26</v>
      </c>
      <c r="AE314" t="str">
        <v>single</v>
      </c>
    </row>
    <row r="315" spans="1:31" hidden="1" x14ac:dyDescent="0.25">
      <c r="A315">
        <v>314</v>
      </c>
      <c r="B315">
        <v>2025</v>
      </c>
      <c r="C315">
        <v>7</v>
      </c>
      <c r="D315">
        <v>31</v>
      </c>
      <c r="E315">
        <v>6</v>
      </c>
      <c r="F315" t="str">
        <v>90VS316</v>
      </c>
      <c r="G315" s="167">
        <v>89.999999999999972</v>
      </c>
      <c r="H315" t="str">
        <v>hour</v>
      </c>
      <c r="I315" t="str">
        <v/>
      </c>
      <c r="J315">
        <v>86</v>
      </c>
      <c r="K315" s="167">
        <f ca="1"/>
        <v>5.5359999999999996</v>
      </c>
      <c r="L315" s="167">
        <f ca="1"/>
        <v>498.23999999999978</v>
      </c>
      <c r="AA315">
        <v>100</v>
      </c>
      <c r="AB315">
        <v>4</v>
      </c>
      <c r="AC315" t="str">
        <v>22AB273</v>
      </c>
      <c r="AD315">
        <v>29</v>
      </c>
      <c r="AE315" t="str">
        <v>single</v>
      </c>
    </row>
    <row r="316" spans="1:31" hidden="1" x14ac:dyDescent="0.25">
      <c r="A316">
        <v>315</v>
      </c>
      <c r="B316">
        <v>2025</v>
      </c>
      <c r="C316">
        <v>7</v>
      </c>
      <c r="D316">
        <v>31</v>
      </c>
      <c r="E316">
        <v>6</v>
      </c>
      <c r="F316" t="str">
        <v>99KL663</v>
      </c>
      <c r="G316" s="167">
        <v>49.999999999999986</v>
      </c>
      <c r="H316" t="str">
        <v>hour</v>
      </c>
      <c r="I316" t="str">
        <v/>
      </c>
      <c r="J316">
        <v>105</v>
      </c>
      <c r="K316" s="167">
        <f ca="1"/>
        <v>5.5359999999999996</v>
      </c>
      <c r="L316" s="167">
        <f ca="1"/>
        <v>276.7999999999999</v>
      </c>
      <c r="AA316">
        <v>100</v>
      </c>
      <c r="AB316">
        <v>5</v>
      </c>
      <c r="AC316" t="str">
        <v>22AB273</v>
      </c>
      <c r="AD316">
        <v>28</v>
      </c>
      <c r="AE316" t="str">
        <v>single</v>
      </c>
    </row>
    <row r="317" spans="1:31" hidden="1" x14ac:dyDescent="0.25">
      <c r="A317">
        <v>316</v>
      </c>
      <c r="B317">
        <v>2025</v>
      </c>
      <c r="C317">
        <v>7</v>
      </c>
      <c r="D317">
        <v>31</v>
      </c>
      <c r="E317">
        <v>6</v>
      </c>
      <c r="F317" t="str">
        <v>99LM412</v>
      </c>
      <c r="G317" s="167">
        <v>61.000000000000014</v>
      </c>
      <c r="H317" t="str">
        <v>hour</v>
      </c>
      <c r="I317" t="str">
        <v/>
      </c>
      <c r="J317">
        <v>115</v>
      </c>
      <c r="K317" s="167">
        <f ca="1"/>
        <v>5.5359999999999996</v>
      </c>
      <c r="L317" s="167">
        <f ca="1"/>
        <v>337.69600000000003</v>
      </c>
      <c r="AA317">
        <v>102</v>
      </c>
      <c r="AB317">
        <v>1</v>
      </c>
      <c r="AC317" t="str">
        <v>99HQ687</v>
      </c>
      <c r="AD317">
        <v>5</v>
      </c>
      <c r="AE317" t="str">
        <v>single</v>
      </c>
    </row>
    <row r="318" spans="1:31" hidden="1" x14ac:dyDescent="0.25">
      <c r="A318">
        <v>317</v>
      </c>
      <c r="B318">
        <v>2025</v>
      </c>
      <c r="C318">
        <v>7</v>
      </c>
      <c r="D318">
        <v>31</v>
      </c>
      <c r="E318">
        <v>6</v>
      </c>
      <c r="F318" t="str">
        <v>99MN472</v>
      </c>
      <c r="G318" s="167">
        <v>71.999999999999957</v>
      </c>
      <c r="H318" t="str">
        <v>hour</v>
      </c>
      <c r="I318" t="str">
        <v/>
      </c>
      <c r="J318">
        <v>107</v>
      </c>
      <c r="K318" s="167">
        <f ca="1"/>
        <v>5.5359999999999996</v>
      </c>
      <c r="L318" s="167">
        <f ca="1"/>
        <v>398.59199999999976</v>
      </c>
      <c r="AA318">
        <v>102</v>
      </c>
      <c r="AB318">
        <v>2</v>
      </c>
      <c r="AC318" t="str">
        <v>99HQ687</v>
      </c>
      <c r="AD318">
        <v>29</v>
      </c>
      <c r="AE318" t="str">
        <v>single</v>
      </c>
    </row>
    <row r="319" spans="1:31" hidden="1" x14ac:dyDescent="0.25">
      <c r="A319">
        <v>318</v>
      </c>
      <c r="B319">
        <v>2025</v>
      </c>
      <c r="C319">
        <v>7</v>
      </c>
      <c r="D319">
        <v>31</v>
      </c>
      <c r="E319">
        <v>6</v>
      </c>
      <c r="F319" t="str">
        <v/>
      </c>
      <c r="G319" s="167">
        <v>7430.7399999999989</v>
      </c>
      <c r="H319" t="str">
        <v/>
      </c>
      <c r="I319" t="str">
        <v/>
      </c>
      <c r="J319" t="str">
        <v>M-1</v>
      </c>
      <c r="K319" s="167">
        <f ca="1"/>
        <v>1</v>
      </c>
      <c r="L319" s="167">
        <f ca="1"/>
        <v>7430.7399999999989</v>
      </c>
      <c r="AA319">
        <v>102</v>
      </c>
      <c r="AB319">
        <v>2</v>
      </c>
      <c r="AC319" t="str">
        <v>10MF640</v>
      </c>
      <c r="AD319">
        <v>29</v>
      </c>
      <c r="AE319" t="str">
        <v>single</v>
      </c>
    </row>
    <row r="320" spans="1:31" hidden="1" x14ac:dyDescent="0.25">
      <c r="A320">
        <v>319</v>
      </c>
      <c r="B320">
        <v>2025</v>
      </c>
      <c r="C320">
        <v>7</v>
      </c>
      <c r="D320">
        <v>31</v>
      </c>
      <c r="E320">
        <v>6</v>
      </c>
      <c r="F320" t="str">
        <v/>
      </c>
      <c r="G320" s="167">
        <v>7221</v>
      </c>
      <c r="H320" t="str">
        <v/>
      </c>
      <c r="I320" t="str">
        <v/>
      </c>
      <c r="J320" t="str">
        <v>R-1</v>
      </c>
      <c r="K320" s="167">
        <f ca="1"/>
        <v>-1</v>
      </c>
      <c r="L320" s="167">
        <f ca="1"/>
        <v>-7221</v>
      </c>
      <c r="AA320">
        <v>102</v>
      </c>
      <c r="AB320">
        <v>3</v>
      </c>
      <c r="AC320" t="str">
        <v>99HQ687</v>
      </c>
      <c r="AD320">
        <v>31</v>
      </c>
      <c r="AE320" t="str">
        <v>single</v>
      </c>
    </row>
    <row r="321" spans="1:31" hidden="1" x14ac:dyDescent="0.25">
      <c r="A321">
        <v>320</v>
      </c>
      <c r="B321">
        <v>2025</v>
      </c>
      <c r="C321">
        <v>7</v>
      </c>
      <c r="D321">
        <v>33</v>
      </c>
      <c r="E321">
        <v>11</v>
      </c>
      <c r="F321" t="str">
        <v/>
      </c>
      <c r="G321" s="167">
        <v>35230</v>
      </c>
      <c r="H321" t="str">
        <v/>
      </c>
      <c r="I321" t="str">
        <v/>
      </c>
      <c r="J321">
        <v>12</v>
      </c>
      <c r="K321" s="167">
        <f ca="1"/>
        <v>1.56</v>
      </c>
      <c r="L321" s="167">
        <f ca="1"/>
        <v>54958.8</v>
      </c>
      <c r="AA321">
        <v>102</v>
      </c>
      <c r="AB321">
        <v>3</v>
      </c>
      <c r="AC321" t="str">
        <v>10MF640</v>
      </c>
      <c r="AD321">
        <v>31</v>
      </c>
      <c r="AE321" t="str">
        <v>single</v>
      </c>
    </row>
    <row r="322" spans="1:31" hidden="1" x14ac:dyDescent="0.25">
      <c r="A322">
        <v>321</v>
      </c>
      <c r="B322">
        <v>2025</v>
      </c>
      <c r="C322">
        <v>7</v>
      </c>
      <c r="D322">
        <v>33</v>
      </c>
      <c r="E322">
        <v>11</v>
      </c>
      <c r="F322" t="str">
        <v/>
      </c>
      <c r="G322" s="167">
        <v>40659</v>
      </c>
      <c r="H322" t="str">
        <v/>
      </c>
      <c r="I322" t="str">
        <v/>
      </c>
      <c r="J322">
        <v>13</v>
      </c>
      <c r="K322" s="167">
        <f ca="1"/>
        <v>4.53</v>
      </c>
      <c r="L322" s="167">
        <f ca="1"/>
        <v>184185.27000000002</v>
      </c>
      <c r="AA322">
        <v>102</v>
      </c>
      <c r="AB322">
        <v>3</v>
      </c>
      <c r="AC322" t="str">
        <v>54BM823</v>
      </c>
      <c r="AD322">
        <v>31</v>
      </c>
      <c r="AE322" t="str">
        <v>single</v>
      </c>
    </row>
    <row r="323" spans="1:31" hidden="1" x14ac:dyDescent="0.25">
      <c r="A323">
        <v>322</v>
      </c>
      <c r="B323">
        <v>2025</v>
      </c>
      <c r="C323">
        <v>7</v>
      </c>
      <c r="D323">
        <v>33</v>
      </c>
      <c r="E323">
        <v>11</v>
      </c>
      <c r="F323" t="str">
        <v/>
      </c>
      <c r="G323" s="167">
        <v>37822</v>
      </c>
      <c r="H323" t="str">
        <v/>
      </c>
      <c r="I323" t="str">
        <v/>
      </c>
      <c r="J323">
        <v>14</v>
      </c>
      <c r="K323" s="167">
        <f ca="1"/>
        <v>4.53</v>
      </c>
      <c r="L323" s="167">
        <f ca="1"/>
        <v>171333.66</v>
      </c>
      <c r="AA323">
        <v>102</v>
      </c>
      <c r="AB323">
        <v>4</v>
      </c>
      <c r="AC323" t="str">
        <v>99HQ687</v>
      </c>
      <c r="AD323">
        <v>19</v>
      </c>
      <c r="AE323" t="str">
        <v>single</v>
      </c>
    </row>
    <row r="324" spans="1:31" hidden="1" x14ac:dyDescent="0.25">
      <c r="A324">
        <v>323</v>
      </c>
      <c r="B324">
        <v>2025</v>
      </c>
      <c r="C324">
        <v>7</v>
      </c>
      <c r="D324">
        <v>33</v>
      </c>
      <c r="E324">
        <v>11</v>
      </c>
      <c r="F324" t="str">
        <v/>
      </c>
      <c r="G324" s="167">
        <v>3943</v>
      </c>
      <c r="H324" t="str">
        <v/>
      </c>
      <c r="I324" t="str">
        <v/>
      </c>
      <c r="J324">
        <v>15</v>
      </c>
      <c r="K324" s="167">
        <f ca="1"/>
        <v>4.53</v>
      </c>
      <c r="L324" s="167">
        <f ca="1"/>
        <v>17861.79</v>
      </c>
      <c r="AA324">
        <v>102</v>
      </c>
      <c r="AB324">
        <v>4</v>
      </c>
      <c r="AC324" t="str">
        <v>10MF640</v>
      </c>
      <c r="AD324">
        <v>29</v>
      </c>
      <c r="AE324" t="str">
        <v>single</v>
      </c>
    </row>
    <row r="325" spans="1:31" hidden="1" x14ac:dyDescent="0.25">
      <c r="A325">
        <v>324</v>
      </c>
      <c r="B325">
        <v>2025</v>
      </c>
      <c r="C325">
        <v>7</v>
      </c>
      <c r="D325">
        <v>33</v>
      </c>
      <c r="E325">
        <v>11</v>
      </c>
      <c r="F325" t="str">
        <v/>
      </c>
      <c r="G325" s="167">
        <v>2485</v>
      </c>
      <c r="H325" t="str">
        <v/>
      </c>
      <c r="I325" t="str">
        <v/>
      </c>
      <c r="J325">
        <v>16</v>
      </c>
      <c r="K325" s="167">
        <f ca="1"/>
        <v>3.77</v>
      </c>
      <c r="L325" s="167">
        <f ca="1"/>
        <v>9368.4500000000007</v>
      </c>
      <c r="AA325">
        <v>102</v>
      </c>
      <c r="AB325">
        <v>4</v>
      </c>
      <c r="AC325" t="str">
        <v>54BM823</v>
      </c>
      <c r="AD325">
        <v>28</v>
      </c>
      <c r="AE325" t="str">
        <v>single</v>
      </c>
    </row>
    <row r="326" spans="1:31" hidden="1" x14ac:dyDescent="0.25">
      <c r="A326">
        <v>325</v>
      </c>
      <c r="B326">
        <v>2025</v>
      </c>
      <c r="C326">
        <v>7</v>
      </c>
      <c r="D326">
        <v>46</v>
      </c>
      <c r="E326">
        <v>3</v>
      </c>
      <c r="F326" t="str">
        <v>110FY523</v>
      </c>
      <c r="G326" s="167">
        <v>27.34</v>
      </c>
      <c r="H326" t="str">
        <v>single</v>
      </c>
      <c r="I326" t="str">
        <v/>
      </c>
      <c r="J326">
        <v>1</v>
      </c>
      <c r="K326" s="167">
        <f ca="1"/>
        <v>214.28571428571428</v>
      </c>
      <c r="L326" s="167">
        <f ca="1"/>
        <v>5858.5714285714284</v>
      </c>
      <c r="AA326">
        <v>102</v>
      </c>
      <c r="AB326">
        <v>4</v>
      </c>
      <c r="AC326" t="str">
        <v>01BT754</v>
      </c>
      <c r="AD326">
        <v>26</v>
      </c>
      <c r="AE326" t="str">
        <v>single</v>
      </c>
    </row>
    <row r="327" spans="1:31" hidden="1" x14ac:dyDescent="0.25">
      <c r="A327">
        <v>326</v>
      </c>
      <c r="B327">
        <v>2025</v>
      </c>
      <c r="C327">
        <v>7</v>
      </c>
      <c r="D327">
        <v>46</v>
      </c>
      <c r="E327">
        <v>3</v>
      </c>
      <c r="F327" t="str">
        <v>110FY524</v>
      </c>
      <c r="G327" s="167">
        <v>29</v>
      </c>
      <c r="H327" t="str">
        <v>single</v>
      </c>
      <c r="I327" t="str">
        <v/>
      </c>
      <c r="J327">
        <v>7</v>
      </c>
      <c r="K327" s="167">
        <f ca="1"/>
        <v>214.28571428571428</v>
      </c>
      <c r="L327" s="167">
        <f ca="1"/>
        <v>6214.2857142857138</v>
      </c>
      <c r="AA327">
        <v>110</v>
      </c>
      <c r="AB327">
        <v>1</v>
      </c>
      <c r="AC327" t="str">
        <v>99XC106</v>
      </c>
      <c r="AD327">
        <v>6</v>
      </c>
      <c r="AE327" t="str">
        <v>single</v>
      </c>
    </row>
    <row r="328" spans="1:31" hidden="1" x14ac:dyDescent="0.25">
      <c r="A328">
        <v>327</v>
      </c>
      <c r="B328">
        <v>2025</v>
      </c>
      <c r="C328">
        <v>7</v>
      </c>
      <c r="D328">
        <v>46</v>
      </c>
      <c r="E328">
        <v>3</v>
      </c>
      <c r="F328" t="str">
        <v>10AD801</v>
      </c>
      <c r="G328" s="167">
        <v>16</v>
      </c>
      <c r="H328" t="str">
        <v>single</v>
      </c>
      <c r="I328" t="str">
        <v/>
      </c>
      <c r="J328">
        <v>4</v>
      </c>
      <c r="K328" s="167">
        <f ca="1"/>
        <v>446.42857142857144</v>
      </c>
      <c r="L328" s="167">
        <f ca="1"/>
        <v>7142.8571428571431</v>
      </c>
      <c r="AA328">
        <v>110</v>
      </c>
      <c r="AB328">
        <v>2</v>
      </c>
      <c r="AC328" t="str">
        <v>99XC106</v>
      </c>
      <c r="AD328">
        <v>26</v>
      </c>
      <c r="AE328" t="str">
        <v>single</v>
      </c>
    </row>
    <row r="329" spans="1:31" hidden="1" x14ac:dyDescent="0.25">
      <c r="A329">
        <v>328</v>
      </c>
      <c r="B329">
        <v>2025</v>
      </c>
      <c r="C329">
        <v>7</v>
      </c>
      <c r="D329">
        <v>46</v>
      </c>
      <c r="E329">
        <v>3</v>
      </c>
      <c r="F329" t="str">
        <v>10AD801</v>
      </c>
      <c r="G329" s="167">
        <v>13</v>
      </c>
      <c r="H329" t="str">
        <v>double</v>
      </c>
      <c r="I329" t="str">
        <v/>
      </c>
      <c r="J329">
        <v>5</v>
      </c>
      <c r="K329" s="167">
        <f ca="1"/>
        <v>803.57147999999995</v>
      </c>
      <c r="L329" s="167">
        <f ca="1"/>
        <v>10446.429239999999</v>
      </c>
      <c r="AA329">
        <v>110</v>
      </c>
      <c r="AB329">
        <v>3</v>
      </c>
      <c r="AC329" t="str">
        <v>99XC106</v>
      </c>
      <c r="AD329">
        <v>30</v>
      </c>
      <c r="AE329" t="str">
        <v>single</v>
      </c>
    </row>
    <row r="330" spans="1:31" x14ac:dyDescent="0.25">
      <c r="A330">
        <v>329</v>
      </c>
      <c r="B330">
        <v>2025</v>
      </c>
      <c r="C330">
        <v>7</v>
      </c>
      <c r="D330">
        <v>50</v>
      </c>
      <c r="E330">
        <v>2</v>
      </c>
      <c r="F330" t="str">
        <v>61AB256</v>
      </c>
      <c r="G330" s="167">
        <v>29</v>
      </c>
      <c r="H330" t="str">
        <v>single</v>
      </c>
      <c r="I330" t="str">
        <v/>
      </c>
      <c r="J330">
        <v>1</v>
      </c>
      <c r="K330" s="167">
        <f ca="1"/>
        <v>357.1429</v>
      </c>
      <c r="L330" s="167">
        <f ca="1"/>
        <v>10357.1441</v>
      </c>
      <c r="AA330">
        <v>110</v>
      </c>
      <c r="AB330">
        <v>4</v>
      </c>
      <c r="AC330" t="str">
        <v>99XC106</v>
      </c>
      <c r="AD330">
        <v>29</v>
      </c>
      <c r="AE330" t="str">
        <v>single</v>
      </c>
    </row>
    <row r="331" spans="1:31" hidden="1" x14ac:dyDescent="0.25">
      <c r="A331">
        <v>330</v>
      </c>
      <c r="B331">
        <v>2025</v>
      </c>
      <c r="C331">
        <v>7</v>
      </c>
      <c r="D331">
        <v>51</v>
      </c>
      <c r="E331">
        <v>1</v>
      </c>
      <c r="F331" t="str">
        <v>10BA194</v>
      </c>
      <c r="G331" s="167">
        <v>16</v>
      </c>
      <c r="H331" t="str">
        <v>single</v>
      </c>
      <c r="I331" t="str">
        <v/>
      </c>
      <c r="J331">
        <v>1</v>
      </c>
      <c r="K331" s="167">
        <f ca="1"/>
        <v>225</v>
      </c>
      <c r="L331" s="167">
        <f ca="1"/>
        <v>3600</v>
      </c>
      <c r="AA331">
        <v>121</v>
      </c>
      <c r="AB331">
        <v>1</v>
      </c>
      <c r="AC331" t="str">
        <v>11BC843</v>
      </c>
      <c r="AD331">
        <v>28</v>
      </c>
      <c r="AE331" t="str">
        <v>single</v>
      </c>
    </row>
    <row r="332" spans="1:31" hidden="1" x14ac:dyDescent="0.25">
      <c r="A332">
        <v>331</v>
      </c>
      <c r="B332">
        <v>2025</v>
      </c>
      <c r="C332">
        <v>7</v>
      </c>
      <c r="D332">
        <v>51</v>
      </c>
      <c r="E332">
        <v>1</v>
      </c>
      <c r="F332" t="str">
        <v>10BA194</v>
      </c>
      <c r="G332" s="167">
        <v>3.9999999999999929</v>
      </c>
      <c r="H332" t="str">
        <v>hour</v>
      </c>
      <c r="I332" t="str">
        <v/>
      </c>
      <c r="J332">
        <v>2</v>
      </c>
      <c r="K332" s="167">
        <f ca="1"/>
        <v>25</v>
      </c>
      <c r="L332" s="167">
        <f ca="1"/>
        <v>99.999999999999829</v>
      </c>
      <c r="AA332">
        <v>121</v>
      </c>
      <c r="AB332">
        <v>2</v>
      </c>
      <c r="AC332" t="str">
        <v>11BC843</v>
      </c>
      <c r="AD332">
        <v>29</v>
      </c>
      <c r="AE332" t="str">
        <v>single</v>
      </c>
    </row>
    <row r="333" spans="1:31" hidden="1" x14ac:dyDescent="0.25">
      <c r="A333">
        <v>332</v>
      </c>
      <c r="B333">
        <v>2025</v>
      </c>
      <c r="C333">
        <v>7</v>
      </c>
      <c r="D333">
        <v>52</v>
      </c>
      <c r="E333">
        <v>4</v>
      </c>
      <c r="F333" t="str">
        <v>10AC750</v>
      </c>
      <c r="G333" s="167">
        <v>29</v>
      </c>
      <c r="H333" t="str">
        <v>single</v>
      </c>
      <c r="I333" t="str">
        <v/>
      </c>
      <c r="J333">
        <v>1</v>
      </c>
      <c r="K333" s="167">
        <f ca="1"/>
        <v>375</v>
      </c>
      <c r="L333" s="167">
        <f ca="1"/>
        <v>10875</v>
      </c>
      <c r="AA333">
        <v>141</v>
      </c>
      <c r="AB333">
        <v>1</v>
      </c>
      <c r="AC333" t="str">
        <v>10V288</v>
      </c>
      <c r="AD333">
        <v>24</v>
      </c>
      <c r="AE333" t="str">
        <v>single</v>
      </c>
    </row>
    <row r="334" spans="1:31" hidden="1" x14ac:dyDescent="0.25">
      <c r="A334">
        <v>333</v>
      </c>
      <c r="B334">
        <v>2025</v>
      </c>
      <c r="C334">
        <v>7</v>
      </c>
      <c r="D334">
        <v>65</v>
      </c>
      <c r="E334">
        <v>3</v>
      </c>
      <c r="F334" t="str">
        <v>01BA176</v>
      </c>
      <c r="G334" s="167">
        <v>29</v>
      </c>
      <c r="H334" t="str">
        <v>single</v>
      </c>
      <c r="I334" t="str">
        <v/>
      </c>
      <c r="J334">
        <v>1</v>
      </c>
      <c r="K334" s="167">
        <f ca="1"/>
        <v>196.42857142857142</v>
      </c>
      <c r="L334" s="167">
        <f ca="1"/>
        <v>5696.4285714285706</v>
      </c>
      <c r="AA334">
        <v>98</v>
      </c>
      <c r="AB334">
        <v>6</v>
      </c>
      <c r="AC334" t="str">
        <v>50BD416</v>
      </c>
      <c r="AD334">
        <v>27</v>
      </c>
      <c r="AE334" t="str">
        <v>single</v>
      </c>
    </row>
    <row r="335" spans="1:31" hidden="1" x14ac:dyDescent="0.25">
      <c r="A335">
        <v>334</v>
      </c>
      <c r="B335">
        <v>2025</v>
      </c>
      <c r="C335">
        <v>7</v>
      </c>
      <c r="D335">
        <v>65</v>
      </c>
      <c r="E335">
        <v>3</v>
      </c>
      <c r="F335" t="str">
        <v>10BD252</v>
      </c>
      <c r="G335" s="167">
        <v>18</v>
      </c>
      <c r="H335" t="str">
        <v>single</v>
      </c>
      <c r="I335" t="str">
        <v/>
      </c>
      <c r="J335">
        <v>2</v>
      </c>
      <c r="K335" s="167">
        <f ca="1"/>
        <v>160.71</v>
      </c>
      <c r="L335" s="167">
        <f ca="1"/>
        <v>2892.78</v>
      </c>
      <c r="AA335">
        <v>110</v>
      </c>
      <c r="AB335">
        <v>5</v>
      </c>
      <c r="AC335" t="str">
        <v>99XC106</v>
      </c>
      <c r="AD335">
        <v>25</v>
      </c>
      <c r="AE335" t="str">
        <v>single</v>
      </c>
    </row>
    <row r="336" spans="1:31" hidden="1" x14ac:dyDescent="0.25">
      <c r="A336">
        <v>335</v>
      </c>
      <c r="B336">
        <v>2025</v>
      </c>
      <c r="C336">
        <v>7</v>
      </c>
      <c r="D336">
        <v>85</v>
      </c>
      <c r="E336">
        <v>2</v>
      </c>
      <c r="F336" t="str">
        <v>77SN951</v>
      </c>
      <c r="G336" s="167">
        <v>29</v>
      </c>
      <c r="H336" t="str">
        <v>single</v>
      </c>
      <c r="I336" t="str">
        <v/>
      </c>
      <c r="J336">
        <v>1</v>
      </c>
      <c r="K336" s="167">
        <f ca="1"/>
        <v>446.43</v>
      </c>
      <c r="L336" s="167">
        <f ca="1"/>
        <v>12946.47</v>
      </c>
      <c r="AA336">
        <v>121</v>
      </c>
      <c r="AB336">
        <v>3</v>
      </c>
      <c r="AC336" t="str">
        <v>11BC843</v>
      </c>
      <c r="AD336">
        <v>28</v>
      </c>
      <c r="AE336" t="str">
        <v>single</v>
      </c>
    </row>
    <row r="337" spans="1:31" hidden="1" x14ac:dyDescent="0.25">
      <c r="A337">
        <v>336</v>
      </c>
      <c r="B337">
        <v>2025</v>
      </c>
      <c r="C337">
        <v>7</v>
      </c>
      <c r="D337">
        <v>85</v>
      </c>
      <c r="E337">
        <v>2</v>
      </c>
      <c r="F337" t="str">
        <v>77SN951</v>
      </c>
      <c r="G337" s="167">
        <v>39.999999999999972</v>
      </c>
      <c r="H337" t="str">
        <v>hour</v>
      </c>
      <c r="I337" t="str">
        <v/>
      </c>
      <c r="J337">
        <v>2</v>
      </c>
      <c r="K337" s="167">
        <f ca="1"/>
        <v>44.643000000000001</v>
      </c>
      <c r="L337" s="167">
        <f ca="1"/>
        <v>1785.7199999999987</v>
      </c>
      <c r="AA337">
        <v>141</v>
      </c>
      <c r="AB337">
        <v>2</v>
      </c>
      <c r="AC337" t="str">
        <v>10V288</v>
      </c>
      <c r="AD337">
        <v>28</v>
      </c>
      <c r="AE337" t="str">
        <v>single</v>
      </c>
    </row>
    <row r="338" spans="1:31" hidden="1" x14ac:dyDescent="0.25">
      <c r="A338">
        <v>337</v>
      </c>
      <c r="B338">
        <v>2025</v>
      </c>
      <c r="C338">
        <v>7</v>
      </c>
      <c r="D338">
        <v>94</v>
      </c>
      <c r="E338">
        <v>2</v>
      </c>
      <c r="F338" t="str">
        <v>54BM823</v>
      </c>
      <c r="G338" s="167">
        <v>31</v>
      </c>
      <c r="H338" t="str">
        <v>single</v>
      </c>
      <c r="I338" t="str">
        <v/>
      </c>
      <c r="J338">
        <v>1</v>
      </c>
      <c r="K338" s="167">
        <f ca="1"/>
        <v>125</v>
      </c>
      <c r="L338" s="167">
        <f ca="1"/>
        <v>3875</v>
      </c>
      <c r="AA338">
        <v>65</v>
      </c>
      <c r="AB338">
        <v>8</v>
      </c>
      <c r="AC338" t="str">
        <v>01BA176</v>
      </c>
      <c r="AD338">
        <v>28</v>
      </c>
      <c r="AE338" t="str">
        <v>single</v>
      </c>
    </row>
    <row r="339" spans="1:31" hidden="1" x14ac:dyDescent="0.25">
      <c r="A339">
        <v>338</v>
      </c>
      <c r="B339">
        <v>2025</v>
      </c>
      <c r="C339">
        <v>7</v>
      </c>
      <c r="D339">
        <v>94</v>
      </c>
      <c r="E339">
        <v>2</v>
      </c>
      <c r="F339" t="str">
        <v>54BM823</v>
      </c>
      <c r="G339" s="167">
        <v>14</v>
      </c>
      <c r="H339" t="str">
        <v>single</v>
      </c>
      <c r="I339" t="str">
        <v/>
      </c>
      <c r="J339">
        <v>1</v>
      </c>
      <c r="K339" s="167">
        <f ca="1"/>
        <v>125</v>
      </c>
      <c r="L339" s="167">
        <f ca="1"/>
        <v>1750</v>
      </c>
      <c r="AA339">
        <v>46</v>
      </c>
      <c r="AB339">
        <v>8</v>
      </c>
      <c r="AC339" t="str">
        <v>110FY523</v>
      </c>
      <c r="AD339">
        <v>9</v>
      </c>
      <c r="AE339" t="str">
        <v>single</v>
      </c>
    </row>
    <row r="340" spans="1:31" hidden="1" x14ac:dyDescent="0.25">
      <c r="A340">
        <v>339</v>
      </c>
      <c r="B340">
        <v>2025</v>
      </c>
      <c r="C340">
        <v>7</v>
      </c>
      <c r="D340">
        <v>94</v>
      </c>
      <c r="E340">
        <v>2</v>
      </c>
      <c r="F340" t="str">
        <v>54BM823</v>
      </c>
      <c r="G340" s="167">
        <v>5</v>
      </c>
      <c r="H340" t="str">
        <v>hour</v>
      </c>
      <c r="I340" t="str">
        <v/>
      </c>
      <c r="J340">
        <v>2</v>
      </c>
      <c r="K340" s="167">
        <f ca="1"/>
        <v>12.5</v>
      </c>
      <c r="L340" s="167">
        <f ca="1"/>
        <v>62.5</v>
      </c>
      <c r="AA340">
        <v>50</v>
      </c>
      <c r="AB340">
        <v>7</v>
      </c>
      <c r="AC340" t="str">
        <v>61AB256</v>
      </c>
      <c r="AD340">
        <v>28</v>
      </c>
      <c r="AE340" t="str">
        <v>single</v>
      </c>
    </row>
    <row r="341" spans="1:31" hidden="1" x14ac:dyDescent="0.25">
      <c r="A341">
        <v>340</v>
      </c>
      <c r="B341">
        <v>2025</v>
      </c>
      <c r="C341">
        <v>7</v>
      </c>
      <c r="D341">
        <v>98</v>
      </c>
      <c r="E341">
        <v>1</v>
      </c>
      <c r="F341" t="str">
        <v>50BD416</v>
      </c>
      <c r="G341" s="167">
        <v>12</v>
      </c>
      <c r="H341" t="str">
        <v>single</v>
      </c>
      <c r="I341" t="str">
        <v/>
      </c>
      <c r="J341">
        <v>1</v>
      </c>
      <c r="K341" s="167">
        <f ca="1"/>
        <v>107.14</v>
      </c>
      <c r="L341" s="167">
        <f ca="1"/>
        <v>1285.68</v>
      </c>
      <c r="AA341">
        <v>31</v>
      </c>
      <c r="AB341">
        <v>5</v>
      </c>
      <c r="AC341" t="str">
        <v>77GR998</v>
      </c>
      <c r="AD341">
        <v>17</v>
      </c>
      <c r="AE341" t="str">
        <v>double</v>
      </c>
    </row>
    <row r="342" spans="1:31" hidden="1" x14ac:dyDescent="0.25">
      <c r="A342">
        <v>341</v>
      </c>
      <c r="B342">
        <v>2025</v>
      </c>
      <c r="C342">
        <v>7</v>
      </c>
      <c r="D342">
        <v>99</v>
      </c>
      <c r="E342">
        <v>1</v>
      </c>
      <c r="F342" t="str">
        <v>50BX301</v>
      </c>
      <c r="G342" s="167">
        <v>10</v>
      </c>
      <c r="H342" t="str">
        <v>single</v>
      </c>
      <c r="I342" t="str">
        <v/>
      </c>
      <c r="J342">
        <v>1</v>
      </c>
      <c r="K342" s="167">
        <f ca="1"/>
        <v>125</v>
      </c>
      <c r="L342" s="167">
        <f ca="1"/>
        <v>1250</v>
      </c>
      <c r="AA342">
        <v>31</v>
      </c>
      <c r="AB342">
        <v>5</v>
      </c>
      <c r="AC342" t="str">
        <v>99BT339</v>
      </c>
      <c r="AD342">
        <v>35</v>
      </c>
      <c r="AE342" t="str">
        <v>double</v>
      </c>
    </row>
    <row r="343" spans="1:31" hidden="1" x14ac:dyDescent="0.25">
      <c r="A343">
        <v>342</v>
      </c>
      <c r="B343">
        <v>2025</v>
      </c>
      <c r="C343">
        <v>7</v>
      </c>
      <c r="D343">
        <v>100</v>
      </c>
      <c r="E343">
        <v>1</v>
      </c>
      <c r="F343" t="str">
        <v>22AB273</v>
      </c>
      <c r="G343" s="167">
        <v>9</v>
      </c>
      <c r="H343" t="str">
        <v>single</v>
      </c>
      <c r="I343" t="str">
        <v/>
      </c>
      <c r="J343">
        <v>1</v>
      </c>
      <c r="K343" s="167">
        <f ca="1"/>
        <v>196.43</v>
      </c>
      <c r="L343" s="167">
        <f ca="1"/>
        <v>1767.8700000000001</v>
      </c>
      <c r="AA343">
        <v>31</v>
      </c>
      <c r="AB343">
        <v>6</v>
      </c>
      <c r="AC343" t="str">
        <v>99BT339</v>
      </c>
      <c r="AD343">
        <v>29</v>
      </c>
      <c r="AE343" t="str">
        <v>double</v>
      </c>
    </row>
    <row r="344" spans="1:31" hidden="1" x14ac:dyDescent="0.25">
      <c r="A344">
        <v>343</v>
      </c>
      <c r="B344">
        <v>2025</v>
      </c>
      <c r="C344">
        <v>7</v>
      </c>
      <c r="D344">
        <v>107</v>
      </c>
      <c r="E344">
        <v>1</v>
      </c>
      <c r="F344" t="str">
        <v/>
      </c>
      <c r="G344" s="167">
        <v>1</v>
      </c>
      <c r="H344" t="str">
        <v/>
      </c>
      <c r="I344" t="str">
        <v/>
      </c>
      <c r="J344">
        <v>1</v>
      </c>
      <c r="K344" s="167">
        <f ca="1"/>
        <v>3300</v>
      </c>
      <c r="L344" s="167">
        <f ca="1"/>
        <v>3300</v>
      </c>
      <c r="AA344">
        <v>31</v>
      </c>
      <c r="AB344">
        <v>6</v>
      </c>
      <c r="AC344" t="str">
        <v>77GR998</v>
      </c>
      <c r="AD344">
        <v>31</v>
      </c>
      <c r="AE344" t="str">
        <v>double</v>
      </c>
    </row>
    <row r="345" spans="1:31" hidden="1" x14ac:dyDescent="0.25">
      <c r="A345">
        <v>344</v>
      </c>
      <c r="B345">
        <v>2025</v>
      </c>
      <c r="C345">
        <v>7</v>
      </c>
      <c r="D345">
        <v>107</v>
      </c>
      <c r="E345">
        <v>1</v>
      </c>
      <c r="F345" t="str">
        <v/>
      </c>
      <c r="G345" s="167">
        <v>1</v>
      </c>
      <c r="H345" t="str">
        <v/>
      </c>
      <c r="I345" t="str">
        <v/>
      </c>
      <c r="J345">
        <v>2</v>
      </c>
      <c r="K345" s="167">
        <f ca="1"/>
        <v>3300</v>
      </c>
      <c r="L345" s="167">
        <f ca="1"/>
        <v>3300</v>
      </c>
      <c r="AA345">
        <v>31</v>
      </c>
      <c r="AB345">
        <v>7</v>
      </c>
      <c r="AC345" t="str">
        <v>77GR998</v>
      </c>
      <c r="AD345">
        <v>31</v>
      </c>
      <c r="AE345" t="str">
        <v>double</v>
      </c>
    </row>
    <row r="346" spans="1:31" hidden="1" x14ac:dyDescent="0.25">
      <c r="A346">
        <v>345</v>
      </c>
      <c r="B346">
        <v>2025</v>
      </c>
      <c r="C346">
        <v>7</v>
      </c>
      <c r="D346">
        <v>107</v>
      </c>
      <c r="E346">
        <v>1</v>
      </c>
      <c r="F346" t="str">
        <v/>
      </c>
      <c r="G346" s="167">
        <v>1</v>
      </c>
      <c r="H346" t="str">
        <v/>
      </c>
      <c r="I346" t="str">
        <v/>
      </c>
      <c r="J346">
        <v>3</v>
      </c>
      <c r="K346" s="167">
        <f ca="1"/>
        <v>3300</v>
      </c>
      <c r="L346" s="167">
        <f ca="1"/>
        <v>3300</v>
      </c>
      <c r="AA346">
        <v>31</v>
      </c>
      <c r="AB346">
        <v>8</v>
      </c>
      <c r="AC346" t="str">
        <v>77GR998</v>
      </c>
      <c r="AD346">
        <v>30</v>
      </c>
      <c r="AE346" t="str">
        <v>double</v>
      </c>
    </row>
    <row r="347" spans="1:31" hidden="1" x14ac:dyDescent="0.25">
      <c r="A347">
        <v>346</v>
      </c>
      <c r="B347">
        <v>2025</v>
      </c>
      <c r="C347">
        <v>8</v>
      </c>
      <c r="D347">
        <v>11</v>
      </c>
      <c r="E347">
        <v>8</v>
      </c>
      <c r="F347" t="str">
        <v/>
      </c>
      <c r="G347" s="167">
        <v>2</v>
      </c>
      <c r="H347" t="str">
        <v/>
      </c>
      <c r="I347" t="str">
        <v/>
      </c>
      <c r="J347">
        <v>1</v>
      </c>
      <c r="K347" s="167">
        <f ca="1"/>
        <v>5500</v>
      </c>
      <c r="L347" s="167">
        <f ca="1"/>
        <v>11000</v>
      </c>
      <c r="AA347">
        <v>31</v>
      </c>
      <c r="AB347">
        <v>8</v>
      </c>
      <c r="AC347" t="str">
        <v>99EM163</v>
      </c>
      <c r="AD347">
        <v>28</v>
      </c>
      <c r="AE347" t="str">
        <v>double</v>
      </c>
    </row>
    <row r="348" spans="1:31" hidden="1" x14ac:dyDescent="0.25">
      <c r="A348">
        <v>347</v>
      </c>
      <c r="B348">
        <v>2025</v>
      </c>
      <c r="C348">
        <v>8</v>
      </c>
      <c r="D348">
        <v>11</v>
      </c>
      <c r="E348">
        <v>8</v>
      </c>
      <c r="F348" t="str">
        <v/>
      </c>
      <c r="G348" s="167">
        <v>14</v>
      </c>
      <c r="H348" t="str">
        <v/>
      </c>
      <c r="I348" t="str">
        <v/>
      </c>
      <c r="J348">
        <v>2</v>
      </c>
      <c r="K348" s="167">
        <f ca="1"/>
        <v>200</v>
      </c>
      <c r="L348" s="167">
        <f ca="1"/>
        <v>2800</v>
      </c>
      <c r="AA348">
        <v>31</v>
      </c>
      <c r="AB348">
        <v>9</v>
      </c>
      <c r="AC348" t="str">
        <v>77GR998</v>
      </c>
      <c r="AD348">
        <v>31</v>
      </c>
      <c r="AE348" t="str">
        <v>double</v>
      </c>
    </row>
    <row r="349" spans="1:31" hidden="1" x14ac:dyDescent="0.25">
      <c r="A349">
        <v>348</v>
      </c>
      <c r="B349">
        <v>2025</v>
      </c>
      <c r="C349">
        <v>8</v>
      </c>
      <c r="D349">
        <v>11</v>
      </c>
      <c r="E349">
        <v>8</v>
      </c>
      <c r="F349" t="str">
        <v/>
      </c>
      <c r="G349" s="167">
        <v>12</v>
      </c>
      <c r="H349" t="str">
        <v/>
      </c>
      <c r="I349" t="str">
        <v/>
      </c>
      <c r="J349">
        <v>3</v>
      </c>
      <c r="K349" s="167">
        <f ca="1"/>
        <v>100</v>
      </c>
      <c r="L349" s="167">
        <f ca="1"/>
        <v>1200</v>
      </c>
      <c r="AA349">
        <v>31</v>
      </c>
      <c r="AB349">
        <v>9</v>
      </c>
      <c r="AC349" t="str">
        <v>99EM163</v>
      </c>
      <c r="AD349">
        <v>31</v>
      </c>
      <c r="AE349" t="str">
        <v>double</v>
      </c>
    </row>
    <row r="350" spans="1:31" hidden="1" x14ac:dyDescent="0.25">
      <c r="A350">
        <v>349</v>
      </c>
      <c r="B350">
        <v>2025</v>
      </c>
      <c r="C350">
        <v>8</v>
      </c>
      <c r="D350">
        <v>11</v>
      </c>
      <c r="E350">
        <v>8</v>
      </c>
      <c r="F350" t="str">
        <v/>
      </c>
      <c r="G350" s="167">
        <v>1</v>
      </c>
      <c r="H350" t="str">
        <v/>
      </c>
      <c r="I350" t="str">
        <v/>
      </c>
      <c r="J350">
        <v>6</v>
      </c>
      <c r="K350" s="167">
        <f ca="1"/>
        <v>1000</v>
      </c>
      <c r="L350" s="167">
        <f ca="1"/>
        <v>1000</v>
      </c>
      <c r="AA350">
        <v>31</v>
      </c>
      <c r="AB350">
        <v>10</v>
      </c>
      <c r="AC350" t="str">
        <v>77GR998</v>
      </c>
      <c r="AD350">
        <v>30</v>
      </c>
      <c r="AE350" t="str">
        <v>double</v>
      </c>
    </row>
    <row r="351" spans="1:31" hidden="1" x14ac:dyDescent="0.25">
      <c r="A351">
        <v>350</v>
      </c>
      <c r="B351">
        <v>2025</v>
      </c>
      <c r="C351">
        <v>8</v>
      </c>
      <c r="D351">
        <v>14</v>
      </c>
      <c r="E351">
        <v>5</v>
      </c>
      <c r="F351" t="str">
        <v/>
      </c>
      <c r="G351" s="167">
        <v>0.68</v>
      </c>
      <c r="H351" t="str">
        <v/>
      </c>
      <c r="I351" t="str">
        <v/>
      </c>
      <c r="J351">
        <v>15</v>
      </c>
      <c r="K351" s="167">
        <f ca="1"/>
        <v>4000</v>
      </c>
      <c r="L351" s="167">
        <f ca="1"/>
        <v>2720</v>
      </c>
      <c r="AA351">
        <v>31</v>
      </c>
      <c r="AB351">
        <v>10</v>
      </c>
      <c r="AC351" t="str">
        <v>99EM163</v>
      </c>
      <c r="AD351">
        <v>26</v>
      </c>
      <c r="AE351" t="str">
        <v>double</v>
      </c>
    </row>
    <row r="352" spans="1:31" hidden="1" x14ac:dyDescent="0.25">
      <c r="A352">
        <v>351</v>
      </c>
      <c r="B352">
        <v>2025</v>
      </c>
      <c r="C352">
        <v>8</v>
      </c>
      <c r="D352">
        <v>14</v>
      </c>
      <c r="E352">
        <v>5</v>
      </c>
      <c r="F352" t="str">
        <v/>
      </c>
      <c r="G352" s="167">
        <v>54</v>
      </c>
      <c r="H352" t="str">
        <v/>
      </c>
      <c r="I352" t="str">
        <v/>
      </c>
      <c r="J352">
        <v>16</v>
      </c>
      <c r="K352" s="167">
        <f ca="1"/>
        <v>3.5</v>
      </c>
      <c r="L352" s="167">
        <f ca="1"/>
        <v>189</v>
      </c>
      <c r="AA352">
        <v>46</v>
      </c>
      <c r="AB352">
        <v>3</v>
      </c>
      <c r="AC352" t="str">
        <v>10AD801</v>
      </c>
      <c r="AD352">
        <v>13</v>
      </c>
      <c r="AE352" t="str">
        <v>double</v>
      </c>
    </row>
    <row r="353" spans="1:31" hidden="1" x14ac:dyDescent="0.25">
      <c r="A353">
        <v>352</v>
      </c>
      <c r="B353">
        <v>2025</v>
      </c>
      <c r="C353">
        <v>8</v>
      </c>
      <c r="D353">
        <v>30</v>
      </c>
      <c r="E353">
        <v>8</v>
      </c>
      <c r="F353" t="str">
        <v/>
      </c>
      <c r="G353" s="167">
        <v>1</v>
      </c>
      <c r="H353" t="str">
        <v/>
      </c>
      <c r="I353" t="str">
        <v/>
      </c>
      <c r="J353">
        <v>4</v>
      </c>
      <c r="K353" s="167">
        <f ca="1"/>
        <v>5500</v>
      </c>
      <c r="L353" s="167">
        <f ca="1"/>
        <v>5500</v>
      </c>
      <c r="AA353">
        <v>46</v>
      </c>
      <c r="AB353">
        <v>4</v>
      </c>
      <c r="AC353" t="str">
        <v>110FY524</v>
      </c>
      <c r="AD353">
        <v>23</v>
      </c>
      <c r="AE353" t="str">
        <v>double</v>
      </c>
    </row>
    <row r="354" spans="1:31" hidden="1" x14ac:dyDescent="0.25">
      <c r="A354">
        <v>353</v>
      </c>
      <c r="B354">
        <v>2025</v>
      </c>
      <c r="C354">
        <v>8</v>
      </c>
      <c r="D354">
        <v>31</v>
      </c>
      <c r="E354">
        <v>7</v>
      </c>
      <c r="F354" t="str">
        <v>01CC689</v>
      </c>
      <c r="G354" s="167">
        <v>8</v>
      </c>
      <c r="H354" t="str">
        <v>single</v>
      </c>
      <c r="I354" t="str">
        <v/>
      </c>
      <c r="J354">
        <v>26</v>
      </c>
      <c r="K354" s="167">
        <f ca="1"/>
        <v>55.36</v>
      </c>
      <c r="L354" s="167">
        <f ca="1"/>
        <v>442.88</v>
      </c>
      <c r="AA354">
        <v>46</v>
      </c>
      <c r="AB354">
        <v>4</v>
      </c>
      <c r="AC354" t="str">
        <v>10AD801</v>
      </c>
      <c r="AD354">
        <v>10</v>
      </c>
      <c r="AE354" t="str">
        <v>double</v>
      </c>
    </row>
    <row r="355" spans="1:31" hidden="1" x14ac:dyDescent="0.25">
      <c r="A355">
        <v>354</v>
      </c>
      <c r="B355">
        <v>2025</v>
      </c>
      <c r="C355">
        <v>8</v>
      </c>
      <c r="D355">
        <v>31</v>
      </c>
      <c r="E355">
        <v>7</v>
      </c>
      <c r="F355" t="str">
        <v>10RN527</v>
      </c>
      <c r="G355" s="167">
        <v>27</v>
      </c>
      <c r="H355" t="str">
        <v>single</v>
      </c>
      <c r="I355" t="str">
        <v/>
      </c>
      <c r="J355">
        <v>32</v>
      </c>
      <c r="K355" s="167">
        <f ca="1"/>
        <v>62.5</v>
      </c>
      <c r="L355" s="167">
        <f ca="1"/>
        <v>1687.5</v>
      </c>
      <c r="AA355">
        <v>46</v>
      </c>
      <c r="AB355">
        <v>5</v>
      </c>
      <c r="AC355" t="str">
        <v>110FY524</v>
      </c>
      <c r="AD355">
        <v>7</v>
      </c>
      <c r="AE355" t="str">
        <v>double</v>
      </c>
    </row>
    <row r="356" spans="1:31" hidden="1" x14ac:dyDescent="0.25">
      <c r="A356">
        <v>355</v>
      </c>
      <c r="B356">
        <v>2025</v>
      </c>
      <c r="C356">
        <v>8</v>
      </c>
      <c r="D356">
        <v>31</v>
      </c>
      <c r="E356">
        <v>7</v>
      </c>
      <c r="F356" t="str">
        <v>50BD165</v>
      </c>
      <c r="G356" s="167">
        <v>30</v>
      </c>
      <c r="H356" t="str">
        <v>single</v>
      </c>
      <c r="I356" t="str">
        <v/>
      </c>
      <c r="J356">
        <v>41</v>
      </c>
      <c r="K356" s="167">
        <f ca="1"/>
        <v>55.36</v>
      </c>
      <c r="L356" s="167">
        <f ca="1"/>
        <v>1660.8</v>
      </c>
      <c r="AA356">
        <v>46</v>
      </c>
      <c r="AB356">
        <v>6</v>
      </c>
      <c r="AC356" t="str">
        <v>110FY523</v>
      </c>
      <c r="AD356">
        <v>29</v>
      </c>
      <c r="AE356" t="str">
        <v>double</v>
      </c>
    </row>
    <row r="357" spans="1:31" hidden="1" x14ac:dyDescent="0.25">
      <c r="A357">
        <v>356</v>
      </c>
      <c r="B357">
        <v>2025</v>
      </c>
      <c r="C357">
        <v>8</v>
      </c>
      <c r="D357">
        <v>31</v>
      </c>
      <c r="E357">
        <v>7</v>
      </c>
      <c r="F357" t="str">
        <v>50BN724</v>
      </c>
      <c r="G357" s="167">
        <v>30</v>
      </c>
      <c r="H357" t="str">
        <v>single</v>
      </c>
      <c r="I357" t="str">
        <v/>
      </c>
      <c r="J357">
        <v>43</v>
      </c>
      <c r="K357" s="167">
        <f ca="1"/>
        <v>66.069999999999993</v>
      </c>
      <c r="L357" s="167">
        <f ca="1"/>
        <v>1982.1</v>
      </c>
      <c r="AA357">
        <v>46</v>
      </c>
      <c r="AB357">
        <v>6</v>
      </c>
      <c r="AC357" t="str">
        <v>110FY524</v>
      </c>
      <c r="AD357">
        <v>11</v>
      </c>
      <c r="AE357" t="str">
        <v>double</v>
      </c>
    </row>
    <row r="358" spans="1:31" hidden="1" x14ac:dyDescent="0.25">
      <c r="A358">
        <v>357</v>
      </c>
      <c r="B358">
        <v>2025</v>
      </c>
      <c r="C358">
        <v>8</v>
      </c>
      <c r="D358">
        <v>31</v>
      </c>
      <c r="E358">
        <v>7</v>
      </c>
      <c r="F358" t="str">
        <v>50CN929</v>
      </c>
      <c r="G358" s="167">
        <v>26</v>
      </c>
      <c r="H358" t="str">
        <v>single</v>
      </c>
      <c r="I358" t="str">
        <v/>
      </c>
      <c r="J358">
        <v>45</v>
      </c>
      <c r="K358" s="167">
        <f ca="1"/>
        <v>55.36</v>
      </c>
      <c r="L358" s="167">
        <f ca="1"/>
        <v>1439.36</v>
      </c>
      <c r="AA358">
        <v>46</v>
      </c>
      <c r="AB358">
        <v>6</v>
      </c>
      <c r="AC358" t="str">
        <v>10AD801</v>
      </c>
      <c r="AD358">
        <v>28</v>
      </c>
      <c r="AE358" t="str">
        <v>double</v>
      </c>
    </row>
    <row r="359" spans="1:31" hidden="1" x14ac:dyDescent="0.25">
      <c r="A359">
        <v>358</v>
      </c>
      <c r="B359">
        <v>2025</v>
      </c>
      <c r="C359">
        <v>8</v>
      </c>
      <c r="D359">
        <v>31</v>
      </c>
      <c r="E359">
        <v>7</v>
      </c>
      <c r="F359" t="str">
        <v>50DK730</v>
      </c>
      <c r="G359" s="167">
        <v>31</v>
      </c>
      <c r="H359" t="str">
        <v>single</v>
      </c>
      <c r="I359" t="str">
        <v/>
      </c>
      <c r="J359">
        <v>47</v>
      </c>
      <c r="K359" s="167">
        <f ca="1"/>
        <v>55.36</v>
      </c>
      <c r="L359" s="167">
        <f ca="1"/>
        <v>1716.16</v>
      </c>
      <c r="AA359">
        <v>31</v>
      </c>
      <c r="AB359">
        <v>1</v>
      </c>
      <c r="AC359" t="str">
        <v>99LT168</v>
      </c>
      <c r="AD359">
        <v>1.9999999999999964</v>
      </c>
      <c r="AE359" t="str">
        <v>hour</v>
      </c>
    </row>
    <row r="360" spans="1:31" hidden="1" x14ac:dyDescent="0.25">
      <c r="A360">
        <v>359</v>
      </c>
      <c r="B360">
        <v>2025</v>
      </c>
      <c r="C360">
        <v>8</v>
      </c>
      <c r="D360">
        <v>31</v>
      </c>
      <c r="E360">
        <v>7</v>
      </c>
      <c r="F360" t="str">
        <v>50EF902</v>
      </c>
      <c r="G360" s="167">
        <v>22</v>
      </c>
      <c r="H360" t="str">
        <v>single</v>
      </c>
      <c r="I360" t="str">
        <v/>
      </c>
      <c r="J360">
        <v>49</v>
      </c>
      <c r="K360" s="167">
        <f ca="1"/>
        <v>62.5</v>
      </c>
      <c r="L360" s="167">
        <f ca="1"/>
        <v>1375</v>
      </c>
      <c r="AA360">
        <v>31</v>
      </c>
      <c r="AB360">
        <v>1</v>
      </c>
      <c r="AC360" t="str">
        <v>90ZP408</v>
      </c>
      <c r="AD360">
        <v>16.999999999999972</v>
      </c>
      <c r="AE360" t="str">
        <v>hour</v>
      </c>
    </row>
    <row r="361" spans="1:31" hidden="1" x14ac:dyDescent="0.25">
      <c r="A361">
        <v>360</v>
      </c>
      <c r="B361">
        <v>2025</v>
      </c>
      <c r="C361">
        <v>8</v>
      </c>
      <c r="D361">
        <v>31</v>
      </c>
      <c r="E361">
        <v>7</v>
      </c>
      <c r="F361" t="str">
        <v>53BB774</v>
      </c>
      <c r="G361" s="167">
        <v>10</v>
      </c>
      <c r="H361" t="str">
        <v>single</v>
      </c>
      <c r="I361" t="str">
        <v/>
      </c>
      <c r="J361">
        <v>53</v>
      </c>
      <c r="K361" s="167">
        <f ca="1"/>
        <v>55.36</v>
      </c>
      <c r="L361" s="167">
        <f ca="1"/>
        <v>553.6</v>
      </c>
      <c r="AA361">
        <v>31</v>
      </c>
      <c r="AB361">
        <v>1</v>
      </c>
      <c r="AC361" t="str">
        <v>66CC029</v>
      </c>
      <c r="AD361">
        <v>18.999999999999972</v>
      </c>
      <c r="AE361" t="str">
        <v>hour</v>
      </c>
    </row>
    <row r="362" spans="1:31" hidden="1" x14ac:dyDescent="0.25">
      <c r="A362">
        <v>361</v>
      </c>
      <c r="B362">
        <v>2025</v>
      </c>
      <c r="C362">
        <v>8</v>
      </c>
      <c r="D362">
        <v>31</v>
      </c>
      <c r="E362">
        <v>7</v>
      </c>
      <c r="F362" t="str">
        <v>55CB633</v>
      </c>
      <c r="G362" s="167">
        <v>30</v>
      </c>
      <c r="H362" t="str">
        <v>single</v>
      </c>
      <c r="I362" t="str">
        <v/>
      </c>
      <c r="J362">
        <v>57</v>
      </c>
      <c r="K362" s="167">
        <f ca="1"/>
        <v>55.36</v>
      </c>
      <c r="L362" s="167">
        <f ca="1"/>
        <v>1660.8</v>
      </c>
      <c r="AA362">
        <v>31</v>
      </c>
      <c r="AB362">
        <v>2</v>
      </c>
      <c r="AC362" t="str">
        <v>90OV187</v>
      </c>
      <c r="AD362">
        <v>48.999999999999986</v>
      </c>
      <c r="AE362" t="str">
        <v>hour</v>
      </c>
    </row>
    <row r="363" spans="1:31" hidden="1" x14ac:dyDescent="0.25">
      <c r="A363">
        <v>362</v>
      </c>
      <c r="B363">
        <v>2025</v>
      </c>
      <c r="C363">
        <v>8</v>
      </c>
      <c r="D363">
        <v>31</v>
      </c>
      <c r="E363">
        <v>7</v>
      </c>
      <c r="F363" t="str">
        <v>77AT386</v>
      </c>
      <c r="G363" s="167">
        <v>30</v>
      </c>
      <c r="H363" t="str">
        <v>single</v>
      </c>
      <c r="I363" t="str">
        <v/>
      </c>
      <c r="J363">
        <v>13</v>
      </c>
      <c r="K363" s="167">
        <f ca="1"/>
        <v>46.67</v>
      </c>
      <c r="L363" s="167">
        <f ca="1"/>
        <v>1400.1000000000001</v>
      </c>
      <c r="AA363">
        <v>31</v>
      </c>
      <c r="AB363">
        <v>2</v>
      </c>
      <c r="AC363" t="str">
        <v>90SL686</v>
      </c>
      <c r="AD363">
        <v>104</v>
      </c>
      <c r="AE363" t="str">
        <v>hour</v>
      </c>
    </row>
    <row r="364" spans="1:31" hidden="1" x14ac:dyDescent="0.25">
      <c r="A364">
        <v>363</v>
      </c>
      <c r="B364">
        <v>2025</v>
      </c>
      <c r="C364">
        <v>8</v>
      </c>
      <c r="D364">
        <v>31</v>
      </c>
      <c r="E364">
        <v>7</v>
      </c>
      <c r="F364" t="str">
        <v>77QE133</v>
      </c>
      <c r="G364" s="167">
        <v>30</v>
      </c>
      <c r="H364" t="str">
        <v>single</v>
      </c>
      <c r="I364" t="str">
        <v/>
      </c>
      <c r="J364">
        <v>69</v>
      </c>
      <c r="K364" s="167">
        <f ca="1"/>
        <v>73.33</v>
      </c>
      <c r="L364" s="167">
        <f ca="1"/>
        <v>2199.9</v>
      </c>
      <c r="AA364">
        <v>31</v>
      </c>
      <c r="AB364">
        <v>2</v>
      </c>
      <c r="AC364" t="str">
        <v>55CB633</v>
      </c>
      <c r="AD364">
        <v>35.999999999999964</v>
      </c>
      <c r="AE364" t="str">
        <v>hour</v>
      </c>
    </row>
    <row r="365" spans="1:31" hidden="1" x14ac:dyDescent="0.25">
      <c r="A365">
        <v>364</v>
      </c>
      <c r="B365">
        <v>2025</v>
      </c>
      <c r="C365">
        <v>8</v>
      </c>
      <c r="D365">
        <v>31</v>
      </c>
      <c r="E365">
        <v>7</v>
      </c>
      <c r="F365" t="str">
        <v>77TG971</v>
      </c>
      <c r="G365" s="167">
        <v>25</v>
      </c>
      <c r="H365" t="str">
        <v>single</v>
      </c>
      <c r="I365" t="str">
        <v/>
      </c>
      <c r="J365">
        <v>75</v>
      </c>
      <c r="K365" s="167">
        <f ca="1"/>
        <v>55.36</v>
      </c>
      <c r="L365" s="167">
        <f ca="1"/>
        <v>1384</v>
      </c>
      <c r="AA365">
        <v>31</v>
      </c>
      <c r="AB365">
        <v>2</v>
      </c>
      <c r="AC365" t="str">
        <v>77GM723</v>
      </c>
      <c r="AD365">
        <v>80.999999999999986</v>
      </c>
      <c r="AE365" t="str">
        <v>hour</v>
      </c>
    </row>
    <row r="366" spans="1:31" hidden="1" x14ac:dyDescent="0.25">
      <c r="A366">
        <v>365</v>
      </c>
      <c r="B366">
        <v>2025</v>
      </c>
      <c r="C366">
        <v>8</v>
      </c>
      <c r="D366">
        <v>31</v>
      </c>
      <c r="E366">
        <v>7</v>
      </c>
      <c r="F366" t="str">
        <v>77UR032</v>
      </c>
      <c r="G366" s="167">
        <v>29</v>
      </c>
      <c r="H366" t="str">
        <v>single</v>
      </c>
      <c r="I366" t="str">
        <v/>
      </c>
      <c r="J366">
        <v>77</v>
      </c>
      <c r="K366" s="167">
        <f ca="1"/>
        <v>55.36</v>
      </c>
      <c r="L366" s="167">
        <f ca="1"/>
        <v>1605.44</v>
      </c>
      <c r="AA366">
        <v>31</v>
      </c>
      <c r="AB366">
        <v>2</v>
      </c>
      <c r="AC366" t="str">
        <v>99DX531</v>
      </c>
      <c r="AD366">
        <v>34.999999999999986</v>
      </c>
      <c r="AE366" t="str">
        <v>hour</v>
      </c>
    </row>
    <row r="367" spans="1:31" hidden="1" x14ac:dyDescent="0.25">
      <c r="A367">
        <v>366</v>
      </c>
      <c r="B367">
        <v>2025</v>
      </c>
      <c r="C367">
        <v>8</v>
      </c>
      <c r="D367">
        <v>31</v>
      </c>
      <c r="E367">
        <v>7</v>
      </c>
      <c r="F367" t="str">
        <v>77VL420</v>
      </c>
      <c r="G367" s="167">
        <v>15</v>
      </c>
      <c r="H367" t="str">
        <v>single</v>
      </c>
      <c r="I367" t="str">
        <v/>
      </c>
      <c r="J367">
        <v>118</v>
      </c>
      <c r="K367" s="167">
        <f ca="1"/>
        <v>275</v>
      </c>
      <c r="L367" s="167">
        <f ca="1"/>
        <v>4125</v>
      </c>
      <c r="AA367">
        <v>31</v>
      </c>
      <c r="AB367">
        <v>2</v>
      </c>
      <c r="AC367" t="str">
        <v>15BZ942</v>
      </c>
      <c r="AD367">
        <v>26.999999999999993</v>
      </c>
      <c r="AE367" t="str">
        <v>hour</v>
      </c>
    </row>
    <row r="368" spans="1:31" hidden="1" x14ac:dyDescent="0.25">
      <c r="A368">
        <v>367</v>
      </c>
      <c r="B368">
        <v>2025</v>
      </c>
      <c r="C368">
        <v>8</v>
      </c>
      <c r="D368">
        <v>31</v>
      </c>
      <c r="E368">
        <v>7</v>
      </c>
      <c r="F368" t="str">
        <v>90LS143</v>
      </c>
      <c r="G368" s="167">
        <v>29</v>
      </c>
      <c r="H368" t="str">
        <v>single</v>
      </c>
      <c r="I368" t="str">
        <v/>
      </c>
      <c r="J368">
        <v>81</v>
      </c>
      <c r="K368" s="167">
        <f ca="1"/>
        <v>55.36</v>
      </c>
      <c r="L368" s="167">
        <f ca="1"/>
        <v>1605.44</v>
      </c>
      <c r="AA368">
        <v>31</v>
      </c>
      <c r="AB368">
        <v>2</v>
      </c>
      <c r="AC368" t="str">
        <v>99BT339</v>
      </c>
      <c r="AD368">
        <v>27.99999999999995</v>
      </c>
      <c r="AE368" t="str">
        <v>hour</v>
      </c>
    </row>
    <row r="369" spans="1:31" hidden="1" x14ac:dyDescent="0.25">
      <c r="A369">
        <v>368</v>
      </c>
      <c r="B369">
        <v>2025</v>
      </c>
      <c r="C369">
        <v>8</v>
      </c>
      <c r="D369">
        <v>31</v>
      </c>
      <c r="E369">
        <v>7</v>
      </c>
      <c r="F369" t="str">
        <v>90OE402</v>
      </c>
      <c r="G369" s="167">
        <v>14</v>
      </c>
      <c r="H369" t="str">
        <v>single</v>
      </c>
      <c r="I369" t="str">
        <v/>
      </c>
      <c r="J369">
        <v>83</v>
      </c>
      <c r="K369" s="167">
        <f ca="1"/>
        <v>73.33</v>
      </c>
      <c r="L369" s="167">
        <f ca="1"/>
        <v>1026.6199999999999</v>
      </c>
      <c r="AA369">
        <v>31</v>
      </c>
      <c r="AB369">
        <v>2</v>
      </c>
      <c r="AC369" t="str">
        <v>50DK730</v>
      </c>
      <c r="AD369">
        <v>81.999999999999986</v>
      </c>
      <c r="AE369" t="str">
        <v>hour</v>
      </c>
    </row>
    <row r="370" spans="1:31" hidden="1" x14ac:dyDescent="0.25">
      <c r="A370">
        <v>369</v>
      </c>
      <c r="B370">
        <v>2025</v>
      </c>
      <c r="C370">
        <v>8</v>
      </c>
      <c r="D370">
        <v>31</v>
      </c>
      <c r="E370">
        <v>7</v>
      </c>
      <c r="F370" t="str">
        <v>90PY548</v>
      </c>
      <c r="G370" s="167">
        <v>30</v>
      </c>
      <c r="H370" t="str">
        <v>single</v>
      </c>
      <c r="I370" t="str">
        <v/>
      </c>
      <c r="J370">
        <v>85</v>
      </c>
      <c r="K370" s="167">
        <f ca="1"/>
        <v>40</v>
      </c>
      <c r="L370" s="167">
        <f ca="1"/>
        <v>1200</v>
      </c>
      <c r="AA370">
        <v>31</v>
      </c>
      <c r="AB370">
        <v>2</v>
      </c>
      <c r="AC370" t="str">
        <v>99MN472</v>
      </c>
      <c r="AD370">
        <v>54.999999999999943</v>
      </c>
      <c r="AE370" t="str">
        <v>hour</v>
      </c>
    </row>
    <row r="371" spans="1:31" hidden="1" x14ac:dyDescent="0.25">
      <c r="A371">
        <v>370</v>
      </c>
      <c r="B371">
        <v>2025</v>
      </c>
      <c r="C371">
        <v>8</v>
      </c>
      <c r="D371">
        <v>31</v>
      </c>
      <c r="E371">
        <v>7</v>
      </c>
      <c r="F371" t="str">
        <v>90SL686</v>
      </c>
      <c r="G371" s="167">
        <v>30</v>
      </c>
      <c r="H371" t="str">
        <v>single</v>
      </c>
      <c r="I371" t="str">
        <v/>
      </c>
      <c r="J371">
        <v>19</v>
      </c>
      <c r="K371" s="167">
        <f ca="1"/>
        <v>58.93</v>
      </c>
      <c r="L371" s="167">
        <f ca="1"/>
        <v>1767.9</v>
      </c>
      <c r="AA371">
        <v>31</v>
      </c>
      <c r="AB371">
        <v>2</v>
      </c>
      <c r="AC371" t="str">
        <v>10RN527</v>
      </c>
      <c r="AD371">
        <v>33.999999999999986</v>
      </c>
      <c r="AE371" t="str">
        <v>hour</v>
      </c>
    </row>
    <row r="372" spans="1:31" hidden="1" x14ac:dyDescent="0.25">
      <c r="A372">
        <v>371</v>
      </c>
      <c r="B372">
        <v>2025</v>
      </c>
      <c r="C372">
        <v>8</v>
      </c>
      <c r="D372">
        <v>31</v>
      </c>
      <c r="E372">
        <v>7</v>
      </c>
      <c r="F372" t="str">
        <v>90VS316</v>
      </c>
      <c r="G372" s="167">
        <v>30</v>
      </c>
      <c r="H372" t="str">
        <v>single</v>
      </c>
      <c r="I372" t="str">
        <v/>
      </c>
      <c r="J372">
        <v>87</v>
      </c>
      <c r="K372" s="167">
        <f ca="1"/>
        <v>55.36</v>
      </c>
      <c r="L372" s="167">
        <f ca="1"/>
        <v>1660.8</v>
      </c>
      <c r="AA372">
        <v>31</v>
      </c>
      <c r="AB372">
        <v>2</v>
      </c>
      <c r="AC372" t="str">
        <v>99LM412</v>
      </c>
      <c r="AD372">
        <v>4.9999999999999964</v>
      </c>
      <c r="AE372" t="str">
        <v>hour</v>
      </c>
    </row>
    <row r="373" spans="1:31" hidden="1" x14ac:dyDescent="0.25">
      <c r="A373">
        <v>372</v>
      </c>
      <c r="B373">
        <v>2025</v>
      </c>
      <c r="C373">
        <v>8</v>
      </c>
      <c r="D373">
        <v>31</v>
      </c>
      <c r="E373">
        <v>7</v>
      </c>
      <c r="F373" t="str">
        <v>99BT339</v>
      </c>
      <c r="G373" s="167">
        <v>30</v>
      </c>
      <c r="H373" t="str">
        <v>single</v>
      </c>
      <c r="I373" t="str">
        <v/>
      </c>
      <c r="J373">
        <v>93</v>
      </c>
      <c r="K373" s="167">
        <f ca="1"/>
        <v>55.36</v>
      </c>
      <c r="L373" s="167">
        <f ca="1"/>
        <v>1660.8</v>
      </c>
      <c r="AA373">
        <v>31</v>
      </c>
      <c r="AB373">
        <v>2</v>
      </c>
      <c r="AC373" t="str">
        <v>99TV366</v>
      </c>
      <c r="AD373">
        <v>20.999999999999986</v>
      </c>
      <c r="AE373" t="str">
        <v>hour</v>
      </c>
    </row>
    <row r="374" spans="1:31" hidden="1" x14ac:dyDescent="0.25">
      <c r="A374">
        <v>373</v>
      </c>
      <c r="B374">
        <v>2025</v>
      </c>
      <c r="C374">
        <v>8</v>
      </c>
      <c r="D374">
        <v>31</v>
      </c>
      <c r="E374">
        <v>7</v>
      </c>
      <c r="F374" t="str">
        <v>99EM163</v>
      </c>
      <c r="G374" s="167">
        <v>29</v>
      </c>
      <c r="H374" t="str">
        <v>single</v>
      </c>
      <c r="I374" t="str">
        <v/>
      </c>
      <c r="J374">
        <v>100</v>
      </c>
      <c r="K374" s="167">
        <f ca="1"/>
        <v>55.36</v>
      </c>
      <c r="L374" s="167">
        <f ca="1"/>
        <v>1605.44</v>
      </c>
      <c r="AA374">
        <v>31</v>
      </c>
      <c r="AB374">
        <v>3</v>
      </c>
      <c r="AC374" t="str">
        <v>90ZP408</v>
      </c>
      <c r="AD374">
        <v>15.299999999999976</v>
      </c>
      <c r="AE374" t="str">
        <v>hour</v>
      </c>
    </row>
    <row r="375" spans="1:31" hidden="1" x14ac:dyDescent="0.25">
      <c r="A375">
        <v>374</v>
      </c>
      <c r="B375">
        <v>2025</v>
      </c>
      <c r="C375">
        <v>8</v>
      </c>
      <c r="D375">
        <v>31</v>
      </c>
      <c r="E375">
        <v>7</v>
      </c>
      <c r="F375" t="str">
        <v>99HZ395</v>
      </c>
      <c r="G375" s="167">
        <v>29</v>
      </c>
      <c r="H375" t="str">
        <v>single</v>
      </c>
      <c r="I375" t="str">
        <v/>
      </c>
      <c r="J375">
        <v>3</v>
      </c>
      <c r="K375" s="167">
        <f ca="1"/>
        <v>65</v>
      </c>
      <c r="L375" s="167">
        <f ca="1"/>
        <v>1885</v>
      </c>
      <c r="AA375">
        <v>31</v>
      </c>
      <c r="AB375">
        <v>3</v>
      </c>
      <c r="AC375" t="str">
        <v>66CC029</v>
      </c>
      <c r="AD375">
        <v>99.999999999999986</v>
      </c>
      <c r="AE375" t="str">
        <v>hour</v>
      </c>
    </row>
    <row r="376" spans="1:31" hidden="1" x14ac:dyDescent="0.25">
      <c r="A376">
        <v>375</v>
      </c>
      <c r="B376">
        <v>2025</v>
      </c>
      <c r="C376">
        <v>8</v>
      </c>
      <c r="D376">
        <v>31</v>
      </c>
      <c r="E376">
        <v>7</v>
      </c>
      <c r="F376" t="str">
        <v>99KL663</v>
      </c>
      <c r="G376" s="167">
        <v>29</v>
      </c>
      <c r="H376" t="str">
        <v>single</v>
      </c>
      <c r="I376" t="str">
        <v/>
      </c>
      <c r="J376">
        <v>106</v>
      </c>
      <c r="K376" s="167">
        <f ca="1"/>
        <v>55.36</v>
      </c>
      <c r="L376" s="167">
        <f ca="1"/>
        <v>1605.44</v>
      </c>
      <c r="AA376">
        <v>31</v>
      </c>
      <c r="AB376">
        <v>3</v>
      </c>
      <c r="AC376" t="str">
        <v>90SL686</v>
      </c>
      <c r="AD376">
        <v>67.84999999999998</v>
      </c>
      <c r="AE376" t="str">
        <v>hour</v>
      </c>
    </row>
    <row r="377" spans="1:31" hidden="1" x14ac:dyDescent="0.25">
      <c r="A377">
        <v>376</v>
      </c>
      <c r="B377">
        <v>2025</v>
      </c>
      <c r="C377">
        <v>8</v>
      </c>
      <c r="D377">
        <v>31</v>
      </c>
      <c r="E377">
        <v>7</v>
      </c>
      <c r="F377" t="str">
        <v>99LM412</v>
      </c>
      <c r="G377" s="167">
        <v>31</v>
      </c>
      <c r="H377" t="str">
        <v>single</v>
      </c>
      <c r="I377" t="str">
        <v/>
      </c>
      <c r="J377">
        <v>116</v>
      </c>
      <c r="K377" s="167">
        <f ca="1"/>
        <v>55.36</v>
      </c>
      <c r="L377" s="167">
        <f ca="1"/>
        <v>1716.16</v>
      </c>
      <c r="AA377">
        <v>31</v>
      </c>
      <c r="AB377">
        <v>3</v>
      </c>
      <c r="AC377" t="str">
        <v>55CB633</v>
      </c>
      <c r="AD377">
        <v>69.999999999999986</v>
      </c>
      <c r="AE377" t="str">
        <v>hour</v>
      </c>
    </row>
    <row r="378" spans="1:31" hidden="1" x14ac:dyDescent="0.25">
      <c r="A378">
        <v>377</v>
      </c>
      <c r="B378">
        <v>2025</v>
      </c>
      <c r="C378">
        <v>8</v>
      </c>
      <c r="D378">
        <v>31</v>
      </c>
      <c r="E378">
        <v>7</v>
      </c>
      <c r="F378" t="str">
        <v>99MN472</v>
      </c>
      <c r="G378" s="167">
        <v>30</v>
      </c>
      <c r="H378" t="str">
        <v>single</v>
      </c>
      <c r="I378" t="str">
        <v/>
      </c>
      <c r="J378">
        <v>108</v>
      </c>
      <c r="K378" s="167">
        <f ca="1"/>
        <v>55.36</v>
      </c>
      <c r="L378" s="167">
        <f ca="1"/>
        <v>1660.8</v>
      </c>
      <c r="AA378">
        <v>31</v>
      </c>
      <c r="AB378">
        <v>3</v>
      </c>
      <c r="AC378" t="str">
        <v>99BT339</v>
      </c>
      <c r="AD378">
        <v>36.999999999999957</v>
      </c>
      <c r="AE378" t="str">
        <v>hour</v>
      </c>
    </row>
    <row r="379" spans="1:31" hidden="1" x14ac:dyDescent="0.25">
      <c r="A379">
        <v>378</v>
      </c>
      <c r="B379">
        <v>2025</v>
      </c>
      <c r="C379">
        <v>8</v>
      </c>
      <c r="D379">
        <v>31</v>
      </c>
      <c r="E379">
        <v>7</v>
      </c>
      <c r="F379" t="str">
        <v>77GR998</v>
      </c>
      <c r="G379" s="167">
        <v>31</v>
      </c>
      <c r="H379" t="str">
        <v>double</v>
      </c>
      <c r="I379" t="str">
        <v/>
      </c>
      <c r="J379">
        <v>63</v>
      </c>
      <c r="K379" s="167">
        <f ca="1"/>
        <v>99.65</v>
      </c>
      <c r="L379" s="167">
        <f ca="1"/>
        <v>3089.15</v>
      </c>
      <c r="AA379">
        <v>31</v>
      </c>
      <c r="AB379">
        <v>3</v>
      </c>
      <c r="AC379" t="str">
        <v>50DK730</v>
      </c>
      <c r="AD379">
        <v>94.999999999999986</v>
      </c>
      <c r="AE379" t="str">
        <v>hour</v>
      </c>
    </row>
    <row r="380" spans="1:31" hidden="1" x14ac:dyDescent="0.25">
      <c r="A380">
        <v>379</v>
      </c>
      <c r="B380">
        <v>2025</v>
      </c>
      <c r="C380">
        <v>8</v>
      </c>
      <c r="D380">
        <v>31</v>
      </c>
      <c r="E380">
        <v>7</v>
      </c>
      <c r="F380" t="str">
        <v>01CC689</v>
      </c>
      <c r="G380" s="167">
        <v>11.499999999999998</v>
      </c>
      <c r="H380" t="str">
        <v>hour</v>
      </c>
      <c r="I380" t="str">
        <v/>
      </c>
      <c r="J380">
        <v>25</v>
      </c>
      <c r="K380" s="167">
        <f ca="1"/>
        <v>5.5359999999999996</v>
      </c>
      <c r="L380" s="167">
        <f ca="1"/>
        <v>63.663999999999987</v>
      </c>
      <c r="AA380">
        <v>31</v>
      </c>
      <c r="AB380">
        <v>3</v>
      </c>
      <c r="AC380" t="str">
        <v>99MN472</v>
      </c>
      <c r="AD380">
        <v>61.999999999999943</v>
      </c>
      <c r="AE380" t="str">
        <v>hour</v>
      </c>
    </row>
    <row r="381" spans="1:31" hidden="1" x14ac:dyDescent="0.25">
      <c r="A381">
        <v>380</v>
      </c>
      <c r="B381">
        <v>2025</v>
      </c>
      <c r="C381">
        <v>8</v>
      </c>
      <c r="D381">
        <v>31</v>
      </c>
      <c r="E381">
        <v>7</v>
      </c>
      <c r="F381" t="str">
        <v>10RN527</v>
      </c>
      <c r="G381" s="167">
        <v>64.000000000000014</v>
      </c>
      <c r="H381" t="str">
        <v>hour</v>
      </c>
      <c r="I381" t="str">
        <v/>
      </c>
      <c r="J381">
        <v>30</v>
      </c>
      <c r="K381" s="167">
        <f ca="1"/>
        <v>6.25</v>
      </c>
      <c r="L381" s="167">
        <f ca="1"/>
        <v>400.00000000000011</v>
      </c>
      <c r="AA381">
        <v>31</v>
      </c>
      <c r="AB381">
        <v>3</v>
      </c>
      <c r="AC381" t="str">
        <v>52BK688</v>
      </c>
      <c r="AD381">
        <v>64.5</v>
      </c>
      <c r="AE381" t="str">
        <v>hour</v>
      </c>
    </row>
    <row r="382" spans="1:31" hidden="1" x14ac:dyDescent="0.25">
      <c r="A382">
        <v>381</v>
      </c>
      <c r="B382">
        <v>2025</v>
      </c>
      <c r="C382">
        <v>8</v>
      </c>
      <c r="D382">
        <v>31</v>
      </c>
      <c r="E382">
        <v>7</v>
      </c>
      <c r="F382" t="str">
        <v>50BD165</v>
      </c>
      <c r="G382" s="167">
        <v>82.999999999999986</v>
      </c>
      <c r="H382" t="str">
        <v>hour</v>
      </c>
      <c r="I382" t="str">
        <v/>
      </c>
      <c r="J382">
        <v>40</v>
      </c>
      <c r="K382" s="167">
        <f ca="1"/>
        <v>5.5359999999999996</v>
      </c>
      <c r="L382" s="167">
        <f ca="1"/>
        <v>459.48799999999989</v>
      </c>
      <c r="AA382">
        <v>31</v>
      </c>
      <c r="AB382">
        <v>3</v>
      </c>
      <c r="AC382" t="str">
        <v>99LM412</v>
      </c>
      <c r="AD382">
        <v>49.799999999999969</v>
      </c>
      <c r="AE382" t="str">
        <v>hour</v>
      </c>
    </row>
    <row r="383" spans="1:31" hidden="1" x14ac:dyDescent="0.25">
      <c r="A383">
        <v>382</v>
      </c>
      <c r="B383">
        <v>2025</v>
      </c>
      <c r="C383">
        <v>8</v>
      </c>
      <c r="D383">
        <v>31</v>
      </c>
      <c r="E383">
        <v>7</v>
      </c>
      <c r="F383" t="str">
        <v>50BN724</v>
      </c>
      <c r="G383" s="167">
        <v>75.999999999999986</v>
      </c>
      <c r="H383" t="str">
        <v>hour</v>
      </c>
      <c r="I383" t="str">
        <v/>
      </c>
      <c r="J383">
        <v>42</v>
      </c>
      <c r="K383" s="167">
        <f ca="1"/>
        <v>6.6070000000000002</v>
      </c>
      <c r="L383" s="167">
        <f ca="1"/>
        <v>502.13199999999995</v>
      </c>
      <c r="AA383">
        <v>31</v>
      </c>
      <c r="AB383">
        <v>3</v>
      </c>
      <c r="AC383" t="str">
        <v>50BD165</v>
      </c>
      <c r="AD383">
        <v>20.999999999999972</v>
      </c>
      <c r="AE383" t="str">
        <v>hour</v>
      </c>
    </row>
    <row r="384" spans="1:31" hidden="1" x14ac:dyDescent="0.25">
      <c r="A384">
        <v>383</v>
      </c>
      <c r="B384">
        <v>2025</v>
      </c>
      <c r="C384">
        <v>8</v>
      </c>
      <c r="D384">
        <v>31</v>
      </c>
      <c r="E384">
        <v>7</v>
      </c>
      <c r="F384" t="str">
        <v>50CN929</v>
      </c>
      <c r="G384" s="167">
        <v>20.000000000000007</v>
      </c>
      <c r="H384" t="str">
        <v>hour</v>
      </c>
      <c r="I384" t="str">
        <v/>
      </c>
      <c r="J384">
        <v>44</v>
      </c>
      <c r="K384" s="167">
        <f ca="1"/>
        <v>5.5359999999999996</v>
      </c>
      <c r="L384" s="167">
        <f ca="1"/>
        <v>110.72000000000003</v>
      </c>
      <c r="AA384">
        <v>31</v>
      </c>
      <c r="AB384">
        <v>4</v>
      </c>
      <c r="AC384" t="str">
        <v>66CC029</v>
      </c>
      <c r="AD384">
        <v>93</v>
      </c>
      <c r="AE384" t="str">
        <v>hour</v>
      </c>
    </row>
    <row r="385" spans="1:31" hidden="1" x14ac:dyDescent="0.25">
      <c r="A385">
        <v>384</v>
      </c>
      <c r="B385">
        <v>2025</v>
      </c>
      <c r="C385">
        <v>8</v>
      </c>
      <c r="D385">
        <v>31</v>
      </c>
      <c r="E385">
        <v>7</v>
      </c>
      <c r="F385" t="str">
        <v>50DK730</v>
      </c>
      <c r="G385" s="167">
        <v>98</v>
      </c>
      <c r="H385" t="str">
        <v>hour</v>
      </c>
      <c r="I385" t="str">
        <v/>
      </c>
      <c r="J385">
        <v>46</v>
      </c>
      <c r="K385" s="167">
        <f ca="1"/>
        <v>5.5359999999999996</v>
      </c>
      <c r="L385" s="167">
        <f ca="1"/>
        <v>542.52799999999991</v>
      </c>
      <c r="AA385">
        <v>31</v>
      </c>
      <c r="AB385">
        <v>4</v>
      </c>
      <c r="AC385" t="str">
        <v>90SL686</v>
      </c>
      <c r="AD385">
        <v>82.499999999999986</v>
      </c>
      <c r="AE385" t="str">
        <v>hour</v>
      </c>
    </row>
    <row r="386" spans="1:31" hidden="1" x14ac:dyDescent="0.25">
      <c r="A386">
        <v>385</v>
      </c>
      <c r="B386">
        <v>2025</v>
      </c>
      <c r="C386">
        <v>8</v>
      </c>
      <c r="D386">
        <v>31</v>
      </c>
      <c r="E386">
        <v>7</v>
      </c>
      <c r="F386" t="str">
        <v>50EF902</v>
      </c>
      <c r="G386" s="167">
        <v>19.999999999999993</v>
      </c>
      <c r="H386" t="str">
        <v>hour</v>
      </c>
      <c r="I386" t="str">
        <v/>
      </c>
      <c r="J386">
        <v>48</v>
      </c>
      <c r="K386" s="167">
        <f ca="1"/>
        <v>6.25</v>
      </c>
      <c r="L386" s="167">
        <f ca="1"/>
        <v>124.99999999999996</v>
      </c>
      <c r="AA386">
        <v>31</v>
      </c>
      <c r="AB386">
        <v>4</v>
      </c>
      <c r="AC386" t="str">
        <v>55CB633</v>
      </c>
      <c r="AD386">
        <v>68.999999999999972</v>
      </c>
      <c r="AE386" t="str">
        <v>hour</v>
      </c>
    </row>
    <row r="387" spans="1:31" hidden="1" x14ac:dyDescent="0.25">
      <c r="A387">
        <v>386</v>
      </c>
      <c r="B387">
        <v>2025</v>
      </c>
      <c r="C387">
        <v>8</v>
      </c>
      <c r="D387">
        <v>31</v>
      </c>
      <c r="E387">
        <v>7</v>
      </c>
      <c r="F387" t="str">
        <v>53BB774</v>
      </c>
      <c r="G387" s="167">
        <v>25.999999999999986</v>
      </c>
      <c r="H387" t="str">
        <v>hour</v>
      </c>
      <c r="I387" t="str">
        <v/>
      </c>
      <c r="J387">
        <v>52</v>
      </c>
      <c r="K387" s="167">
        <f ca="1"/>
        <v>0</v>
      </c>
      <c r="L387" s="167">
        <f ca="1"/>
        <v>0</v>
      </c>
      <c r="AA387">
        <v>31</v>
      </c>
      <c r="AB387">
        <v>4</v>
      </c>
      <c r="AC387" t="str">
        <v>99BT339</v>
      </c>
      <c r="AD387">
        <v>39.999999999999957</v>
      </c>
      <c r="AE387" t="str">
        <v>hour</v>
      </c>
    </row>
    <row r="388" spans="1:31" hidden="1" x14ac:dyDescent="0.25">
      <c r="A388">
        <v>387</v>
      </c>
      <c r="B388">
        <v>2025</v>
      </c>
      <c r="C388">
        <v>8</v>
      </c>
      <c r="D388">
        <v>31</v>
      </c>
      <c r="E388">
        <v>7</v>
      </c>
      <c r="F388" t="str">
        <v>55CB633</v>
      </c>
      <c r="G388" s="167">
        <v>100</v>
      </c>
      <c r="H388" t="str">
        <v>hour</v>
      </c>
      <c r="I388" t="str">
        <v/>
      </c>
      <c r="J388">
        <v>56</v>
      </c>
      <c r="K388" s="167">
        <f ca="1"/>
        <v>5.5359999999999996</v>
      </c>
      <c r="L388" s="167">
        <f ca="1"/>
        <v>553.59999999999991</v>
      </c>
      <c r="AA388">
        <v>31</v>
      </c>
      <c r="AB388">
        <v>4</v>
      </c>
      <c r="AC388" t="str">
        <v>50DK730</v>
      </c>
      <c r="AD388">
        <v>99.999999999999986</v>
      </c>
      <c r="AE388" t="str">
        <v>hour</v>
      </c>
    </row>
    <row r="389" spans="1:31" hidden="1" x14ac:dyDescent="0.25">
      <c r="A389">
        <v>388</v>
      </c>
      <c r="B389">
        <v>2025</v>
      </c>
      <c r="C389">
        <v>8</v>
      </c>
      <c r="D389">
        <v>31</v>
      </c>
      <c r="E389">
        <v>7</v>
      </c>
      <c r="F389" t="str">
        <v>90LS143</v>
      </c>
      <c r="G389" s="167">
        <v>11.999999999999995</v>
      </c>
      <c r="H389" t="str">
        <v>hour</v>
      </c>
      <c r="I389" t="str">
        <v/>
      </c>
      <c r="J389">
        <v>80</v>
      </c>
      <c r="K389" s="167">
        <f ca="1"/>
        <v>5.5359999999999996</v>
      </c>
      <c r="L389" s="167">
        <f ca="1"/>
        <v>66.43199999999996</v>
      </c>
      <c r="AA389">
        <v>31</v>
      </c>
      <c r="AB389">
        <v>4</v>
      </c>
      <c r="AC389" t="str">
        <v>99MN472</v>
      </c>
      <c r="AD389">
        <v>61.999999999999943</v>
      </c>
      <c r="AE389" t="str">
        <v>hour</v>
      </c>
    </row>
    <row r="390" spans="1:31" hidden="1" x14ac:dyDescent="0.25">
      <c r="A390">
        <v>389</v>
      </c>
      <c r="B390">
        <v>2025</v>
      </c>
      <c r="C390">
        <v>8</v>
      </c>
      <c r="D390">
        <v>31</v>
      </c>
      <c r="E390">
        <v>7</v>
      </c>
      <c r="F390" t="str">
        <v>90SL686</v>
      </c>
      <c r="G390" s="167">
        <v>116.49989999999997</v>
      </c>
      <c r="H390" t="str">
        <v>hour</v>
      </c>
      <c r="I390" t="str">
        <v/>
      </c>
      <c r="J390">
        <v>20</v>
      </c>
      <c r="K390" s="167">
        <f ca="1"/>
        <v>5.8929999999999998</v>
      </c>
      <c r="L390" s="167">
        <f ca="1"/>
        <v>686.53391069999975</v>
      </c>
      <c r="AA390">
        <v>31</v>
      </c>
      <c r="AB390">
        <v>4</v>
      </c>
      <c r="AC390" t="str">
        <v>99LM412</v>
      </c>
      <c r="AD390">
        <v>37.999999999999972</v>
      </c>
      <c r="AE390" t="str">
        <v>hour</v>
      </c>
    </row>
    <row r="391" spans="1:31" hidden="1" x14ac:dyDescent="0.25">
      <c r="A391">
        <v>390</v>
      </c>
      <c r="B391">
        <v>2025</v>
      </c>
      <c r="C391">
        <v>8</v>
      </c>
      <c r="D391">
        <v>31</v>
      </c>
      <c r="E391">
        <v>7</v>
      </c>
      <c r="F391" t="str">
        <v>90VS316</v>
      </c>
      <c r="G391" s="167">
        <v>102</v>
      </c>
      <c r="H391" t="str">
        <v>hour</v>
      </c>
      <c r="I391" t="str">
        <v/>
      </c>
      <c r="J391">
        <v>86</v>
      </c>
      <c r="K391" s="167">
        <f ca="1"/>
        <v>5.5359999999999996</v>
      </c>
      <c r="L391" s="167">
        <f ca="1"/>
        <v>564.67199999999991</v>
      </c>
      <c r="AA391">
        <v>31</v>
      </c>
      <c r="AB391">
        <v>4</v>
      </c>
      <c r="AC391" t="str">
        <v>50BD165</v>
      </c>
      <c r="AD391">
        <v>51.999999999999957</v>
      </c>
      <c r="AE391" t="str">
        <v>hour</v>
      </c>
    </row>
    <row r="392" spans="1:31" hidden="1" x14ac:dyDescent="0.25">
      <c r="A392">
        <v>391</v>
      </c>
      <c r="B392">
        <v>2025</v>
      </c>
      <c r="C392">
        <v>8</v>
      </c>
      <c r="D392">
        <v>31</v>
      </c>
      <c r="E392">
        <v>7</v>
      </c>
      <c r="F392" t="str">
        <v>99BT339</v>
      </c>
      <c r="G392" s="167">
        <v>89.999999999999986</v>
      </c>
      <c r="H392" t="str">
        <v>hour</v>
      </c>
      <c r="I392" t="str">
        <v/>
      </c>
      <c r="J392">
        <v>92</v>
      </c>
      <c r="K392" s="167">
        <f ca="1"/>
        <v>5.5359999999999996</v>
      </c>
      <c r="L392" s="167">
        <f ca="1"/>
        <v>498.2399999999999</v>
      </c>
      <c r="AA392">
        <v>31</v>
      </c>
      <c r="AB392">
        <v>4</v>
      </c>
      <c r="AC392" t="str">
        <v>90VS316</v>
      </c>
      <c r="AD392">
        <v>48.999999999999972</v>
      </c>
      <c r="AE392" t="str">
        <v>hour</v>
      </c>
    </row>
    <row r="393" spans="1:31" hidden="1" x14ac:dyDescent="0.25">
      <c r="A393">
        <v>392</v>
      </c>
      <c r="B393">
        <v>2025</v>
      </c>
      <c r="C393">
        <v>8</v>
      </c>
      <c r="D393">
        <v>31</v>
      </c>
      <c r="E393">
        <v>7</v>
      </c>
      <c r="F393" t="str">
        <v>99EM163</v>
      </c>
      <c r="G393" s="167">
        <v>200</v>
      </c>
      <c r="H393" t="str">
        <v>hour</v>
      </c>
      <c r="I393" t="str">
        <v/>
      </c>
      <c r="J393">
        <v>99</v>
      </c>
      <c r="K393" s="167">
        <f ca="1"/>
        <v>5.5359999999999996</v>
      </c>
      <c r="L393" s="167">
        <f ca="1"/>
        <v>1107.1999999999998</v>
      </c>
      <c r="AA393">
        <v>31</v>
      </c>
      <c r="AB393">
        <v>5</v>
      </c>
      <c r="AC393" t="str">
        <v>01CC689</v>
      </c>
      <c r="AD393">
        <v>63</v>
      </c>
      <c r="AE393" t="str">
        <v>hour</v>
      </c>
    </row>
    <row r="394" spans="1:31" hidden="1" x14ac:dyDescent="0.25">
      <c r="A394">
        <v>393</v>
      </c>
      <c r="B394">
        <v>2025</v>
      </c>
      <c r="C394">
        <v>8</v>
      </c>
      <c r="D394">
        <v>31</v>
      </c>
      <c r="E394">
        <v>7</v>
      </c>
      <c r="F394" t="str">
        <v>99KL663</v>
      </c>
      <c r="G394" s="167">
        <v>57.999999999999993</v>
      </c>
      <c r="H394" t="str">
        <v>hour</v>
      </c>
      <c r="I394" t="str">
        <v/>
      </c>
      <c r="J394">
        <v>105</v>
      </c>
      <c r="K394" s="167">
        <f ca="1"/>
        <v>5.5359999999999996</v>
      </c>
      <c r="L394" s="167">
        <f ca="1"/>
        <v>321.08799999999991</v>
      </c>
      <c r="AA394">
        <v>31</v>
      </c>
      <c r="AB394">
        <v>5</v>
      </c>
      <c r="AC394" t="str">
        <v>50BD165</v>
      </c>
      <c r="AD394">
        <v>75.999999999999986</v>
      </c>
      <c r="AE394" t="str">
        <v>hour</v>
      </c>
    </row>
    <row r="395" spans="1:31" hidden="1" x14ac:dyDescent="0.25">
      <c r="A395">
        <v>394</v>
      </c>
      <c r="B395">
        <v>2025</v>
      </c>
      <c r="C395">
        <v>8</v>
      </c>
      <c r="D395">
        <v>31</v>
      </c>
      <c r="E395">
        <v>7</v>
      </c>
      <c r="F395" t="str">
        <v>99LM412</v>
      </c>
      <c r="G395" s="167">
        <v>54.000000000000014</v>
      </c>
      <c r="H395" t="str">
        <v>hour</v>
      </c>
      <c r="I395" t="str">
        <v/>
      </c>
      <c r="J395">
        <v>115</v>
      </c>
      <c r="K395" s="167">
        <f ca="1"/>
        <v>5.5359999999999996</v>
      </c>
      <c r="L395" s="167">
        <f ca="1"/>
        <v>298.94400000000007</v>
      </c>
      <c r="AA395">
        <v>31</v>
      </c>
      <c r="AB395">
        <v>5</v>
      </c>
      <c r="AC395" t="str">
        <v>50DK730</v>
      </c>
      <c r="AD395">
        <v>104.99999999999999</v>
      </c>
      <c r="AE395" t="str">
        <v>hour</v>
      </c>
    </row>
    <row r="396" spans="1:31" hidden="1" x14ac:dyDescent="0.25">
      <c r="A396">
        <v>395</v>
      </c>
      <c r="B396">
        <v>2025</v>
      </c>
      <c r="C396">
        <v>8</v>
      </c>
      <c r="D396">
        <v>31</v>
      </c>
      <c r="E396">
        <v>7</v>
      </c>
      <c r="F396" t="str">
        <v>99MN472</v>
      </c>
      <c r="G396" s="167">
        <v>93</v>
      </c>
      <c r="H396" t="str">
        <v>hour</v>
      </c>
      <c r="I396" t="str">
        <v/>
      </c>
      <c r="J396">
        <v>107</v>
      </c>
      <c r="K396" s="167">
        <f ca="1"/>
        <v>5.5359999999999996</v>
      </c>
      <c r="L396" s="167">
        <f ca="1"/>
        <v>514.84799999999996</v>
      </c>
      <c r="AA396">
        <v>31</v>
      </c>
      <c r="AB396">
        <v>5</v>
      </c>
      <c r="AC396" t="str">
        <v>53BB774</v>
      </c>
      <c r="AD396">
        <v>44.999999999999993</v>
      </c>
      <c r="AE396" t="str">
        <v>hour</v>
      </c>
    </row>
    <row r="397" spans="1:31" hidden="1" x14ac:dyDescent="0.25">
      <c r="A397">
        <v>396</v>
      </c>
      <c r="B397">
        <v>2025</v>
      </c>
      <c r="C397">
        <v>8</v>
      </c>
      <c r="D397">
        <v>31</v>
      </c>
      <c r="E397">
        <v>7</v>
      </c>
      <c r="F397" t="str">
        <v>10RN527</v>
      </c>
      <c r="G397" s="167">
        <v>27</v>
      </c>
      <c r="H397" t="str">
        <v/>
      </c>
      <c r="I397" t="str">
        <v/>
      </c>
      <c r="J397">
        <v>31</v>
      </c>
      <c r="K397" s="167">
        <f ca="1"/>
        <v>55.36</v>
      </c>
      <c r="L397" s="167">
        <f ca="1"/>
        <v>1494.72</v>
      </c>
      <c r="AA397">
        <v>31</v>
      </c>
      <c r="AB397">
        <v>5</v>
      </c>
      <c r="AC397" t="str">
        <v>55CB633</v>
      </c>
      <c r="AD397">
        <v>35.999999999999986</v>
      </c>
      <c r="AE397" t="str">
        <v>hour</v>
      </c>
    </row>
    <row r="398" spans="1:31" hidden="1" x14ac:dyDescent="0.25">
      <c r="A398">
        <v>397</v>
      </c>
      <c r="B398">
        <v>2025</v>
      </c>
      <c r="C398">
        <v>8</v>
      </c>
      <c r="D398">
        <v>31</v>
      </c>
      <c r="E398">
        <v>7</v>
      </c>
      <c r="F398" t="str">
        <v>10RN527</v>
      </c>
      <c r="G398" s="167">
        <v>64</v>
      </c>
      <c r="H398" t="str">
        <v/>
      </c>
      <c r="I398" t="str">
        <v/>
      </c>
      <c r="J398">
        <v>29</v>
      </c>
      <c r="K398" s="167">
        <f ca="1"/>
        <v>5.5359999999999996</v>
      </c>
      <c r="L398" s="167">
        <f ca="1"/>
        <v>354.30399999999997</v>
      </c>
      <c r="AA398">
        <v>31</v>
      </c>
      <c r="AB398">
        <v>5</v>
      </c>
      <c r="AC398" t="str">
        <v>90SL686</v>
      </c>
      <c r="AD398">
        <v>89.499999999999986</v>
      </c>
      <c r="AE398" t="str">
        <v>hour</v>
      </c>
    </row>
    <row r="399" spans="1:31" hidden="1" x14ac:dyDescent="0.25">
      <c r="A399">
        <v>398</v>
      </c>
      <c r="B399">
        <v>2025</v>
      </c>
      <c r="C399">
        <v>8</v>
      </c>
      <c r="D399">
        <v>31</v>
      </c>
      <c r="E399">
        <v>7</v>
      </c>
      <c r="F399" t="str">
        <v/>
      </c>
      <c r="G399" s="167">
        <v>10262.759999999998</v>
      </c>
      <c r="H399" t="str">
        <v/>
      </c>
      <c r="I399" t="str">
        <v/>
      </c>
      <c r="J399" t="str">
        <v>M-1</v>
      </c>
      <c r="K399" s="167">
        <f ca="1"/>
        <v>1</v>
      </c>
      <c r="L399" s="167">
        <f ca="1"/>
        <v>10262.759999999998</v>
      </c>
      <c r="AA399">
        <v>31</v>
      </c>
      <c r="AB399">
        <v>5</v>
      </c>
      <c r="AC399" t="str">
        <v>90VS316</v>
      </c>
      <c r="AD399">
        <v>48.999999999999957</v>
      </c>
      <c r="AE399" t="str">
        <v>hour</v>
      </c>
    </row>
    <row r="400" spans="1:31" hidden="1" x14ac:dyDescent="0.25">
      <c r="A400">
        <v>399</v>
      </c>
      <c r="B400">
        <v>2025</v>
      </c>
      <c r="C400">
        <v>8</v>
      </c>
      <c r="D400">
        <v>31</v>
      </c>
      <c r="E400">
        <v>7</v>
      </c>
      <c r="F400" t="str">
        <v/>
      </c>
      <c r="G400" s="167">
        <v>8379.42</v>
      </c>
      <c r="H400" t="str">
        <v/>
      </c>
      <c r="I400" t="str">
        <v/>
      </c>
      <c r="J400" t="str">
        <v>R-1</v>
      </c>
      <c r="K400" s="167">
        <f ca="1"/>
        <v>-1</v>
      </c>
      <c r="L400" s="167">
        <f ca="1"/>
        <v>-8379.42</v>
      </c>
      <c r="AA400">
        <v>31</v>
      </c>
      <c r="AB400">
        <v>5</v>
      </c>
      <c r="AC400" t="str">
        <v>99LM412</v>
      </c>
      <c r="AD400">
        <v>39.999999999999943</v>
      </c>
      <c r="AE400" t="str">
        <v>hour</v>
      </c>
    </row>
    <row r="401" spans="1:31" hidden="1" x14ac:dyDescent="0.25">
      <c r="A401">
        <v>400</v>
      </c>
      <c r="B401">
        <v>2025</v>
      </c>
      <c r="C401">
        <v>8</v>
      </c>
      <c r="D401">
        <v>33</v>
      </c>
      <c r="E401">
        <v>12</v>
      </c>
      <c r="F401" t="str">
        <v/>
      </c>
      <c r="G401" s="167">
        <v>43128</v>
      </c>
      <c r="H401" t="str">
        <v/>
      </c>
      <c r="I401" t="str">
        <v/>
      </c>
      <c r="J401">
        <v>12</v>
      </c>
      <c r="K401" s="167">
        <f ca="1"/>
        <v>1.56</v>
      </c>
      <c r="L401" s="167">
        <f ca="1"/>
        <v>67279.680000000008</v>
      </c>
      <c r="AA401">
        <v>31</v>
      </c>
      <c r="AB401">
        <v>5</v>
      </c>
      <c r="AC401" t="str">
        <v>99MN472</v>
      </c>
      <c r="AD401">
        <v>67.999999999999957</v>
      </c>
      <c r="AE401" t="str">
        <v>hour</v>
      </c>
    </row>
    <row r="402" spans="1:31" hidden="1" x14ac:dyDescent="0.25">
      <c r="A402">
        <v>401</v>
      </c>
      <c r="B402">
        <v>2025</v>
      </c>
      <c r="C402">
        <v>8</v>
      </c>
      <c r="D402">
        <v>33</v>
      </c>
      <c r="E402">
        <v>12</v>
      </c>
      <c r="F402" t="str">
        <v/>
      </c>
      <c r="G402" s="167">
        <v>46474</v>
      </c>
      <c r="H402" t="str">
        <v/>
      </c>
      <c r="I402" t="str">
        <v/>
      </c>
      <c r="J402">
        <v>13</v>
      </c>
      <c r="K402" s="167">
        <f ca="1"/>
        <v>4.53</v>
      </c>
      <c r="L402" s="167">
        <f ca="1"/>
        <v>210527.22</v>
      </c>
      <c r="AA402">
        <v>31</v>
      </c>
      <c r="AB402">
        <v>6</v>
      </c>
      <c r="AC402" t="str">
        <v>01CC689</v>
      </c>
      <c r="AD402">
        <v>15.499999999999979</v>
      </c>
      <c r="AE402" t="str">
        <v>hour</v>
      </c>
    </row>
    <row r="403" spans="1:31" hidden="1" x14ac:dyDescent="0.25">
      <c r="A403">
        <v>402</v>
      </c>
      <c r="B403">
        <v>2025</v>
      </c>
      <c r="C403">
        <v>8</v>
      </c>
      <c r="D403">
        <v>33</v>
      </c>
      <c r="E403">
        <v>12</v>
      </c>
      <c r="F403" t="str">
        <v/>
      </c>
      <c r="G403" s="167">
        <v>44377</v>
      </c>
      <c r="H403" t="str">
        <v/>
      </c>
      <c r="I403" t="str">
        <v/>
      </c>
      <c r="J403">
        <v>14</v>
      </c>
      <c r="K403" s="167">
        <f ca="1"/>
        <v>4.53</v>
      </c>
      <c r="L403" s="167">
        <f ca="1"/>
        <v>201027.81</v>
      </c>
      <c r="AA403">
        <v>31</v>
      </c>
      <c r="AB403">
        <v>6</v>
      </c>
      <c r="AC403" t="str">
        <v>50BD165</v>
      </c>
      <c r="AD403">
        <v>66.999999999999986</v>
      </c>
      <c r="AE403" t="str">
        <v>hour</v>
      </c>
    </row>
    <row r="404" spans="1:31" hidden="1" x14ac:dyDescent="0.25">
      <c r="A404">
        <v>403</v>
      </c>
      <c r="B404">
        <v>2025</v>
      </c>
      <c r="C404">
        <v>8</v>
      </c>
      <c r="D404">
        <v>33</v>
      </c>
      <c r="E404">
        <v>12</v>
      </c>
      <c r="F404" t="str">
        <v/>
      </c>
      <c r="G404" s="167">
        <v>4173</v>
      </c>
      <c r="H404" t="str">
        <v/>
      </c>
      <c r="I404" t="str">
        <v/>
      </c>
      <c r="J404">
        <v>15</v>
      </c>
      <c r="K404" s="167">
        <f ca="1"/>
        <v>4.53</v>
      </c>
      <c r="L404" s="167">
        <f ca="1"/>
        <v>18903.690000000002</v>
      </c>
      <c r="AA404">
        <v>31</v>
      </c>
      <c r="AB404">
        <v>6</v>
      </c>
      <c r="AC404" t="str">
        <v>50BN724</v>
      </c>
      <c r="AD404">
        <v>24.999999999999979</v>
      </c>
      <c r="AE404" t="str">
        <v>hour</v>
      </c>
    </row>
    <row r="405" spans="1:31" hidden="1" x14ac:dyDescent="0.25">
      <c r="A405">
        <v>404</v>
      </c>
      <c r="B405">
        <v>2025</v>
      </c>
      <c r="C405">
        <v>8</v>
      </c>
      <c r="D405">
        <v>33</v>
      </c>
      <c r="E405">
        <v>12</v>
      </c>
      <c r="F405" t="str">
        <v/>
      </c>
      <c r="G405" s="167">
        <v>4475</v>
      </c>
      <c r="H405" t="str">
        <v/>
      </c>
      <c r="I405" t="str">
        <v/>
      </c>
      <c r="J405">
        <v>16</v>
      </c>
      <c r="K405" s="167">
        <f ca="1"/>
        <v>3.77</v>
      </c>
      <c r="L405" s="167">
        <f ca="1"/>
        <v>16870.75</v>
      </c>
      <c r="AA405">
        <v>31</v>
      </c>
      <c r="AB405">
        <v>6</v>
      </c>
      <c r="AC405" t="str">
        <v>50DK730</v>
      </c>
      <c r="AD405">
        <v>94</v>
      </c>
      <c r="AE405" t="str">
        <v>hour</v>
      </c>
    </row>
    <row r="406" spans="1:31" hidden="1" x14ac:dyDescent="0.25">
      <c r="A406">
        <v>405</v>
      </c>
      <c r="B406">
        <v>2025</v>
      </c>
      <c r="C406">
        <v>8</v>
      </c>
      <c r="D406">
        <v>46</v>
      </c>
      <c r="E406">
        <v>4</v>
      </c>
      <c r="F406" t="str">
        <v>110FY523</v>
      </c>
      <c r="G406" s="167">
        <v>29</v>
      </c>
      <c r="H406" t="str">
        <v>single</v>
      </c>
      <c r="I406" t="str">
        <v/>
      </c>
      <c r="J406">
        <v>1</v>
      </c>
      <c r="K406" s="167">
        <f ca="1"/>
        <v>214.28571428571428</v>
      </c>
      <c r="L406" s="167">
        <f ca="1"/>
        <v>6214.2857142857138</v>
      </c>
      <c r="AA406">
        <v>31</v>
      </c>
      <c r="AB406">
        <v>6</v>
      </c>
      <c r="AC406" t="str">
        <v>53BB774</v>
      </c>
      <c r="AD406">
        <v>97.999999999999986</v>
      </c>
      <c r="AE406" t="str">
        <v>hour</v>
      </c>
    </row>
    <row r="407" spans="1:31" hidden="1" x14ac:dyDescent="0.25">
      <c r="A407">
        <v>406</v>
      </c>
      <c r="B407">
        <v>2025</v>
      </c>
      <c r="C407">
        <v>8</v>
      </c>
      <c r="D407">
        <v>46</v>
      </c>
      <c r="E407">
        <v>4</v>
      </c>
      <c r="F407" t="str">
        <v>110FY524</v>
      </c>
      <c r="G407" s="167">
        <v>6</v>
      </c>
      <c r="H407" t="str">
        <v>single</v>
      </c>
      <c r="I407" t="str">
        <v/>
      </c>
      <c r="J407">
        <v>7</v>
      </c>
      <c r="K407" s="167">
        <f ca="1"/>
        <v>214.28571428571428</v>
      </c>
      <c r="L407" s="167">
        <f ca="1"/>
        <v>1285.7142857142858</v>
      </c>
      <c r="AA407">
        <v>31</v>
      </c>
      <c r="AB407">
        <v>6</v>
      </c>
      <c r="AC407" t="str">
        <v>55CB633</v>
      </c>
      <c r="AD407">
        <v>107</v>
      </c>
      <c r="AE407" t="str">
        <v>hour</v>
      </c>
    </row>
    <row r="408" spans="1:31" hidden="1" x14ac:dyDescent="0.25">
      <c r="A408">
        <v>407</v>
      </c>
      <c r="B408">
        <v>2025</v>
      </c>
      <c r="C408">
        <v>8</v>
      </c>
      <c r="D408">
        <v>46</v>
      </c>
      <c r="E408">
        <v>4</v>
      </c>
      <c r="F408" t="str">
        <v>10AD801</v>
      </c>
      <c r="G408" s="167">
        <v>19</v>
      </c>
      <c r="H408" t="str">
        <v>single</v>
      </c>
      <c r="I408" t="str">
        <v/>
      </c>
      <c r="J408">
        <v>4</v>
      </c>
      <c r="K408" s="167">
        <f ca="1"/>
        <v>446.42857142857144</v>
      </c>
      <c r="L408" s="167">
        <f ca="1"/>
        <v>8482.1428571428569</v>
      </c>
      <c r="AA408">
        <v>31</v>
      </c>
      <c r="AB408">
        <v>6</v>
      </c>
      <c r="AC408" t="str">
        <v>77QE133</v>
      </c>
      <c r="AD408">
        <v>40</v>
      </c>
      <c r="AE408" t="str">
        <v>hour</v>
      </c>
    </row>
    <row r="409" spans="1:31" hidden="1" x14ac:dyDescent="0.25">
      <c r="A409">
        <v>408</v>
      </c>
      <c r="B409">
        <v>2025</v>
      </c>
      <c r="C409">
        <v>8</v>
      </c>
      <c r="D409">
        <v>46</v>
      </c>
      <c r="E409">
        <v>4</v>
      </c>
      <c r="F409" t="str">
        <v>10AB468</v>
      </c>
      <c r="G409" s="167">
        <v>23.5</v>
      </c>
      <c r="H409" t="str">
        <v>single</v>
      </c>
      <c r="I409" t="str">
        <v/>
      </c>
      <c r="J409">
        <v>10</v>
      </c>
      <c r="K409" s="167">
        <f ca="1"/>
        <v>185.71430000000001</v>
      </c>
      <c r="L409" s="167">
        <f ca="1"/>
        <v>4364.2860500000006</v>
      </c>
      <c r="AA409">
        <v>31</v>
      </c>
      <c r="AB409">
        <v>6</v>
      </c>
      <c r="AC409" t="str">
        <v>77UR032</v>
      </c>
      <c r="AD409">
        <v>9.9999999999999822</v>
      </c>
      <c r="AE409" t="str">
        <v>hour</v>
      </c>
    </row>
    <row r="410" spans="1:31" hidden="1" x14ac:dyDescent="0.25">
      <c r="A410">
        <v>409</v>
      </c>
      <c r="B410">
        <v>2025</v>
      </c>
      <c r="C410">
        <v>8</v>
      </c>
      <c r="D410">
        <v>46</v>
      </c>
      <c r="E410">
        <v>4</v>
      </c>
      <c r="F410" t="str">
        <v>110FY524</v>
      </c>
      <c r="G410" s="167">
        <v>23</v>
      </c>
      <c r="H410" t="str">
        <v>double</v>
      </c>
      <c r="I410" t="str">
        <v/>
      </c>
      <c r="J410">
        <v>8</v>
      </c>
      <c r="K410" s="167">
        <f ca="1"/>
        <v>385.71444000000002</v>
      </c>
      <c r="L410" s="167">
        <f ca="1"/>
        <v>8871.4321200000013</v>
      </c>
      <c r="AA410">
        <v>31</v>
      </c>
      <c r="AB410">
        <v>6</v>
      </c>
      <c r="AC410" t="str">
        <v>90LS143</v>
      </c>
      <c r="AD410">
        <v>5.9999999999999929</v>
      </c>
      <c r="AE410" t="str">
        <v>hour</v>
      </c>
    </row>
    <row r="411" spans="1:31" hidden="1" x14ac:dyDescent="0.25">
      <c r="A411">
        <v>410</v>
      </c>
      <c r="B411">
        <v>2025</v>
      </c>
      <c r="C411">
        <v>8</v>
      </c>
      <c r="D411">
        <v>46</v>
      </c>
      <c r="E411">
        <v>4</v>
      </c>
      <c r="F411" t="str">
        <v>10AD801</v>
      </c>
      <c r="G411" s="167">
        <v>10</v>
      </c>
      <c r="H411" t="str">
        <v>double</v>
      </c>
      <c r="I411" t="str">
        <v/>
      </c>
      <c r="J411">
        <v>5</v>
      </c>
      <c r="K411" s="167">
        <f ca="1"/>
        <v>803.57147999999995</v>
      </c>
      <c r="L411" s="167">
        <f ca="1"/>
        <v>8035.7147999999997</v>
      </c>
      <c r="AA411">
        <v>31</v>
      </c>
      <c r="AB411">
        <v>6</v>
      </c>
      <c r="AC411" t="str">
        <v>90SL686</v>
      </c>
      <c r="AD411">
        <v>108.99999999999999</v>
      </c>
      <c r="AE411" t="str">
        <v>hour</v>
      </c>
    </row>
    <row r="412" spans="1:31" x14ac:dyDescent="0.25">
      <c r="A412">
        <v>411</v>
      </c>
      <c r="B412">
        <v>2025</v>
      </c>
      <c r="C412">
        <v>8</v>
      </c>
      <c r="D412">
        <v>50</v>
      </c>
      <c r="E412">
        <v>3</v>
      </c>
      <c r="F412" t="str">
        <v>61AB256</v>
      </c>
      <c r="G412" s="167">
        <v>29</v>
      </c>
      <c r="H412" t="str">
        <v>single</v>
      </c>
      <c r="I412" t="str">
        <v/>
      </c>
      <c r="J412">
        <v>1</v>
      </c>
      <c r="K412" s="167">
        <f ca="1"/>
        <v>357.1429</v>
      </c>
      <c r="L412" s="167">
        <f ca="1"/>
        <v>10357.1441</v>
      </c>
      <c r="AA412">
        <v>31</v>
      </c>
      <c r="AB412">
        <v>6</v>
      </c>
      <c r="AC412" t="str">
        <v>90VS316</v>
      </c>
      <c r="AD412">
        <v>89.999999999999972</v>
      </c>
      <c r="AE412" t="str">
        <v>hour</v>
      </c>
    </row>
    <row r="413" spans="1:31" hidden="1" x14ac:dyDescent="0.25">
      <c r="A413">
        <v>412</v>
      </c>
      <c r="B413">
        <v>2025</v>
      </c>
      <c r="C413">
        <v>8</v>
      </c>
      <c r="D413">
        <v>51</v>
      </c>
      <c r="E413">
        <v>2</v>
      </c>
      <c r="F413" t="str">
        <v>10BA857</v>
      </c>
      <c r="G413" s="167">
        <v>13</v>
      </c>
      <c r="H413" t="str">
        <v>single</v>
      </c>
      <c r="I413" t="str">
        <v/>
      </c>
      <c r="J413">
        <v>3</v>
      </c>
      <c r="K413" s="167">
        <f ca="1"/>
        <v>235.71</v>
      </c>
      <c r="L413" s="167">
        <f ca="1"/>
        <v>3064.23</v>
      </c>
      <c r="AA413">
        <v>31</v>
      </c>
      <c r="AB413">
        <v>6</v>
      </c>
      <c r="AC413" t="str">
        <v>99KL663</v>
      </c>
      <c r="AD413">
        <v>49.999999999999986</v>
      </c>
      <c r="AE413" t="str">
        <v>hour</v>
      </c>
    </row>
    <row r="414" spans="1:31" hidden="1" x14ac:dyDescent="0.25">
      <c r="A414">
        <v>413</v>
      </c>
      <c r="B414">
        <v>2025</v>
      </c>
      <c r="C414">
        <v>8</v>
      </c>
      <c r="D414">
        <v>51</v>
      </c>
      <c r="E414">
        <v>2</v>
      </c>
      <c r="F414" t="str">
        <v>10BA857</v>
      </c>
      <c r="G414" s="167">
        <v>29.999999999999993</v>
      </c>
      <c r="H414" t="str">
        <v>hour</v>
      </c>
      <c r="I414" t="str">
        <v/>
      </c>
      <c r="J414">
        <v>4</v>
      </c>
      <c r="K414" s="167">
        <f ca="1"/>
        <v>26.071000000000002</v>
      </c>
      <c r="L414" s="167">
        <f ca="1"/>
        <v>782.12999999999988</v>
      </c>
      <c r="AA414">
        <v>31</v>
      </c>
      <c r="AB414">
        <v>6</v>
      </c>
      <c r="AC414" t="str">
        <v>99LM412</v>
      </c>
      <c r="AD414">
        <v>61.000000000000014</v>
      </c>
      <c r="AE414" t="str">
        <v>hour</v>
      </c>
    </row>
    <row r="415" spans="1:31" hidden="1" x14ac:dyDescent="0.25">
      <c r="A415">
        <v>414</v>
      </c>
      <c r="B415">
        <v>2025</v>
      </c>
      <c r="C415">
        <v>8</v>
      </c>
      <c r="D415">
        <v>65</v>
      </c>
      <c r="E415">
        <v>4</v>
      </c>
      <c r="F415" t="str">
        <v>01BA176</v>
      </c>
      <c r="G415" s="167">
        <v>27</v>
      </c>
      <c r="H415" t="str">
        <v>single</v>
      </c>
      <c r="I415" t="str">
        <v/>
      </c>
      <c r="J415">
        <v>1</v>
      </c>
      <c r="K415" s="167">
        <f ca="1"/>
        <v>196.42857142857142</v>
      </c>
      <c r="L415" s="167">
        <f ca="1"/>
        <v>5303.5714285714284</v>
      </c>
      <c r="AA415">
        <v>31</v>
      </c>
      <c r="AB415">
        <v>6</v>
      </c>
      <c r="AC415" t="str">
        <v>99MN472</v>
      </c>
      <c r="AD415">
        <v>71.999999999999957</v>
      </c>
      <c r="AE415" t="str">
        <v>hour</v>
      </c>
    </row>
    <row r="416" spans="1:31" hidden="1" x14ac:dyDescent="0.25">
      <c r="A416">
        <v>415</v>
      </c>
      <c r="B416">
        <v>2025</v>
      </c>
      <c r="C416">
        <v>8</v>
      </c>
      <c r="D416">
        <v>65</v>
      </c>
      <c r="E416">
        <v>4</v>
      </c>
      <c r="F416" t="str">
        <v>10BD252</v>
      </c>
      <c r="G416" s="167">
        <v>24.5</v>
      </c>
      <c r="H416" t="str">
        <v>single</v>
      </c>
      <c r="I416" t="str">
        <v/>
      </c>
      <c r="J416">
        <v>2</v>
      </c>
      <c r="K416" s="167">
        <f ca="1"/>
        <v>160.71</v>
      </c>
      <c r="L416" s="167">
        <f ca="1"/>
        <v>3937.395</v>
      </c>
      <c r="AA416">
        <v>31</v>
      </c>
      <c r="AB416">
        <v>7</v>
      </c>
      <c r="AC416" t="str">
        <v>01CC689</v>
      </c>
      <c r="AD416">
        <v>11.499999999999998</v>
      </c>
      <c r="AE416" t="str">
        <v>hour</v>
      </c>
    </row>
    <row r="417" spans="1:31" hidden="1" x14ac:dyDescent="0.25">
      <c r="A417">
        <v>416</v>
      </c>
      <c r="B417">
        <v>2025</v>
      </c>
      <c r="C417">
        <v>8</v>
      </c>
      <c r="D417">
        <v>85</v>
      </c>
      <c r="E417">
        <v>3</v>
      </c>
      <c r="F417" t="str">
        <v>77SN951</v>
      </c>
      <c r="G417" s="167">
        <v>29</v>
      </c>
      <c r="H417" t="str">
        <v>single</v>
      </c>
      <c r="I417" t="str">
        <v/>
      </c>
      <c r="J417">
        <v>1</v>
      </c>
      <c r="K417" s="167">
        <f ca="1"/>
        <v>446.43</v>
      </c>
      <c r="L417" s="167">
        <f ca="1"/>
        <v>12946.47</v>
      </c>
      <c r="AA417">
        <v>31</v>
      </c>
      <c r="AB417">
        <v>7</v>
      </c>
      <c r="AC417" t="str">
        <v>10RN527</v>
      </c>
      <c r="AD417">
        <v>64.000000000000014</v>
      </c>
      <c r="AE417" t="str">
        <v>hour</v>
      </c>
    </row>
    <row r="418" spans="1:31" hidden="1" x14ac:dyDescent="0.25">
      <c r="A418">
        <v>417</v>
      </c>
      <c r="B418">
        <v>2025</v>
      </c>
      <c r="C418">
        <v>8</v>
      </c>
      <c r="D418">
        <v>85</v>
      </c>
      <c r="E418">
        <v>3</v>
      </c>
      <c r="F418" t="str">
        <v>77SN951</v>
      </c>
      <c r="G418" s="167">
        <v>36.999999999999979</v>
      </c>
      <c r="H418" t="str">
        <v>hour</v>
      </c>
      <c r="I418" t="str">
        <v/>
      </c>
      <c r="J418">
        <v>2</v>
      </c>
      <c r="K418" s="167">
        <f ca="1"/>
        <v>44.643000000000001</v>
      </c>
      <c r="L418" s="167">
        <f ca="1"/>
        <v>1651.790999999999</v>
      </c>
      <c r="AA418">
        <v>31</v>
      </c>
      <c r="AB418">
        <v>7</v>
      </c>
      <c r="AC418" t="str">
        <v>50BD165</v>
      </c>
      <c r="AD418">
        <v>82.999999999999986</v>
      </c>
      <c r="AE418" t="str">
        <v>hour</v>
      </c>
    </row>
    <row r="419" spans="1:31" hidden="1" x14ac:dyDescent="0.25">
      <c r="A419">
        <v>418</v>
      </c>
      <c r="B419">
        <v>2025</v>
      </c>
      <c r="C419">
        <v>8</v>
      </c>
      <c r="D419">
        <v>91</v>
      </c>
      <c r="E419">
        <v>2</v>
      </c>
      <c r="F419" t="str">
        <v>90VJ454</v>
      </c>
      <c r="G419" s="167">
        <v>1</v>
      </c>
      <c r="H419" t="str">
        <v/>
      </c>
      <c r="I419" t="str">
        <v/>
      </c>
      <c r="J419">
        <v>1</v>
      </c>
      <c r="K419" s="167">
        <f ca="1"/>
        <v>3500</v>
      </c>
      <c r="L419" s="167">
        <f ca="1"/>
        <v>3500</v>
      </c>
      <c r="AA419">
        <v>31</v>
      </c>
      <c r="AB419">
        <v>7</v>
      </c>
      <c r="AC419" t="str">
        <v>50BN724</v>
      </c>
      <c r="AD419">
        <v>75.999999999999986</v>
      </c>
      <c r="AE419" t="str">
        <v>hour</v>
      </c>
    </row>
    <row r="420" spans="1:31" hidden="1" x14ac:dyDescent="0.25">
      <c r="A420">
        <v>419</v>
      </c>
      <c r="B420">
        <v>2025</v>
      </c>
      <c r="C420">
        <v>8</v>
      </c>
      <c r="D420">
        <v>94</v>
      </c>
      <c r="E420">
        <v>3</v>
      </c>
      <c r="F420" t="str">
        <v>54BM823</v>
      </c>
      <c r="G420" s="167">
        <v>31</v>
      </c>
      <c r="H420" t="str">
        <v>single</v>
      </c>
      <c r="I420" t="str">
        <v/>
      </c>
      <c r="J420">
        <v>1</v>
      </c>
      <c r="K420" s="167">
        <f ca="1"/>
        <v>125</v>
      </c>
      <c r="L420" s="167">
        <f ca="1"/>
        <v>3875</v>
      </c>
      <c r="AA420">
        <v>31</v>
      </c>
      <c r="AB420">
        <v>7</v>
      </c>
      <c r="AC420" t="str">
        <v>50CN929</v>
      </c>
      <c r="AD420">
        <v>20.000000000000007</v>
      </c>
      <c r="AE420" t="str">
        <v>hour</v>
      </c>
    </row>
    <row r="421" spans="1:31" hidden="1" x14ac:dyDescent="0.25">
      <c r="A421">
        <v>420</v>
      </c>
      <c r="B421">
        <v>2025</v>
      </c>
      <c r="C421">
        <v>8</v>
      </c>
      <c r="D421">
        <v>94</v>
      </c>
      <c r="E421">
        <v>3</v>
      </c>
      <c r="F421" t="str">
        <v>01BT754</v>
      </c>
      <c r="G421" s="167">
        <v>31</v>
      </c>
      <c r="H421" t="str">
        <v>single</v>
      </c>
      <c r="I421" t="str">
        <v/>
      </c>
      <c r="J421">
        <v>3</v>
      </c>
      <c r="K421" s="167">
        <f ca="1"/>
        <v>125</v>
      </c>
      <c r="L421" s="167">
        <f ca="1"/>
        <v>3875</v>
      </c>
      <c r="AA421">
        <v>31</v>
      </c>
      <c r="AB421">
        <v>7</v>
      </c>
      <c r="AC421" t="str">
        <v>50DK730</v>
      </c>
      <c r="AD421">
        <v>98</v>
      </c>
      <c r="AE421" t="str">
        <v>hour</v>
      </c>
    </row>
    <row r="422" spans="1:31" hidden="1" x14ac:dyDescent="0.25">
      <c r="A422">
        <v>421</v>
      </c>
      <c r="B422">
        <v>2025</v>
      </c>
      <c r="C422">
        <v>8</v>
      </c>
      <c r="D422">
        <v>94</v>
      </c>
      <c r="E422">
        <v>3</v>
      </c>
      <c r="F422" t="str">
        <v>10MF640</v>
      </c>
      <c r="G422" s="167">
        <v>22</v>
      </c>
      <c r="H422" t="str">
        <v>single</v>
      </c>
      <c r="I422" t="str">
        <v/>
      </c>
      <c r="J422">
        <v>4</v>
      </c>
      <c r="K422" s="167">
        <f ca="1"/>
        <v>125</v>
      </c>
      <c r="L422" s="167">
        <f ca="1"/>
        <v>2750</v>
      </c>
      <c r="AA422">
        <v>31</v>
      </c>
      <c r="AB422">
        <v>7</v>
      </c>
      <c r="AC422" t="str">
        <v>50EF902</v>
      </c>
      <c r="AD422">
        <v>19.999999999999993</v>
      </c>
      <c r="AE422" t="str">
        <v>hour</v>
      </c>
    </row>
    <row r="423" spans="1:31" hidden="1" x14ac:dyDescent="0.25">
      <c r="A423">
        <v>422</v>
      </c>
      <c r="B423">
        <v>2025</v>
      </c>
      <c r="C423">
        <v>8</v>
      </c>
      <c r="D423">
        <v>94</v>
      </c>
      <c r="E423">
        <v>3</v>
      </c>
      <c r="F423" t="str">
        <v>10MF640</v>
      </c>
      <c r="G423" s="167">
        <v>39.000000000000014</v>
      </c>
      <c r="H423" t="str">
        <v>hour</v>
      </c>
      <c r="I423" t="str">
        <v/>
      </c>
      <c r="J423">
        <v>5</v>
      </c>
      <c r="K423" s="167">
        <f ca="1"/>
        <v>12.5</v>
      </c>
      <c r="L423" s="167">
        <f ca="1"/>
        <v>487.50000000000017</v>
      </c>
      <c r="AA423">
        <v>31</v>
      </c>
      <c r="AB423">
        <v>7</v>
      </c>
      <c r="AC423" t="str">
        <v>53BB774</v>
      </c>
      <c r="AD423">
        <v>25.999999999999986</v>
      </c>
      <c r="AE423" t="str">
        <v>hour</v>
      </c>
    </row>
    <row r="424" spans="1:31" hidden="1" x14ac:dyDescent="0.25">
      <c r="A424">
        <v>423</v>
      </c>
      <c r="B424">
        <v>2025</v>
      </c>
      <c r="C424">
        <v>8</v>
      </c>
      <c r="D424">
        <v>98</v>
      </c>
      <c r="E424">
        <v>2</v>
      </c>
      <c r="F424" t="str">
        <v>50BD416</v>
      </c>
      <c r="G424" s="167">
        <v>29</v>
      </c>
      <c r="H424" t="str">
        <v>single</v>
      </c>
      <c r="I424" t="str">
        <v/>
      </c>
      <c r="J424">
        <v>1</v>
      </c>
      <c r="K424" s="167">
        <f ca="1"/>
        <v>107.14</v>
      </c>
      <c r="L424" s="167">
        <f ca="1"/>
        <v>3107.06</v>
      </c>
      <c r="AA424">
        <v>31</v>
      </c>
      <c r="AB424">
        <v>7</v>
      </c>
      <c r="AC424" t="str">
        <v>55CB633</v>
      </c>
      <c r="AD424">
        <v>100</v>
      </c>
      <c r="AE424" t="str">
        <v>hour</v>
      </c>
    </row>
    <row r="425" spans="1:31" hidden="1" x14ac:dyDescent="0.25">
      <c r="A425">
        <v>424</v>
      </c>
      <c r="B425">
        <v>2025</v>
      </c>
      <c r="C425">
        <v>8</v>
      </c>
      <c r="D425">
        <v>99</v>
      </c>
      <c r="E425">
        <v>2</v>
      </c>
      <c r="F425" t="str">
        <v>50BX301</v>
      </c>
      <c r="G425" s="167">
        <v>31</v>
      </c>
      <c r="H425" t="str">
        <v>single</v>
      </c>
      <c r="I425" t="str">
        <v/>
      </c>
      <c r="J425">
        <v>1</v>
      </c>
      <c r="K425" s="167">
        <f ca="1"/>
        <v>125</v>
      </c>
      <c r="L425" s="167">
        <f ca="1"/>
        <v>3875</v>
      </c>
      <c r="AA425">
        <v>31</v>
      </c>
      <c r="AB425">
        <v>7</v>
      </c>
      <c r="AC425" t="str">
        <v>90LS143</v>
      </c>
      <c r="AD425">
        <v>11.999999999999995</v>
      </c>
      <c r="AE425" t="str">
        <v>hour</v>
      </c>
    </row>
    <row r="426" spans="1:31" hidden="1" x14ac:dyDescent="0.25">
      <c r="A426">
        <v>425</v>
      </c>
      <c r="B426">
        <v>2025</v>
      </c>
      <c r="C426">
        <v>8</v>
      </c>
      <c r="D426">
        <v>99</v>
      </c>
      <c r="E426">
        <v>2</v>
      </c>
      <c r="F426" t="str">
        <v>50BX301</v>
      </c>
      <c r="G426" s="167">
        <v>31</v>
      </c>
      <c r="H426" t="str">
        <v>hour</v>
      </c>
      <c r="I426" t="str">
        <v/>
      </c>
      <c r="J426">
        <v>2</v>
      </c>
      <c r="K426" s="167">
        <f ca="1"/>
        <v>12.5</v>
      </c>
      <c r="L426" s="167">
        <f ca="1"/>
        <v>387.5</v>
      </c>
      <c r="AA426">
        <v>31</v>
      </c>
      <c r="AB426">
        <v>7</v>
      </c>
      <c r="AC426" t="str">
        <v>90SL686</v>
      </c>
      <c r="AD426">
        <v>116.49989999999997</v>
      </c>
      <c r="AE426" t="str">
        <v>hour</v>
      </c>
    </row>
    <row r="427" spans="1:31" hidden="1" x14ac:dyDescent="0.25">
      <c r="A427">
        <v>426</v>
      </c>
      <c r="B427">
        <v>2025</v>
      </c>
      <c r="C427">
        <v>8</v>
      </c>
      <c r="D427">
        <v>100</v>
      </c>
      <c r="E427">
        <v>2</v>
      </c>
      <c r="F427" t="str">
        <v>22AB273</v>
      </c>
      <c r="G427" s="167">
        <v>27</v>
      </c>
      <c r="H427" t="str">
        <v>single</v>
      </c>
      <c r="I427" t="str">
        <v/>
      </c>
      <c r="J427">
        <v>1</v>
      </c>
      <c r="K427" s="167">
        <f ca="1"/>
        <v>196.43</v>
      </c>
      <c r="L427" s="167">
        <f ca="1"/>
        <v>5303.6100000000006</v>
      </c>
      <c r="AA427">
        <v>31</v>
      </c>
      <c r="AB427">
        <v>7</v>
      </c>
      <c r="AC427" t="str">
        <v>90VS316</v>
      </c>
      <c r="AD427">
        <v>102</v>
      </c>
      <c r="AE427" t="str">
        <v>hour</v>
      </c>
    </row>
    <row r="428" spans="1:31" hidden="1" x14ac:dyDescent="0.25">
      <c r="A428">
        <v>427</v>
      </c>
      <c r="B428">
        <v>2025</v>
      </c>
      <c r="C428">
        <v>8</v>
      </c>
      <c r="D428">
        <v>102</v>
      </c>
      <c r="E428">
        <v>1</v>
      </c>
      <c r="F428" t="str">
        <v>99HQ687</v>
      </c>
      <c r="G428" s="167">
        <v>5</v>
      </c>
      <c r="H428" t="str">
        <v>single</v>
      </c>
      <c r="I428" t="str">
        <v/>
      </c>
      <c r="J428">
        <v>1</v>
      </c>
      <c r="K428" s="167">
        <f ca="1"/>
        <v>125</v>
      </c>
      <c r="L428" s="167">
        <f ca="1"/>
        <v>625</v>
      </c>
      <c r="AA428">
        <v>31</v>
      </c>
      <c r="AB428">
        <v>7</v>
      </c>
      <c r="AC428" t="str">
        <v>99BT339</v>
      </c>
      <c r="AD428">
        <v>89.999999999999986</v>
      </c>
      <c r="AE428" t="str">
        <v>hour</v>
      </c>
    </row>
    <row r="429" spans="1:31" hidden="1" x14ac:dyDescent="0.25">
      <c r="A429">
        <v>428</v>
      </c>
      <c r="B429">
        <v>2025</v>
      </c>
      <c r="C429">
        <v>8</v>
      </c>
      <c r="D429">
        <v>103</v>
      </c>
      <c r="E429">
        <v>1</v>
      </c>
      <c r="F429" t="str">
        <v/>
      </c>
      <c r="G429" s="167">
        <v>1</v>
      </c>
      <c r="H429" t="str">
        <v/>
      </c>
      <c r="I429" t="str">
        <v/>
      </c>
      <c r="J429">
        <v>1</v>
      </c>
      <c r="K429" s="167">
        <f ca="1"/>
        <v>3400</v>
      </c>
      <c r="L429" s="167">
        <f ca="1"/>
        <v>3400</v>
      </c>
      <c r="AA429">
        <v>31</v>
      </c>
      <c r="AB429">
        <v>7</v>
      </c>
      <c r="AC429" t="str">
        <v>99EM163</v>
      </c>
      <c r="AD429">
        <v>200</v>
      </c>
      <c r="AE429" t="str">
        <v>hour</v>
      </c>
    </row>
    <row r="430" spans="1:31" hidden="1" x14ac:dyDescent="0.25">
      <c r="A430">
        <v>429</v>
      </c>
      <c r="B430">
        <v>2025</v>
      </c>
      <c r="C430">
        <v>8</v>
      </c>
      <c r="D430">
        <v>110</v>
      </c>
      <c r="E430">
        <v>1</v>
      </c>
      <c r="F430" t="str">
        <v>99XC106</v>
      </c>
      <c r="G430" s="167">
        <v>6</v>
      </c>
      <c r="H430" t="str">
        <v>single</v>
      </c>
      <c r="I430" t="str">
        <v/>
      </c>
      <c r="J430">
        <v>1</v>
      </c>
      <c r="K430" s="167">
        <f ca="1"/>
        <v>221.42857142857142</v>
      </c>
      <c r="L430" s="167">
        <f ca="1"/>
        <v>1328.5714285714284</v>
      </c>
      <c r="AA430">
        <v>31</v>
      </c>
      <c r="AB430">
        <v>7</v>
      </c>
      <c r="AC430" t="str">
        <v>99KL663</v>
      </c>
      <c r="AD430">
        <v>57.999999999999993</v>
      </c>
      <c r="AE430" t="str">
        <v>hour</v>
      </c>
    </row>
    <row r="431" spans="1:31" hidden="1" x14ac:dyDescent="0.25">
      <c r="A431">
        <v>430</v>
      </c>
      <c r="B431">
        <v>2025</v>
      </c>
      <c r="C431">
        <v>9</v>
      </c>
      <c r="D431">
        <v>11</v>
      </c>
      <c r="E431">
        <v>9</v>
      </c>
      <c r="F431" t="str">
        <v/>
      </c>
      <c r="G431" s="167">
        <v>2</v>
      </c>
      <c r="H431" t="str">
        <v/>
      </c>
      <c r="I431" t="str">
        <v/>
      </c>
      <c r="J431">
        <v>1</v>
      </c>
      <c r="K431" s="167">
        <f ca="1"/>
        <v>5500</v>
      </c>
      <c r="L431" s="167">
        <f ca="1"/>
        <v>11000</v>
      </c>
      <c r="AA431">
        <v>31</v>
      </c>
      <c r="AB431">
        <v>7</v>
      </c>
      <c r="AC431" t="str">
        <v>99LM412</v>
      </c>
      <c r="AD431">
        <v>54.000000000000014</v>
      </c>
      <c r="AE431" t="str">
        <v>hour</v>
      </c>
    </row>
    <row r="432" spans="1:31" hidden="1" x14ac:dyDescent="0.25">
      <c r="A432">
        <v>431</v>
      </c>
      <c r="B432">
        <v>2025</v>
      </c>
      <c r="C432">
        <v>9</v>
      </c>
      <c r="D432">
        <v>11</v>
      </c>
      <c r="E432">
        <v>9</v>
      </c>
      <c r="F432" t="str">
        <v/>
      </c>
      <c r="G432" s="167">
        <v>10</v>
      </c>
      <c r="H432" t="str">
        <v/>
      </c>
      <c r="I432" t="str">
        <v/>
      </c>
      <c r="J432">
        <v>2</v>
      </c>
      <c r="K432" s="167">
        <f ca="1"/>
        <v>200</v>
      </c>
      <c r="L432" s="167">
        <f ca="1"/>
        <v>2000</v>
      </c>
      <c r="AA432">
        <v>31</v>
      </c>
      <c r="AB432">
        <v>7</v>
      </c>
      <c r="AC432" t="str">
        <v>99MN472</v>
      </c>
      <c r="AD432">
        <v>93</v>
      </c>
      <c r="AE432" t="str">
        <v>hour</v>
      </c>
    </row>
    <row r="433" spans="1:31" hidden="1" x14ac:dyDescent="0.25">
      <c r="A433">
        <v>432</v>
      </c>
      <c r="B433">
        <v>2025</v>
      </c>
      <c r="C433">
        <v>9</v>
      </c>
      <c r="D433">
        <v>14</v>
      </c>
      <c r="E433">
        <v>6</v>
      </c>
      <c r="F433" t="str">
        <v/>
      </c>
      <c r="G433" s="167">
        <v>1</v>
      </c>
      <c r="H433" t="str">
        <v/>
      </c>
      <c r="I433" t="str">
        <v/>
      </c>
      <c r="J433">
        <v>15</v>
      </c>
      <c r="K433" s="167">
        <f ca="1"/>
        <v>4000</v>
      </c>
      <c r="L433" s="167">
        <f ca="1"/>
        <v>4000</v>
      </c>
      <c r="AA433">
        <v>31</v>
      </c>
      <c r="AB433">
        <v>8</v>
      </c>
      <c r="AC433" t="str">
        <v>10RN527</v>
      </c>
      <c r="AD433">
        <v>67</v>
      </c>
      <c r="AE433" t="str">
        <v>hour</v>
      </c>
    </row>
    <row r="434" spans="1:31" hidden="1" x14ac:dyDescent="0.25">
      <c r="A434">
        <v>433</v>
      </c>
      <c r="B434">
        <v>2025</v>
      </c>
      <c r="C434">
        <v>9</v>
      </c>
      <c r="D434">
        <v>14</v>
      </c>
      <c r="E434">
        <v>6</v>
      </c>
      <c r="F434" t="str">
        <v/>
      </c>
      <c r="G434" s="167">
        <v>177</v>
      </c>
      <c r="H434" t="str">
        <v/>
      </c>
      <c r="I434" t="str">
        <v/>
      </c>
      <c r="J434">
        <v>16</v>
      </c>
      <c r="K434" s="167">
        <f ca="1"/>
        <v>3.5</v>
      </c>
      <c r="L434" s="167">
        <f ca="1"/>
        <v>619.5</v>
      </c>
      <c r="AA434">
        <v>31</v>
      </c>
      <c r="AB434">
        <v>8</v>
      </c>
      <c r="AC434" t="str">
        <v>50BD165</v>
      </c>
      <c r="AD434">
        <v>57.500000000000007</v>
      </c>
      <c r="AE434" t="str">
        <v>hour</v>
      </c>
    </row>
    <row r="435" spans="1:31" hidden="1" x14ac:dyDescent="0.25">
      <c r="A435">
        <v>434</v>
      </c>
      <c r="B435">
        <v>2025</v>
      </c>
      <c r="C435">
        <v>9</v>
      </c>
      <c r="D435">
        <v>30</v>
      </c>
      <c r="E435">
        <v>9</v>
      </c>
      <c r="F435" t="str">
        <v/>
      </c>
      <c r="G435" s="167">
        <v>1</v>
      </c>
      <c r="H435" t="str">
        <v/>
      </c>
      <c r="I435" t="str">
        <v/>
      </c>
      <c r="J435">
        <v>4</v>
      </c>
      <c r="K435" s="167">
        <f ca="1"/>
        <v>5500</v>
      </c>
      <c r="L435" s="167">
        <f ca="1"/>
        <v>5500</v>
      </c>
      <c r="AA435">
        <v>31</v>
      </c>
      <c r="AB435">
        <v>8</v>
      </c>
      <c r="AC435" t="str">
        <v>50BN724</v>
      </c>
      <c r="AD435">
        <v>69.999999999999986</v>
      </c>
      <c r="AE435" t="str">
        <v>hour</v>
      </c>
    </row>
    <row r="436" spans="1:31" hidden="1" x14ac:dyDescent="0.25">
      <c r="A436">
        <v>435</v>
      </c>
      <c r="B436">
        <v>2025</v>
      </c>
      <c r="C436">
        <v>9</v>
      </c>
      <c r="D436">
        <v>31</v>
      </c>
      <c r="E436">
        <v>8</v>
      </c>
      <c r="F436" t="str">
        <v>10RN527</v>
      </c>
      <c r="G436" s="167">
        <v>30</v>
      </c>
      <c r="H436" t="str">
        <v>single</v>
      </c>
      <c r="I436" t="str">
        <v/>
      </c>
      <c r="J436">
        <v>32</v>
      </c>
      <c r="K436" s="167">
        <f ca="1"/>
        <v>62.5</v>
      </c>
      <c r="L436" s="167">
        <f ca="1"/>
        <v>1875</v>
      </c>
      <c r="AA436">
        <v>31</v>
      </c>
      <c r="AB436">
        <v>8</v>
      </c>
      <c r="AC436" t="str">
        <v>50DK730</v>
      </c>
      <c r="AD436">
        <v>87</v>
      </c>
      <c r="AE436" t="str">
        <v>hour</v>
      </c>
    </row>
    <row r="437" spans="1:31" hidden="1" x14ac:dyDescent="0.25">
      <c r="A437">
        <v>436</v>
      </c>
      <c r="B437">
        <v>2025</v>
      </c>
      <c r="C437">
        <v>9</v>
      </c>
      <c r="D437">
        <v>31</v>
      </c>
      <c r="E437">
        <v>8</v>
      </c>
      <c r="F437" t="str">
        <v>50BD165</v>
      </c>
      <c r="G437" s="167">
        <v>29</v>
      </c>
      <c r="H437" t="str">
        <v>single</v>
      </c>
      <c r="I437" t="str">
        <v/>
      </c>
      <c r="J437">
        <v>41</v>
      </c>
      <c r="K437" s="167">
        <f ca="1"/>
        <v>55.36</v>
      </c>
      <c r="L437" s="167">
        <f ca="1"/>
        <v>1605.44</v>
      </c>
      <c r="AA437">
        <v>31</v>
      </c>
      <c r="AB437">
        <v>8</v>
      </c>
      <c r="AC437" t="str">
        <v>50EF902</v>
      </c>
      <c r="AD437">
        <v>21.999999999999972</v>
      </c>
      <c r="AE437" t="str">
        <v>hour</v>
      </c>
    </row>
    <row r="438" spans="1:31" hidden="1" x14ac:dyDescent="0.25">
      <c r="A438">
        <v>437</v>
      </c>
      <c r="B438">
        <v>2025</v>
      </c>
      <c r="C438">
        <v>9</v>
      </c>
      <c r="D438">
        <v>31</v>
      </c>
      <c r="E438">
        <v>8</v>
      </c>
      <c r="F438" t="str">
        <v>50BN724</v>
      </c>
      <c r="G438" s="167">
        <v>30</v>
      </c>
      <c r="H438" t="str">
        <v>single</v>
      </c>
      <c r="I438" t="str">
        <v/>
      </c>
      <c r="J438">
        <v>43</v>
      </c>
      <c r="K438" s="167">
        <f ca="1"/>
        <v>66.069999999999993</v>
      </c>
      <c r="L438" s="167">
        <f ca="1"/>
        <v>1982.1</v>
      </c>
      <c r="AA438">
        <v>31</v>
      </c>
      <c r="AB438">
        <v>8</v>
      </c>
      <c r="AC438" t="str">
        <v>55CB633</v>
      </c>
      <c r="AD438">
        <v>114.99999999999999</v>
      </c>
      <c r="AE438" t="str">
        <v>hour</v>
      </c>
    </row>
    <row r="439" spans="1:31" hidden="1" x14ac:dyDescent="0.25">
      <c r="A439">
        <v>438</v>
      </c>
      <c r="B439">
        <v>2025</v>
      </c>
      <c r="C439">
        <v>9</v>
      </c>
      <c r="D439">
        <v>31</v>
      </c>
      <c r="E439">
        <v>8</v>
      </c>
      <c r="F439" t="str">
        <v>50CN929</v>
      </c>
      <c r="G439" s="167">
        <v>29</v>
      </c>
      <c r="H439" t="str">
        <v>single</v>
      </c>
      <c r="I439" t="str">
        <v/>
      </c>
      <c r="J439">
        <v>45</v>
      </c>
      <c r="K439" s="167">
        <f ca="1"/>
        <v>55.36</v>
      </c>
      <c r="L439" s="167">
        <f ca="1"/>
        <v>1605.44</v>
      </c>
      <c r="AA439">
        <v>31</v>
      </c>
      <c r="AB439">
        <v>8</v>
      </c>
      <c r="AC439" t="str">
        <v>77UR032</v>
      </c>
      <c r="AD439">
        <v>32.999999999999986</v>
      </c>
      <c r="AE439" t="str">
        <v>hour</v>
      </c>
    </row>
    <row r="440" spans="1:31" hidden="1" x14ac:dyDescent="0.25">
      <c r="A440">
        <v>439</v>
      </c>
      <c r="B440">
        <v>2025</v>
      </c>
      <c r="C440">
        <v>9</v>
      </c>
      <c r="D440">
        <v>31</v>
      </c>
      <c r="E440">
        <v>8</v>
      </c>
      <c r="F440" t="str">
        <v>50DK730</v>
      </c>
      <c r="G440" s="167">
        <v>29</v>
      </c>
      <c r="H440" t="str">
        <v>single</v>
      </c>
      <c r="I440" t="str">
        <v/>
      </c>
      <c r="J440">
        <v>47</v>
      </c>
      <c r="K440" s="167">
        <f ca="1"/>
        <v>55.36</v>
      </c>
      <c r="L440" s="167">
        <f ca="1"/>
        <v>1605.44</v>
      </c>
      <c r="AA440">
        <v>31</v>
      </c>
      <c r="AB440">
        <v>8</v>
      </c>
      <c r="AC440" t="str">
        <v>90LS143</v>
      </c>
      <c r="AD440">
        <v>30.999999999999986</v>
      </c>
      <c r="AE440" t="str">
        <v>hour</v>
      </c>
    </row>
    <row r="441" spans="1:31" hidden="1" x14ac:dyDescent="0.25">
      <c r="A441">
        <v>440</v>
      </c>
      <c r="B441">
        <v>2025</v>
      </c>
      <c r="C441">
        <v>9</v>
      </c>
      <c r="D441">
        <v>31</v>
      </c>
      <c r="E441">
        <v>8</v>
      </c>
      <c r="F441" t="str">
        <v>50EF902</v>
      </c>
      <c r="G441" s="167">
        <v>30</v>
      </c>
      <c r="H441" t="str">
        <v>single</v>
      </c>
      <c r="I441" t="str">
        <v/>
      </c>
      <c r="J441">
        <v>49</v>
      </c>
      <c r="K441" s="167">
        <f ca="1"/>
        <v>62.5</v>
      </c>
      <c r="L441" s="167">
        <f ca="1"/>
        <v>1875</v>
      </c>
      <c r="AA441">
        <v>31</v>
      </c>
      <c r="AB441">
        <v>8</v>
      </c>
      <c r="AC441" t="str">
        <v>90SL686</v>
      </c>
      <c r="AD441">
        <v>46.999999999999986</v>
      </c>
      <c r="AE441" t="str">
        <v>hour</v>
      </c>
    </row>
    <row r="442" spans="1:31" hidden="1" x14ac:dyDescent="0.25">
      <c r="A442">
        <v>441</v>
      </c>
      <c r="B442">
        <v>2025</v>
      </c>
      <c r="C442">
        <v>9</v>
      </c>
      <c r="D442">
        <v>31</v>
      </c>
      <c r="E442">
        <v>8</v>
      </c>
      <c r="F442" t="str">
        <v>55CB633</v>
      </c>
      <c r="G442" s="167">
        <v>27</v>
      </c>
      <c r="H442" t="str">
        <v>single</v>
      </c>
      <c r="I442" t="str">
        <v/>
      </c>
      <c r="J442">
        <v>57</v>
      </c>
      <c r="K442" s="167">
        <f ca="1"/>
        <v>55.36</v>
      </c>
      <c r="L442" s="167">
        <f ca="1"/>
        <v>1494.72</v>
      </c>
      <c r="AA442">
        <v>31</v>
      </c>
      <c r="AB442">
        <v>8</v>
      </c>
      <c r="AC442" t="str">
        <v>90VS316</v>
      </c>
      <c r="AD442">
        <v>97.999999999999986</v>
      </c>
      <c r="AE442" t="str">
        <v>hour</v>
      </c>
    </row>
    <row r="443" spans="1:31" hidden="1" x14ac:dyDescent="0.25">
      <c r="A443">
        <v>442</v>
      </c>
      <c r="B443">
        <v>2025</v>
      </c>
      <c r="C443">
        <v>9</v>
      </c>
      <c r="D443">
        <v>31</v>
      </c>
      <c r="E443">
        <v>8</v>
      </c>
      <c r="F443" t="str">
        <v>77AT386</v>
      </c>
      <c r="G443" s="167">
        <v>30</v>
      </c>
      <c r="H443" t="str">
        <v>single</v>
      </c>
      <c r="I443" t="str">
        <v/>
      </c>
      <c r="J443">
        <v>13</v>
      </c>
      <c r="K443" s="167">
        <f ca="1"/>
        <v>46.67</v>
      </c>
      <c r="L443" s="167">
        <f ca="1"/>
        <v>1400.1000000000001</v>
      </c>
      <c r="AA443">
        <v>31</v>
      </c>
      <c r="AB443">
        <v>8</v>
      </c>
      <c r="AC443" t="str">
        <v>99BT339</v>
      </c>
      <c r="AD443">
        <v>50.999999999999986</v>
      </c>
      <c r="AE443" t="str">
        <v>hour</v>
      </c>
    </row>
    <row r="444" spans="1:31" hidden="1" x14ac:dyDescent="0.25">
      <c r="A444">
        <v>443</v>
      </c>
      <c r="B444">
        <v>2025</v>
      </c>
      <c r="C444">
        <v>9</v>
      </c>
      <c r="D444">
        <v>31</v>
      </c>
      <c r="E444">
        <v>8</v>
      </c>
      <c r="F444" t="str">
        <v>77QE133</v>
      </c>
      <c r="G444" s="167">
        <v>8</v>
      </c>
      <c r="H444" t="str">
        <v>single</v>
      </c>
      <c r="I444" t="str">
        <v/>
      </c>
      <c r="J444">
        <v>69</v>
      </c>
      <c r="K444" s="167">
        <f ca="1"/>
        <v>73.33</v>
      </c>
      <c r="L444" s="167">
        <f ca="1"/>
        <v>586.64</v>
      </c>
      <c r="AA444">
        <v>31</v>
      </c>
      <c r="AB444">
        <v>8</v>
      </c>
      <c r="AC444" t="str">
        <v>99CN447</v>
      </c>
      <c r="AD444">
        <v>29.999999999999986</v>
      </c>
      <c r="AE444" t="str">
        <v>hour</v>
      </c>
    </row>
    <row r="445" spans="1:31" hidden="1" x14ac:dyDescent="0.25">
      <c r="A445">
        <v>444</v>
      </c>
      <c r="B445">
        <v>2025</v>
      </c>
      <c r="C445">
        <v>9</v>
      </c>
      <c r="D445">
        <v>31</v>
      </c>
      <c r="E445">
        <v>8</v>
      </c>
      <c r="F445" t="str">
        <v>77SR538</v>
      </c>
      <c r="G445" s="167">
        <v>30</v>
      </c>
      <c r="H445" t="str">
        <v>single</v>
      </c>
      <c r="I445" t="str">
        <v/>
      </c>
      <c r="J445">
        <v>73</v>
      </c>
      <c r="K445" s="167">
        <f ca="1"/>
        <v>73.33</v>
      </c>
      <c r="L445" s="167">
        <f ca="1"/>
        <v>2199.9</v>
      </c>
      <c r="AA445">
        <v>31</v>
      </c>
      <c r="AB445">
        <v>8</v>
      </c>
      <c r="AC445" t="str">
        <v>99FO779</v>
      </c>
      <c r="AD445">
        <v>44.000000000000014</v>
      </c>
      <c r="AE445" t="str">
        <v>hour</v>
      </c>
    </row>
    <row r="446" spans="1:31" hidden="1" x14ac:dyDescent="0.25">
      <c r="A446">
        <v>445</v>
      </c>
      <c r="B446">
        <v>2025</v>
      </c>
      <c r="C446">
        <v>9</v>
      </c>
      <c r="D446">
        <v>31</v>
      </c>
      <c r="E446">
        <v>8</v>
      </c>
      <c r="F446" t="str">
        <v>77TG971</v>
      </c>
      <c r="G446" s="167">
        <v>29</v>
      </c>
      <c r="H446" t="str">
        <v>single</v>
      </c>
      <c r="I446" t="str">
        <v/>
      </c>
      <c r="J446">
        <v>75</v>
      </c>
      <c r="K446" s="167">
        <f ca="1"/>
        <v>55.36</v>
      </c>
      <c r="L446" s="167">
        <f ca="1"/>
        <v>1605.44</v>
      </c>
      <c r="AA446">
        <v>31</v>
      </c>
      <c r="AB446">
        <v>8</v>
      </c>
      <c r="AC446" t="str">
        <v>99KL663</v>
      </c>
      <c r="AD446">
        <v>37.999999999999986</v>
      </c>
      <c r="AE446" t="str">
        <v>hour</v>
      </c>
    </row>
    <row r="447" spans="1:31" hidden="1" x14ac:dyDescent="0.25">
      <c r="A447">
        <v>446</v>
      </c>
      <c r="B447">
        <v>2025</v>
      </c>
      <c r="C447">
        <v>9</v>
      </c>
      <c r="D447">
        <v>31</v>
      </c>
      <c r="E447">
        <v>8</v>
      </c>
      <c r="F447" t="str">
        <v>77UR032</v>
      </c>
      <c r="G447" s="167">
        <v>27</v>
      </c>
      <c r="H447" t="str">
        <v>single</v>
      </c>
      <c r="I447" t="str">
        <v/>
      </c>
      <c r="J447">
        <v>77</v>
      </c>
      <c r="K447" s="167">
        <f ca="1"/>
        <v>55.36</v>
      </c>
      <c r="L447" s="167">
        <f ca="1"/>
        <v>1494.72</v>
      </c>
      <c r="AA447">
        <v>31</v>
      </c>
      <c r="AB447">
        <v>8</v>
      </c>
      <c r="AC447" t="str">
        <v>99LM412</v>
      </c>
      <c r="AD447">
        <v>49.999999999999986</v>
      </c>
      <c r="AE447" t="str">
        <v>hour</v>
      </c>
    </row>
    <row r="448" spans="1:31" hidden="1" x14ac:dyDescent="0.25">
      <c r="A448">
        <v>447</v>
      </c>
      <c r="B448">
        <v>2025</v>
      </c>
      <c r="C448">
        <v>9</v>
      </c>
      <c r="D448">
        <v>31</v>
      </c>
      <c r="E448">
        <v>8</v>
      </c>
      <c r="F448" t="str">
        <v>77VL420</v>
      </c>
      <c r="G448" s="167">
        <v>15</v>
      </c>
      <c r="H448" t="str">
        <v>single</v>
      </c>
      <c r="I448" t="str">
        <v/>
      </c>
      <c r="J448">
        <v>118</v>
      </c>
      <c r="K448" s="167">
        <f ca="1"/>
        <v>275</v>
      </c>
      <c r="L448" s="167">
        <f ca="1"/>
        <v>4125</v>
      </c>
      <c r="AA448">
        <v>31</v>
      </c>
      <c r="AB448">
        <v>8</v>
      </c>
      <c r="AC448" t="str">
        <v>99MN472</v>
      </c>
      <c r="AD448">
        <v>90</v>
      </c>
      <c r="AE448" t="str">
        <v>hour</v>
      </c>
    </row>
    <row r="449" spans="1:31" hidden="1" x14ac:dyDescent="0.25">
      <c r="A449">
        <v>448</v>
      </c>
      <c r="B449">
        <v>2025</v>
      </c>
      <c r="C449">
        <v>9</v>
      </c>
      <c r="D449">
        <v>31</v>
      </c>
      <c r="E449">
        <v>8</v>
      </c>
      <c r="F449" t="str">
        <v>90LS143</v>
      </c>
      <c r="G449" s="167">
        <v>27</v>
      </c>
      <c r="H449" t="str">
        <v>single</v>
      </c>
      <c r="I449" t="str">
        <v/>
      </c>
      <c r="J449">
        <v>81</v>
      </c>
      <c r="K449" s="167">
        <f ca="1"/>
        <v>55.36</v>
      </c>
      <c r="L449" s="167">
        <f ca="1"/>
        <v>1494.72</v>
      </c>
      <c r="AA449">
        <v>31</v>
      </c>
      <c r="AB449">
        <v>8</v>
      </c>
      <c r="AC449" t="str">
        <v>99UK314</v>
      </c>
      <c r="AD449">
        <v>90</v>
      </c>
      <c r="AE449" t="str">
        <v>hour</v>
      </c>
    </row>
    <row r="450" spans="1:31" hidden="1" x14ac:dyDescent="0.25">
      <c r="A450">
        <v>449</v>
      </c>
      <c r="B450">
        <v>2025</v>
      </c>
      <c r="C450">
        <v>9</v>
      </c>
      <c r="D450">
        <v>31</v>
      </c>
      <c r="E450">
        <v>8</v>
      </c>
      <c r="F450" t="str">
        <v>90OE402</v>
      </c>
      <c r="G450" s="167">
        <v>30</v>
      </c>
      <c r="H450" t="str">
        <v>single</v>
      </c>
      <c r="I450" t="str">
        <v/>
      </c>
      <c r="J450">
        <v>83</v>
      </c>
      <c r="K450" s="167">
        <f ca="1"/>
        <v>73.33</v>
      </c>
      <c r="L450" s="167">
        <f ca="1"/>
        <v>2199.9</v>
      </c>
      <c r="AA450">
        <v>31</v>
      </c>
      <c r="AB450">
        <v>9</v>
      </c>
      <c r="AC450" t="str">
        <v>10RN527</v>
      </c>
      <c r="AD450">
        <v>87</v>
      </c>
      <c r="AE450" t="str">
        <v>hour</v>
      </c>
    </row>
    <row r="451" spans="1:31" hidden="1" x14ac:dyDescent="0.25">
      <c r="A451">
        <v>450</v>
      </c>
      <c r="B451">
        <v>2025</v>
      </c>
      <c r="C451">
        <v>9</v>
      </c>
      <c r="D451">
        <v>31</v>
      </c>
      <c r="E451">
        <v>8</v>
      </c>
      <c r="F451" t="str">
        <v>90PY548</v>
      </c>
      <c r="G451" s="167">
        <v>30</v>
      </c>
      <c r="H451" t="str">
        <v>single</v>
      </c>
      <c r="I451" t="str">
        <v/>
      </c>
      <c r="J451">
        <v>85</v>
      </c>
      <c r="K451" s="167">
        <f ca="1"/>
        <v>40</v>
      </c>
      <c r="L451" s="167">
        <f ca="1"/>
        <v>1200</v>
      </c>
      <c r="AA451">
        <v>31</v>
      </c>
      <c r="AB451">
        <v>9</v>
      </c>
      <c r="AC451" t="str">
        <v>21BF442</v>
      </c>
      <c r="AD451">
        <v>87</v>
      </c>
      <c r="AE451" t="str">
        <v>hour</v>
      </c>
    </row>
    <row r="452" spans="1:31" hidden="1" x14ac:dyDescent="0.25">
      <c r="A452">
        <v>451</v>
      </c>
      <c r="B452">
        <v>2025</v>
      </c>
      <c r="C452">
        <v>9</v>
      </c>
      <c r="D452">
        <v>31</v>
      </c>
      <c r="E452">
        <v>8</v>
      </c>
      <c r="F452" t="str">
        <v>90SL686</v>
      </c>
      <c r="G452" s="167">
        <v>11</v>
      </c>
      <c r="H452" t="str">
        <v>single</v>
      </c>
      <c r="I452" t="str">
        <v/>
      </c>
      <c r="J452">
        <v>19</v>
      </c>
      <c r="K452" s="167">
        <f ca="1"/>
        <v>58.93</v>
      </c>
      <c r="L452" s="167">
        <f ca="1"/>
        <v>648.23</v>
      </c>
      <c r="AA452">
        <v>31</v>
      </c>
      <c r="AB452">
        <v>9</v>
      </c>
      <c r="AC452" t="str">
        <v>50BD165</v>
      </c>
      <c r="AD452">
        <v>28.999999999999975</v>
      </c>
      <c r="AE452" t="str">
        <v>hour</v>
      </c>
    </row>
    <row r="453" spans="1:31" hidden="1" x14ac:dyDescent="0.25">
      <c r="A453">
        <v>452</v>
      </c>
      <c r="B453">
        <v>2025</v>
      </c>
      <c r="C453">
        <v>9</v>
      </c>
      <c r="D453">
        <v>31</v>
      </c>
      <c r="E453">
        <v>8</v>
      </c>
      <c r="F453" t="str">
        <v>90VS316</v>
      </c>
      <c r="G453" s="167">
        <v>29</v>
      </c>
      <c r="H453" t="str">
        <v>single</v>
      </c>
      <c r="I453" t="str">
        <v/>
      </c>
      <c r="J453">
        <v>87</v>
      </c>
      <c r="K453" s="167">
        <f ca="1"/>
        <v>55.36</v>
      </c>
      <c r="L453" s="167">
        <f ca="1"/>
        <v>1605.44</v>
      </c>
      <c r="AA453">
        <v>31</v>
      </c>
      <c r="AB453">
        <v>9</v>
      </c>
      <c r="AC453" t="str">
        <v>50BN724</v>
      </c>
      <c r="AD453">
        <v>35.999999999999943</v>
      </c>
      <c r="AE453" t="str">
        <v>hour</v>
      </c>
    </row>
    <row r="454" spans="1:31" hidden="1" x14ac:dyDescent="0.25">
      <c r="A454">
        <v>453</v>
      </c>
      <c r="B454">
        <v>2025</v>
      </c>
      <c r="C454">
        <v>9</v>
      </c>
      <c r="D454">
        <v>31</v>
      </c>
      <c r="E454">
        <v>8</v>
      </c>
      <c r="F454" t="str">
        <v>99BT339</v>
      </c>
      <c r="G454" s="167">
        <v>29</v>
      </c>
      <c r="H454" t="str">
        <v>single</v>
      </c>
      <c r="I454" t="str">
        <v/>
      </c>
      <c r="J454">
        <v>93</v>
      </c>
      <c r="K454" s="167">
        <f ca="1"/>
        <v>55.36</v>
      </c>
      <c r="L454" s="167">
        <f ca="1"/>
        <v>1605.44</v>
      </c>
      <c r="AA454">
        <v>31</v>
      </c>
      <c r="AB454">
        <v>9</v>
      </c>
      <c r="AC454" t="str">
        <v>50CN929</v>
      </c>
      <c r="AD454">
        <v>72</v>
      </c>
      <c r="AE454" t="str">
        <v>hour</v>
      </c>
    </row>
    <row r="455" spans="1:31" hidden="1" x14ac:dyDescent="0.25">
      <c r="A455">
        <v>454</v>
      </c>
      <c r="B455">
        <v>2025</v>
      </c>
      <c r="C455">
        <v>9</v>
      </c>
      <c r="D455">
        <v>31</v>
      </c>
      <c r="E455">
        <v>8</v>
      </c>
      <c r="F455" t="str">
        <v>99CN447</v>
      </c>
      <c r="G455" s="167">
        <v>24</v>
      </c>
      <c r="H455" t="str">
        <v>single</v>
      </c>
      <c r="I455" t="str">
        <v/>
      </c>
      <c r="J455">
        <v>94</v>
      </c>
      <c r="K455" s="167">
        <f ca="1"/>
        <v>55.36</v>
      </c>
      <c r="L455" s="167">
        <f ca="1"/>
        <v>1328.6399999999999</v>
      </c>
      <c r="AA455">
        <v>31</v>
      </c>
      <c r="AB455">
        <v>9</v>
      </c>
      <c r="AC455" t="str">
        <v>50DK730</v>
      </c>
      <c r="AD455">
        <v>90</v>
      </c>
      <c r="AE455" t="str">
        <v>hour</v>
      </c>
    </row>
    <row r="456" spans="1:31" hidden="1" x14ac:dyDescent="0.25">
      <c r="A456">
        <v>455</v>
      </c>
      <c r="B456">
        <v>2025</v>
      </c>
      <c r="C456">
        <v>9</v>
      </c>
      <c r="D456">
        <v>31</v>
      </c>
      <c r="E456">
        <v>8</v>
      </c>
      <c r="F456" t="str">
        <v>99FO779</v>
      </c>
      <c r="G456" s="167">
        <v>22</v>
      </c>
      <c r="H456" t="str">
        <v>single</v>
      </c>
      <c r="I456" t="str">
        <v/>
      </c>
      <c r="J456">
        <v>101</v>
      </c>
      <c r="K456" s="167">
        <f ca="1"/>
        <v>66.069999999999993</v>
      </c>
      <c r="L456" s="167">
        <f ca="1"/>
        <v>1453.54</v>
      </c>
      <c r="AA456">
        <v>31</v>
      </c>
      <c r="AB456">
        <v>9</v>
      </c>
      <c r="AC456" t="str">
        <v>50EF902</v>
      </c>
      <c r="AD456">
        <v>63.999999999999943</v>
      </c>
      <c r="AE456" t="str">
        <v>hour</v>
      </c>
    </row>
    <row r="457" spans="1:31" hidden="1" x14ac:dyDescent="0.25">
      <c r="A457">
        <v>456</v>
      </c>
      <c r="B457">
        <v>2025</v>
      </c>
      <c r="C457">
        <v>9</v>
      </c>
      <c r="D457">
        <v>31</v>
      </c>
      <c r="E457">
        <v>8</v>
      </c>
      <c r="F457" t="str">
        <v>99HZ395</v>
      </c>
      <c r="G457" s="167">
        <v>30</v>
      </c>
      <c r="H457" t="str">
        <v>single</v>
      </c>
      <c r="I457" t="str">
        <v/>
      </c>
      <c r="J457">
        <v>3</v>
      </c>
      <c r="K457" s="167">
        <f ca="1"/>
        <v>65</v>
      </c>
      <c r="L457" s="167">
        <f ca="1"/>
        <v>1950</v>
      </c>
      <c r="AA457">
        <v>31</v>
      </c>
      <c r="AB457">
        <v>9</v>
      </c>
      <c r="AC457" t="str">
        <v>50FB264</v>
      </c>
      <c r="AD457">
        <v>44.999999999999957</v>
      </c>
      <c r="AE457" t="str">
        <v>hour</v>
      </c>
    </row>
    <row r="458" spans="1:31" hidden="1" x14ac:dyDescent="0.25">
      <c r="A458">
        <v>457</v>
      </c>
      <c r="B458">
        <v>2025</v>
      </c>
      <c r="C458">
        <v>9</v>
      </c>
      <c r="D458">
        <v>31</v>
      </c>
      <c r="E458">
        <v>8</v>
      </c>
      <c r="F458" t="str">
        <v>99KL663</v>
      </c>
      <c r="G458" s="167">
        <v>29</v>
      </c>
      <c r="H458" t="str">
        <v>single</v>
      </c>
      <c r="I458" t="str">
        <v/>
      </c>
      <c r="J458">
        <v>106</v>
      </c>
      <c r="K458" s="167">
        <f ca="1"/>
        <v>55.36</v>
      </c>
      <c r="L458" s="167">
        <f ca="1"/>
        <v>1605.44</v>
      </c>
      <c r="AA458">
        <v>31</v>
      </c>
      <c r="AB458">
        <v>9</v>
      </c>
      <c r="AC458" t="str">
        <v>55CB633</v>
      </c>
      <c r="AD458">
        <v>89</v>
      </c>
      <c r="AE458" t="str">
        <v>hour</v>
      </c>
    </row>
    <row r="459" spans="1:31" hidden="1" x14ac:dyDescent="0.25">
      <c r="A459">
        <v>458</v>
      </c>
      <c r="B459">
        <v>2025</v>
      </c>
      <c r="C459">
        <v>9</v>
      </c>
      <c r="D459">
        <v>31</v>
      </c>
      <c r="E459">
        <v>8</v>
      </c>
      <c r="F459" t="str">
        <v>99LM412</v>
      </c>
      <c r="G459" s="167">
        <v>30</v>
      </c>
      <c r="H459" t="str">
        <v>single</v>
      </c>
      <c r="I459" t="str">
        <v/>
      </c>
      <c r="J459">
        <v>116</v>
      </c>
      <c r="K459" s="167">
        <f ca="1"/>
        <v>55.36</v>
      </c>
      <c r="L459" s="167">
        <f ca="1"/>
        <v>1660.8</v>
      </c>
      <c r="AA459">
        <v>31</v>
      </c>
      <c r="AB459">
        <v>9</v>
      </c>
      <c r="AC459" t="str">
        <v>77TG971</v>
      </c>
      <c r="AD459">
        <v>7.9999999999999858</v>
      </c>
      <c r="AE459" t="str">
        <v>hour</v>
      </c>
    </row>
    <row r="460" spans="1:31" hidden="1" x14ac:dyDescent="0.25">
      <c r="A460">
        <v>459</v>
      </c>
      <c r="B460">
        <v>2025</v>
      </c>
      <c r="C460">
        <v>9</v>
      </c>
      <c r="D460">
        <v>31</v>
      </c>
      <c r="E460">
        <v>8</v>
      </c>
      <c r="F460" t="str">
        <v>99MN472</v>
      </c>
      <c r="G460" s="167">
        <v>30</v>
      </c>
      <c r="H460" t="str">
        <v>single</v>
      </c>
      <c r="I460" t="str">
        <v/>
      </c>
      <c r="J460">
        <v>108</v>
      </c>
      <c r="K460" s="167">
        <f ca="1"/>
        <v>55.36</v>
      </c>
      <c r="L460" s="167">
        <f ca="1"/>
        <v>1660.8</v>
      </c>
      <c r="AA460">
        <v>31</v>
      </c>
      <c r="AB460">
        <v>9</v>
      </c>
      <c r="AC460" t="str">
        <v>90EC344</v>
      </c>
      <c r="AD460">
        <v>41</v>
      </c>
      <c r="AE460" t="str">
        <v>hour</v>
      </c>
    </row>
    <row r="461" spans="1:31" hidden="1" x14ac:dyDescent="0.25">
      <c r="A461">
        <v>460</v>
      </c>
      <c r="B461">
        <v>2025</v>
      </c>
      <c r="C461">
        <v>9</v>
      </c>
      <c r="D461">
        <v>31</v>
      </c>
      <c r="E461">
        <v>8</v>
      </c>
      <c r="F461" t="str">
        <v>99OR961</v>
      </c>
      <c r="G461" s="167">
        <v>25</v>
      </c>
      <c r="H461" t="str">
        <v>single</v>
      </c>
      <c r="I461" t="str">
        <v/>
      </c>
      <c r="J461">
        <v>109</v>
      </c>
      <c r="K461" s="167">
        <f ca="1"/>
        <v>55.36</v>
      </c>
      <c r="L461" s="167">
        <f ca="1"/>
        <v>1384</v>
      </c>
      <c r="AA461">
        <v>31</v>
      </c>
      <c r="AB461">
        <v>9</v>
      </c>
      <c r="AC461" t="str">
        <v>90LS143</v>
      </c>
      <c r="AD461">
        <v>25.999999999999986</v>
      </c>
      <c r="AE461" t="str">
        <v>hour</v>
      </c>
    </row>
    <row r="462" spans="1:31" hidden="1" x14ac:dyDescent="0.25">
      <c r="A462">
        <v>461</v>
      </c>
      <c r="B462">
        <v>2025</v>
      </c>
      <c r="C462">
        <v>9</v>
      </c>
      <c r="D462">
        <v>31</v>
      </c>
      <c r="E462">
        <v>8</v>
      </c>
      <c r="F462" t="str">
        <v>99UK314</v>
      </c>
      <c r="G462" s="167">
        <v>25</v>
      </c>
      <c r="H462" t="str">
        <v>single</v>
      </c>
      <c r="I462" t="str">
        <v/>
      </c>
      <c r="J462">
        <v>114</v>
      </c>
      <c r="K462" s="167">
        <f ca="1"/>
        <v>58.93</v>
      </c>
      <c r="L462" s="167">
        <f ca="1"/>
        <v>1473.25</v>
      </c>
      <c r="AA462">
        <v>31</v>
      </c>
      <c r="AB462">
        <v>9</v>
      </c>
      <c r="AC462" t="str">
        <v>90VS316</v>
      </c>
      <c r="AD462">
        <v>76.999999999999986</v>
      </c>
      <c r="AE462" t="str">
        <v>hour</v>
      </c>
    </row>
    <row r="463" spans="1:31" hidden="1" x14ac:dyDescent="0.25">
      <c r="A463">
        <v>462</v>
      </c>
      <c r="B463">
        <v>2025</v>
      </c>
      <c r="C463">
        <v>9</v>
      </c>
      <c r="D463">
        <v>31</v>
      </c>
      <c r="E463">
        <v>8</v>
      </c>
      <c r="F463" t="str">
        <v>90YN163</v>
      </c>
      <c r="G463" s="167">
        <v>2</v>
      </c>
      <c r="H463" t="str">
        <v>single</v>
      </c>
      <c r="I463" t="str">
        <v/>
      </c>
      <c r="J463">
        <v>89</v>
      </c>
      <c r="K463" s="167">
        <f ca="1"/>
        <v>40</v>
      </c>
      <c r="L463" s="167">
        <f ca="1"/>
        <v>80</v>
      </c>
      <c r="AA463">
        <v>31</v>
      </c>
      <c r="AB463">
        <v>9</v>
      </c>
      <c r="AC463" t="str">
        <v>99BT339</v>
      </c>
      <c r="AD463">
        <v>55.999999999999972</v>
      </c>
      <c r="AE463" t="str">
        <v>hour</v>
      </c>
    </row>
    <row r="464" spans="1:31" hidden="1" x14ac:dyDescent="0.25">
      <c r="A464">
        <v>463</v>
      </c>
      <c r="B464">
        <v>2025</v>
      </c>
      <c r="C464">
        <v>9</v>
      </c>
      <c r="D464">
        <v>31</v>
      </c>
      <c r="E464">
        <v>8</v>
      </c>
      <c r="F464" t="str">
        <v>77GR998</v>
      </c>
      <c r="G464" s="167">
        <v>30</v>
      </c>
      <c r="H464" t="str">
        <v>double</v>
      </c>
      <c r="I464" t="str">
        <v/>
      </c>
      <c r="J464">
        <v>63</v>
      </c>
      <c r="K464" s="167">
        <f ca="1"/>
        <v>99.65</v>
      </c>
      <c r="L464" s="167">
        <f ca="1"/>
        <v>2989.5</v>
      </c>
      <c r="AA464">
        <v>31</v>
      </c>
      <c r="AB464">
        <v>9</v>
      </c>
      <c r="AC464" t="str">
        <v>99CN447</v>
      </c>
      <c r="AD464">
        <v>73.999999999999972</v>
      </c>
      <c r="AE464" t="str">
        <v>hour</v>
      </c>
    </row>
    <row r="465" spans="1:31" hidden="1" x14ac:dyDescent="0.25">
      <c r="A465">
        <v>464</v>
      </c>
      <c r="B465">
        <v>2025</v>
      </c>
      <c r="C465">
        <v>9</v>
      </c>
      <c r="D465">
        <v>31</v>
      </c>
      <c r="E465">
        <v>8</v>
      </c>
      <c r="F465" t="str">
        <v>99EM163</v>
      </c>
      <c r="G465" s="167">
        <v>28</v>
      </c>
      <c r="H465" t="str">
        <v>double</v>
      </c>
      <c r="I465" t="str">
        <v/>
      </c>
      <c r="J465">
        <v>98</v>
      </c>
      <c r="K465" s="167">
        <f ca="1"/>
        <v>99.65</v>
      </c>
      <c r="L465" s="167">
        <f ca="1"/>
        <v>2790.2000000000003</v>
      </c>
      <c r="AA465">
        <v>31</v>
      </c>
      <c r="AB465">
        <v>9</v>
      </c>
      <c r="AC465" t="str">
        <v>99FO779</v>
      </c>
      <c r="AD465">
        <v>86.999999999999986</v>
      </c>
      <c r="AE465" t="str">
        <v>hour</v>
      </c>
    </row>
    <row r="466" spans="1:31" hidden="1" x14ac:dyDescent="0.25">
      <c r="A466">
        <v>465</v>
      </c>
      <c r="B466">
        <v>2025</v>
      </c>
      <c r="C466">
        <v>9</v>
      </c>
      <c r="D466">
        <v>31</v>
      </c>
      <c r="E466">
        <v>8</v>
      </c>
      <c r="F466" t="str">
        <v>10RN527</v>
      </c>
      <c r="G466" s="167">
        <v>67</v>
      </c>
      <c r="H466" t="str">
        <v>hour</v>
      </c>
      <c r="I466" t="str">
        <v/>
      </c>
      <c r="J466">
        <v>30</v>
      </c>
      <c r="K466" s="167">
        <f ca="1"/>
        <v>6.25</v>
      </c>
      <c r="L466" s="167">
        <f ca="1"/>
        <v>418.75</v>
      </c>
      <c r="AA466">
        <v>31</v>
      </c>
      <c r="AB466">
        <v>9</v>
      </c>
      <c r="AC466" t="str">
        <v>99KL663</v>
      </c>
      <c r="AD466">
        <v>74.999999999999986</v>
      </c>
      <c r="AE466" t="str">
        <v>hour</v>
      </c>
    </row>
    <row r="467" spans="1:31" hidden="1" x14ac:dyDescent="0.25">
      <c r="A467">
        <v>466</v>
      </c>
      <c r="B467">
        <v>2025</v>
      </c>
      <c r="C467">
        <v>9</v>
      </c>
      <c r="D467">
        <v>31</v>
      </c>
      <c r="E467">
        <v>8</v>
      </c>
      <c r="F467" t="str">
        <v>50BD165</v>
      </c>
      <c r="G467" s="167">
        <v>57.500000000000007</v>
      </c>
      <c r="H467" t="str">
        <v>hour</v>
      </c>
      <c r="I467" t="str">
        <v/>
      </c>
      <c r="J467">
        <v>40</v>
      </c>
      <c r="K467" s="167">
        <f ca="1"/>
        <v>5.5359999999999996</v>
      </c>
      <c r="L467" s="167">
        <f ca="1"/>
        <v>318.32</v>
      </c>
      <c r="AA467">
        <v>31</v>
      </c>
      <c r="AB467">
        <v>9</v>
      </c>
      <c r="AC467" t="str">
        <v>99LM412</v>
      </c>
      <c r="AD467">
        <v>49.999999999999943</v>
      </c>
      <c r="AE467" t="str">
        <v>hour</v>
      </c>
    </row>
    <row r="468" spans="1:31" hidden="1" x14ac:dyDescent="0.25">
      <c r="A468">
        <v>467</v>
      </c>
      <c r="B468">
        <v>2025</v>
      </c>
      <c r="C468">
        <v>9</v>
      </c>
      <c r="D468">
        <v>31</v>
      </c>
      <c r="E468">
        <v>8</v>
      </c>
      <c r="F468" t="str">
        <v>50BN724</v>
      </c>
      <c r="G468" s="167">
        <v>69.999999999999986</v>
      </c>
      <c r="H468" t="str">
        <v>hour</v>
      </c>
      <c r="I468" t="str">
        <v/>
      </c>
      <c r="J468">
        <v>42</v>
      </c>
      <c r="K468" s="167">
        <f ca="1"/>
        <v>6.6070000000000002</v>
      </c>
      <c r="L468" s="167">
        <f ca="1"/>
        <v>462.4899999999999</v>
      </c>
      <c r="AA468">
        <v>31</v>
      </c>
      <c r="AB468">
        <v>9</v>
      </c>
      <c r="AC468" t="str">
        <v>99MN472</v>
      </c>
      <c r="AD468">
        <v>83</v>
      </c>
      <c r="AE468" t="str">
        <v>hour</v>
      </c>
    </row>
    <row r="469" spans="1:31" hidden="1" x14ac:dyDescent="0.25">
      <c r="A469">
        <v>468</v>
      </c>
      <c r="B469">
        <v>2025</v>
      </c>
      <c r="C469">
        <v>9</v>
      </c>
      <c r="D469">
        <v>31</v>
      </c>
      <c r="E469">
        <v>8</v>
      </c>
      <c r="F469" t="str">
        <v>50DK730</v>
      </c>
      <c r="G469" s="167">
        <v>87</v>
      </c>
      <c r="H469" t="str">
        <v>hour</v>
      </c>
      <c r="I469" t="str">
        <v/>
      </c>
      <c r="J469">
        <v>46</v>
      </c>
      <c r="K469" s="167">
        <f ca="1"/>
        <v>5.5359999999999996</v>
      </c>
      <c r="L469" s="167">
        <f ca="1"/>
        <v>481.63199999999995</v>
      </c>
      <c r="AA469">
        <v>31</v>
      </c>
      <c r="AB469">
        <v>9</v>
      </c>
      <c r="AC469" t="str">
        <v>99OR961</v>
      </c>
      <c r="AD469">
        <v>40.999999999999986</v>
      </c>
      <c r="AE469" t="str">
        <v>hour</v>
      </c>
    </row>
    <row r="470" spans="1:31" hidden="1" x14ac:dyDescent="0.25">
      <c r="A470">
        <v>469</v>
      </c>
      <c r="B470">
        <v>2025</v>
      </c>
      <c r="C470">
        <v>9</v>
      </c>
      <c r="D470">
        <v>31</v>
      </c>
      <c r="E470">
        <v>8</v>
      </c>
      <c r="F470" t="str">
        <v>50EF902</v>
      </c>
      <c r="G470" s="167">
        <v>21.999999999999972</v>
      </c>
      <c r="H470" t="str">
        <v>hour</v>
      </c>
      <c r="I470" t="str">
        <v/>
      </c>
      <c r="J470">
        <v>48</v>
      </c>
      <c r="K470" s="167">
        <f ca="1"/>
        <v>6.25</v>
      </c>
      <c r="L470" s="167">
        <f ca="1"/>
        <v>137.49999999999983</v>
      </c>
      <c r="AA470">
        <v>31</v>
      </c>
      <c r="AB470">
        <v>9</v>
      </c>
      <c r="AC470" t="str">
        <v>99UK314</v>
      </c>
      <c r="AD470">
        <v>101</v>
      </c>
      <c r="AE470" t="str">
        <v>hour</v>
      </c>
    </row>
    <row r="471" spans="1:31" hidden="1" x14ac:dyDescent="0.25">
      <c r="A471">
        <v>470</v>
      </c>
      <c r="B471">
        <v>2025</v>
      </c>
      <c r="C471">
        <v>9</v>
      </c>
      <c r="D471">
        <v>31</v>
      </c>
      <c r="E471">
        <v>8</v>
      </c>
      <c r="F471" t="str">
        <v>55CB633</v>
      </c>
      <c r="G471" s="167">
        <v>114.99999999999999</v>
      </c>
      <c r="H471" t="str">
        <v>hour</v>
      </c>
      <c r="I471" t="str">
        <v/>
      </c>
      <c r="J471">
        <v>56</v>
      </c>
      <c r="K471" s="167">
        <f ca="1"/>
        <v>5.5359999999999996</v>
      </c>
      <c r="L471" s="167">
        <f ca="1"/>
        <v>636.63999999999987</v>
      </c>
      <c r="AA471">
        <v>31</v>
      </c>
      <c r="AB471">
        <v>10</v>
      </c>
      <c r="AC471" t="str">
        <v>10RN527</v>
      </c>
      <c r="AD471">
        <v>84</v>
      </c>
      <c r="AE471" t="str">
        <v>hour</v>
      </c>
    </row>
    <row r="472" spans="1:31" hidden="1" x14ac:dyDescent="0.25">
      <c r="A472">
        <v>471</v>
      </c>
      <c r="B472">
        <v>2025</v>
      </c>
      <c r="C472">
        <v>9</v>
      </c>
      <c r="D472">
        <v>31</v>
      </c>
      <c r="E472">
        <v>8</v>
      </c>
      <c r="F472" t="str">
        <v>77UR032</v>
      </c>
      <c r="G472" s="167">
        <v>32.999999999999986</v>
      </c>
      <c r="H472" t="str">
        <v>hour</v>
      </c>
      <c r="I472" t="str">
        <v/>
      </c>
      <c r="J472">
        <v>76</v>
      </c>
      <c r="K472" s="167">
        <f ca="1"/>
        <v>5.5359999999999996</v>
      </c>
      <c r="L472" s="167">
        <f ca="1"/>
        <v>182.6879999999999</v>
      </c>
      <c r="AA472">
        <v>31</v>
      </c>
      <c r="AB472">
        <v>10</v>
      </c>
      <c r="AC472" t="str">
        <v>21BF442</v>
      </c>
      <c r="AD472">
        <v>84</v>
      </c>
      <c r="AE472" t="str">
        <v>hour</v>
      </c>
    </row>
    <row r="473" spans="1:31" hidden="1" x14ac:dyDescent="0.25">
      <c r="A473">
        <v>472</v>
      </c>
      <c r="B473">
        <v>2025</v>
      </c>
      <c r="C473">
        <v>9</v>
      </c>
      <c r="D473">
        <v>31</v>
      </c>
      <c r="E473">
        <v>8</v>
      </c>
      <c r="F473" t="str">
        <v>90LS143</v>
      </c>
      <c r="G473" s="167">
        <v>30.999999999999986</v>
      </c>
      <c r="H473" t="str">
        <v>hour</v>
      </c>
      <c r="I473" t="str">
        <v/>
      </c>
      <c r="J473">
        <v>80</v>
      </c>
      <c r="K473" s="167">
        <f ca="1"/>
        <v>5.5359999999999996</v>
      </c>
      <c r="L473" s="167">
        <f ca="1"/>
        <v>171.6159999999999</v>
      </c>
      <c r="AA473">
        <v>31</v>
      </c>
      <c r="AB473">
        <v>10</v>
      </c>
      <c r="AC473" t="str">
        <v>50DK730</v>
      </c>
      <c r="AD473">
        <v>87</v>
      </c>
      <c r="AE473" t="str">
        <v>hour</v>
      </c>
    </row>
    <row r="474" spans="1:31" hidden="1" x14ac:dyDescent="0.25">
      <c r="A474">
        <v>473</v>
      </c>
      <c r="B474">
        <v>2025</v>
      </c>
      <c r="C474">
        <v>9</v>
      </c>
      <c r="D474">
        <v>31</v>
      </c>
      <c r="E474">
        <v>8</v>
      </c>
      <c r="F474" t="str">
        <v>90SL686</v>
      </c>
      <c r="G474" s="167">
        <v>46.999999999999986</v>
      </c>
      <c r="H474" t="str">
        <v>hour</v>
      </c>
      <c r="I474" t="str">
        <v/>
      </c>
      <c r="J474">
        <v>20</v>
      </c>
      <c r="K474" s="167">
        <f ca="1"/>
        <v>5.8929999999999998</v>
      </c>
      <c r="L474" s="167">
        <f ca="1"/>
        <v>276.97099999999989</v>
      </c>
      <c r="AA474">
        <v>31</v>
      </c>
      <c r="AB474">
        <v>10</v>
      </c>
      <c r="AC474" t="str">
        <v>50EF902</v>
      </c>
      <c r="AD474">
        <v>27.999999999999972</v>
      </c>
      <c r="AE474" t="str">
        <v>hour</v>
      </c>
    </row>
    <row r="475" spans="1:31" hidden="1" x14ac:dyDescent="0.25">
      <c r="A475">
        <v>474</v>
      </c>
      <c r="B475">
        <v>2025</v>
      </c>
      <c r="C475">
        <v>9</v>
      </c>
      <c r="D475">
        <v>31</v>
      </c>
      <c r="E475">
        <v>8</v>
      </c>
      <c r="F475" t="str">
        <v>90VS316</v>
      </c>
      <c r="G475" s="167">
        <v>97.999999999999986</v>
      </c>
      <c r="H475" t="str">
        <v>hour</v>
      </c>
      <c r="I475" t="str">
        <v/>
      </c>
      <c r="J475">
        <v>86</v>
      </c>
      <c r="K475" s="167">
        <f ca="1"/>
        <v>5.5359999999999996</v>
      </c>
      <c r="L475" s="167">
        <f ca="1"/>
        <v>542.52799999999991</v>
      </c>
      <c r="AA475">
        <v>31</v>
      </c>
      <c r="AB475">
        <v>10</v>
      </c>
      <c r="AC475" t="str">
        <v>55CB633</v>
      </c>
      <c r="AD475">
        <v>60.999999999999986</v>
      </c>
      <c r="AE475" t="str">
        <v>hour</v>
      </c>
    </row>
    <row r="476" spans="1:31" hidden="1" x14ac:dyDescent="0.25">
      <c r="A476">
        <v>475</v>
      </c>
      <c r="B476">
        <v>2025</v>
      </c>
      <c r="C476">
        <v>9</v>
      </c>
      <c r="D476">
        <v>31</v>
      </c>
      <c r="E476">
        <v>8</v>
      </c>
      <c r="F476" t="str">
        <v>99BT339</v>
      </c>
      <c r="G476" s="167">
        <v>50.999999999999986</v>
      </c>
      <c r="H476" t="str">
        <v>hour</v>
      </c>
      <c r="I476" t="str">
        <v/>
      </c>
      <c r="J476">
        <v>92</v>
      </c>
      <c r="K476" s="167">
        <f ca="1"/>
        <v>5.5359999999999996</v>
      </c>
      <c r="L476" s="167">
        <f ca="1"/>
        <v>282.3359999999999</v>
      </c>
      <c r="AA476">
        <v>31</v>
      </c>
      <c r="AB476">
        <v>10</v>
      </c>
      <c r="AC476" t="str">
        <v>77SR538</v>
      </c>
      <c r="AD476">
        <v>108</v>
      </c>
      <c r="AE476" t="str">
        <v>hour</v>
      </c>
    </row>
    <row r="477" spans="1:31" hidden="1" x14ac:dyDescent="0.25">
      <c r="A477">
        <v>476</v>
      </c>
      <c r="B477">
        <v>2025</v>
      </c>
      <c r="C477">
        <v>9</v>
      </c>
      <c r="D477">
        <v>31</v>
      </c>
      <c r="E477">
        <v>8</v>
      </c>
      <c r="F477" t="str">
        <v>99CN447</v>
      </c>
      <c r="G477" s="167">
        <v>29.999999999999986</v>
      </c>
      <c r="H477" t="str">
        <v>hour</v>
      </c>
      <c r="I477" t="str">
        <v/>
      </c>
      <c r="J477">
        <v>95</v>
      </c>
      <c r="K477" s="167">
        <f ca="1"/>
        <v>5.5359999999999996</v>
      </c>
      <c r="L477" s="167">
        <f ca="1"/>
        <v>166.0799999999999</v>
      </c>
      <c r="AA477">
        <v>31</v>
      </c>
      <c r="AB477">
        <v>10</v>
      </c>
      <c r="AC477" t="str">
        <v>90EC344</v>
      </c>
      <c r="AD477">
        <v>39.999999999999972</v>
      </c>
      <c r="AE477" t="str">
        <v>hour</v>
      </c>
    </row>
    <row r="478" spans="1:31" hidden="1" x14ac:dyDescent="0.25">
      <c r="A478">
        <v>477</v>
      </c>
      <c r="B478">
        <v>2025</v>
      </c>
      <c r="C478">
        <v>9</v>
      </c>
      <c r="D478">
        <v>31</v>
      </c>
      <c r="E478">
        <v>8</v>
      </c>
      <c r="F478" t="str">
        <v>99FO779</v>
      </c>
      <c r="G478" s="167">
        <v>44.000000000000014</v>
      </c>
      <c r="H478" t="str">
        <v>hour</v>
      </c>
      <c r="I478" t="str">
        <v/>
      </c>
      <c r="J478">
        <v>102</v>
      </c>
      <c r="K478" s="167">
        <f ca="1"/>
        <v>6.6070000000000002</v>
      </c>
      <c r="L478" s="167">
        <f ca="1"/>
        <v>290.70800000000008</v>
      </c>
      <c r="AA478">
        <v>31</v>
      </c>
      <c r="AB478">
        <v>10</v>
      </c>
      <c r="AC478" t="str">
        <v>90LS143</v>
      </c>
      <c r="AD478">
        <v>47</v>
      </c>
      <c r="AE478" t="str">
        <v>hour</v>
      </c>
    </row>
    <row r="479" spans="1:31" hidden="1" x14ac:dyDescent="0.25">
      <c r="A479">
        <v>478</v>
      </c>
      <c r="B479">
        <v>2025</v>
      </c>
      <c r="C479">
        <v>9</v>
      </c>
      <c r="D479">
        <v>31</v>
      </c>
      <c r="E479">
        <v>8</v>
      </c>
      <c r="F479" t="str">
        <v>99KL663</v>
      </c>
      <c r="G479" s="167">
        <v>37.999999999999986</v>
      </c>
      <c r="H479" t="str">
        <v>hour</v>
      </c>
      <c r="I479" t="str">
        <v/>
      </c>
      <c r="J479">
        <v>105</v>
      </c>
      <c r="K479" s="167">
        <f ca="1"/>
        <v>5.5359999999999996</v>
      </c>
      <c r="L479" s="167">
        <f ca="1"/>
        <v>210.36799999999991</v>
      </c>
      <c r="AA479">
        <v>31</v>
      </c>
      <c r="AB479">
        <v>10</v>
      </c>
      <c r="AC479" t="str">
        <v>90OE402</v>
      </c>
      <c r="AD479">
        <v>59.999999999999943</v>
      </c>
      <c r="AE479" t="str">
        <v>hour</v>
      </c>
    </row>
    <row r="480" spans="1:31" hidden="1" x14ac:dyDescent="0.25">
      <c r="A480">
        <v>479</v>
      </c>
      <c r="B480">
        <v>2025</v>
      </c>
      <c r="C480">
        <v>9</v>
      </c>
      <c r="D480">
        <v>31</v>
      </c>
      <c r="E480">
        <v>8</v>
      </c>
      <c r="F480" t="str">
        <v>99LM412</v>
      </c>
      <c r="G480" s="167">
        <v>49.999999999999986</v>
      </c>
      <c r="H480" t="str">
        <v>hour</v>
      </c>
      <c r="I480" t="str">
        <v/>
      </c>
      <c r="J480">
        <v>115</v>
      </c>
      <c r="K480" s="167">
        <f ca="1"/>
        <v>5.5359999999999996</v>
      </c>
      <c r="L480" s="167">
        <f ca="1"/>
        <v>276.7999999999999</v>
      </c>
      <c r="AA480">
        <v>31</v>
      </c>
      <c r="AB480">
        <v>10</v>
      </c>
      <c r="AC480" t="str">
        <v>90VS316</v>
      </c>
      <c r="AD480">
        <v>20.999999999999993</v>
      </c>
      <c r="AE480" t="str">
        <v>hour</v>
      </c>
    </row>
    <row r="481" spans="1:31" hidden="1" x14ac:dyDescent="0.25">
      <c r="A481">
        <v>480</v>
      </c>
      <c r="B481">
        <v>2025</v>
      </c>
      <c r="C481">
        <v>9</v>
      </c>
      <c r="D481">
        <v>31</v>
      </c>
      <c r="E481">
        <v>8</v>
      </c>
      <c r="F481" t="str">
        <v>99MN472</v>
      </c>
      <c r="G481" s="167">
        <v>90</v>
      </c>
      <c r="H481" t="str">
        <v>hour</v>
      </c>
      <c r="I481" t="str">
        <v/>
      </c>
      <c r="J481">
        <v>107</v>
      </c>
      <c r="K481" s="167">
        <f ca="1"/>
        <v>5.5359999999999996</v>
      </c>
      <c r="L481" s="167">
        <f ca="1"/>
        <v>498.23999999999995</v>
      </c>
      <c r="AA481">
        <v>31</v>
      </c>
      <c r="AB481">
        <v>10</v>
      </c>
      <c r="AC481" t="str">
        <v>99BT339</v>
      </c>
      <c r="AD481">
        <v>46</v>
      </c>
      <c r="AE481" t="str">
        <v>hour</v>
      </c>
    </row>
    <row r="482" spans="1:31" hidden="1" x14ac:dyDescent="0.25">
      <c r="A482">
        <v>481</v>
      </c>
      <c r="B482">
        <v>2025</v>
      </c>
      <c r="C482">
        <v>9</v>
      </c>
      <c r="D482">
        <v>31</v>
      </c>
      <c r="E482">
        <v>8</v>
      </c>
      <c r="F482" t="str">
        <v>99UK314</v>
      </c>
      <c r="G482" s="167">
        <v>90</v>
      </c>
      <c r="H482" t="str">
        <v>hour</v>
      </c>
      <c r="I482" t="str">
        <v/>
      </c>
      <c r="J482">
        <v>113</v>
      </c>
      <c r="K482" s="167">
        <f ca="1"/>
        <v>5.8929999999999998</v>
      </c>
      <c r="L482" s="167">
        <f ca="1"/>
        <v>530.37</v>
      </c>
      <c r="AA482">
        <v>31</v>
      </c>
      <c r="AB482">
        <v>10</v>
      </c>
      <c r="AC482" t="str">
        <v>99CN447</v>
      </c>
      <c r="AD482">
        <v>30</v>
      </c>
      <c r="AE482" t="str">
        <v>hour</v>
      </c>
    </row>
    <row r="483" spans="1:31" hidden="1" x14ac:dyDescent="0.25">
      <c r="A483">
        <v>482</v>
      </c>
      <c r="B483">
        <v>2025</v>
      </c>
      <c r="C483">
        <v>9</v>
      </c>
      <c r="D483">
        <v>31</v>
      </c>
      <c r="E483">
        <v>8</v>
      </c>
      <c r="F483" t="str">
        <v>10RN527</v>
      </c>
      <c r="G483" s="167">
        <v>30</v>
      </c>
      <c r="H483" t="str">
        <v>single</v>
      </c>
      <c r="I483" t="str">
        <v/>
      </c>
      <c r="J483">
        <v>31</v>
      </c>
      <c r="K483" s="167">
        <f ca="1"/>
        <v>55.36</v>
      </c>
      <c r="L483" s="167">
        <f ca="1"/>
        <v>1660.8</v>
      </c>
      <c r="AA483">
        <v>31</v>
      </c>
      <c r="AB483">
        <v>10</v>
      </c>
      <c r="AC483" t="str">
        <v>99FO779</v>
      </c>
      <c r="AD483">
        <v>65</v>
      </c>
      <c r="AE483" t="str">
        <v>hour</v>
      </c>
    </row>
    <row r="484" spans="1:31" hidden="1" x14ac:dyDescent="0.25">
      <c r="A484">
        <v>483</v>
      </c>
      <c r="B484">
        <v>2025</v>
      </c>
      <c r="C484">
        <v>9</v>
      </c>
      <c r="D484">
        <v>31</v>
      </c>
      <c r="E484">
        <v>8</v>
      </c>
      <c r="F484" t="str">
        <v>10RN527</v>
      </c>
      <c r="G484" s="167">
        <v>67</v>
      </c>
      <c r="H484" t="str">
        <v>hour</v>
      </c>
      <c r="I484" t="str">
        <v/>
      </c>
      <c r="J484">
        <v>29</v>
      </c>
      <c r="K484" s="167">
        <f ca="1"/>
        <v>5.5359999999999996</v>
      </c>
      <c r="L484" s="167">
        <f ca="1"/>
        <v>370.91199999999998</v>
      </c>
      <c r="AA484">
        <v>31</v>
      </c>
      <c r="AB484">
        <v>10</v>
      </c>
      <c r="AC484" t="str">
        <v>99KL663</v>
      </c>
      <c r="AD484">
        <v>70.999999999999986</v>
      </c>
      <c r="AE484" t="str">
        <v>hour</v>
      </c>
    </row>
    <row r="485" spans="1:31" hidden="1" x14ac:dyDescent="0.25">
      <c r="A485">
        <v>484</v>
      </c>
      <c r="B485">
        <v>2025</v>
      </c>
      <c r="C485">
        <v>9</v>
      </c>
      <c r="D485">
        <v>31</v>
      </c>
      <c r="E485">
        <v>8</v>
      </c>
      <c r="F485" t="str">
        <v/>
      </c>
      <c r="G485" s="167">
        <v>11888.04</v>
      </c>
      <c r="H485" t="str">
        <v/>
      </c>
      <c r="I485" t="str">
        <v/>
      </c>
      <c r="J485" t="str">
        <v>M-1</v>
      </c>
      <c r="K485" s="167">
        <f ca="1"/>
        <v>1</v>
      </c>
      <c r="L485" s="167">
        <f ca="1"/>
        <v>11888.04</v>
      </c>
      <c r="AA485">
        <v>31</v>
      </c>
      <c r="AB485">
        <v>10</v>
      </c>
      <c r="AC485" t="str">
        <v>99LM412</v>
      </c>
      <c r="AD485">
        <v>59.999999999999943</v>
      </c>
      <c r="AE485" t="str">
        <v>hour</v>
      </c>
    </row>
    <row r="486" spans="1:31" hidden="1" x14ac:dyDescent="0.25">
      <c r="A486">
        <v>485</v>
      </c>
      <c r="B486">
        <v>2025</v>
      </c>
      <c r="C486">
        <v>9</v>
      </c>
      <c r="D486">
        <v>31</v>
      </c>
      <c r="E486">
        <v>8</v>
      </c>
      <c r="F486" t="str">
        <v/>
      </c>
      <c r="G486" s="167">
        <v>9645</v>
      </c>
      <c r="H486" t="str">
        <v/>
      </c>
      <c r="I486" t="str">
        <v/>
      </c>
      <c r="J486" t="str">
        <v>R-1</v>
      </c>
      <c r="K486" s="167">
        <f ca="1"/>
        <v>-1</v>
      </c>
      <c r="L486" s="167">
        <f ca="1"/>
        <v>-9645</v>
      </c>
      <c r="AA486">
        <v>31</v>
      </c>
      <c r="AB486">
        <v>10</v>
      </c>
      <c r="AC486" t="str">
        <v>99MN472</v>
      </c>
      <c r="AD486">
        <v>86.999999999999986</v>
      </c>
      <c r="AE486" t="str">
        <v>hour</v>
      </c>
    </row>
    <row r="487" spans="1:31" hidden="1" x14ac:dyDescent="0.25">
      <c r="A487">
        <v>486</v>
      </c>
      <c r="B487">
        <v>2025</v>
      </c>
      <c r="C487">
        <v>9</v>
      </c>
      <c r="D487">
        <v>33</v>
      </c>
      <c r="E487">
        <v>13</v>
      </c>
      <c r="F487" t="str">
        <v/>
      </c>
      <c r="G487" s="167">
        <v>48388</v>
      </c>
      <c r="H487" t="str">
        <v/>
      </c>
      <c r="I487" t="str">
        <v/>
      </c>
      <c r="J487">
        <v>12</v>
      </c>
      <c r="K487" s="167">
        <f ca="1"/>
        <v>1.56</v>
      </c>
      <c r="L487" s="167">
        <f ca="1"/>
        <v>75485.279999999999</v>
      </c>
      <c r="AA487">
        <v>31</v>
      </c>
      <c r="AB487">
        <v>10</v>
      </c>
      <c r="AC487" t="str">
        <v>99OR961</v>
      </c>
      <c r="AD487">
        <v>36.999999999999993</v>
      </c>
      <c r="AE487" t="str">
        <v>hour</v>
      </c>
    </row>
    <row r="488" spans="1:31" hidden="1" x14ac:dyDescent="0.25">
      <c r="A488">
        <v>487</v>
      </c>
      <c r="B488">
        <v>2025</v>
      </c>
      <c r="C488">
        <v>9</v>
      </c>
      <c r="D488">
        <v>33</v>
      </c>
      <c r="E488">
        <v>13</v>
      </c>
      <c r="F488" t="str">
        <v/>
      </c>
      <c r="G488" s="167">
        <v>52355</v>
      </c>
      <c r="H488" t="str">
        <v/>
      </c>
      <c r="I488" t="str">
        <v/>
      </c>
      <c r="J488">
        <v>13</v>
      </c>
      <c r="K488" s="167">
        <f ca="1"/>
        <v>4.53</v>
      </c>
      <c r="L488" s="167">
        <f ca="1"/>
        <v>237168.15000000002</v>
      </c>
      <c r="AA488">
        <v>31</v>
      </c>
      <c r="AB488">
        <v>10</v>
      </c>
      <c r="AC488" t="str">
        <v>99UK314</v>
      </c>
      <c r="AD488">
        <v>98</v>
      </c>
      <c r="AE488" t="str">
        <v>hour</v>
      </c>
    </row>
    <row r="489" spans="1:31" hidden="1" x14ac:dyDescent="0.25">
      <c r="A489">
        <v>488</v>
      </c>
      <c r="B489">
        <v>2025</v>
      </c>
      <c r="C489">
        <v>9</v>
      </c>
      <c r="D489">
        <v>33</v>
      </c>
      <c r="E489">
        <v>13</v>
      </c>
      <c r="F489" t="str">
        <v/>
      </c>
      <c r="G489" s="167">
        <v>49596</v>
      </c>
      <c r="H489" t="str">
        <v/>
      </c>
      <c r="I489" t="str">
        <v/>
      </c>
      <c r="J489">
        <v>14</v>
      </c>
      <c r="K489" s="167">
        <f ca="1"/>
        <v>4.53</v>
      </c>
      <c r="L489" s="167">
        <f ca="1"/>
        <v>224669.88</v>
      </c>
      <c r="AA489">
        <v>31</v>
      </c>
      <c r="AB489">
        <v>10</v>
      </c>
      <c r="AC489" t="str">
        <v>10NS184</v>
      </c>
      <c r="AD489">
        <v>3</v>
      </c>
      <c r="AE489" t="str">
        <v>hour</v>
      </c>
    </row>
    <row r="490" spans="1:31" hidden="1" x14ac:dyDescent="0.25">
      <c r="A490">
        <v>489</v>
      </c>
      <c r="B490">
        <v>2025</v>
      </c>
      <c r="C490">
        <v>9</v>
      </c>
      <c r="D490">
        <v>33</v>
      </c>
      <c r="E490">
        <v>13</v>
      </c>
      <c r="F490" t="str">
        <v/>
      </c>
      <c r="G490" s="167">
        <v>3873</v>
      </c>
      <c r="H490" t="str">
        <v/>
      </c>
      <c r="I490" t="str">
        <v/>
      </c>
      <c r="J490">
        <v>15</v>
      </c>
      <c r="K490" s="167">
        <f ca="1"/>
        <v>4.53</v>
      </c>
      <c r="L490" s="167">
        <f ca="1"/>
        <v>17544.690000000002</v>
      </c>
      <c r="AA490">
        <v>31</v>
      </c>
      <c r="AB490">
        <v>10</v>
      </c>
      <c r="AC490" t="str">
        <v>50FB264</v>
      </c>
      <c r="AD490">
        <v>79.999999999999986</v>
      </c>
      <c r="AE490" t="str">
        <v>hour</v>
      </c>
    </row>
    <row r="491" spans="1:31" hidden="1" x14ac:dyDescent="0.25">
      <c r="A491">
        <v>490</v>
      </c>
      <c r="B491">
        <v>2025</v>
      </c>
      <c r="C491">
        <v>9</v>
      </c>
      <c r="D491">
        <v>33</v>
      </c>
      <c r="E491">
        <v>13</v>
      </c>
      <c r="F491" t="str">
        <v/>
      </c>
      <c r="G491" s="167">
        <v>4971</v>
      </c>
      <c r="H491" t="str">
        <v/>
      </c>
      <c r="I491" t="str">
        <v/>
      </c>
      <c r="J491">
        <v>16</v>
      </c>
      <c r="K491" s="167">
        <f ca="1"/>
        <v>3.77</v>
      </c>
      <c r="L491" s="167">
        <f ca="1"/>
        <v>18740.670000000002</v>
      </c>
      <c r="AA491">
        <v>31</v>
      </c>
      <c r="AB491">
        <v>10</v>
      </c>
      <c r="AC491" t="str">
        <v>57BV285</v>
      </c>
      <c r="AD491">
        <v>22.999999999999993</v>
      </c>
      <c r="AE491" t="str">
        <v>hour</v>
      </c>
    </row>
    <row r="492" spans="1:31" hidden="1" x14ac:dyDescent="0.25">
      <c r="A492">
        <v>491</v>
      </c>
      <c r="B492">
        <v>2025</v>
      </c>
      <c r="C492">
        <v>9</v>
      </c>
      <c r="D492">
        <v>33</v>
      </c>
      <c r="E492">
        <v>13</v>
      </c>
      <c r="F492" t="str">
        <v/>
      </c>
      <c r="G492" s="167">
        <v>1</v>
      </c>
      <c r="H492" t="str">
        <v/>
      </c>
      <c r="I492" t="str">
        <v/>
      </c>
      <c r="J492" t="str">
        <v>R-4</v>
      </c>
      <c r="K492" s="167">
        <f ca="1"/>
        <v>-5.15</v>
      </c>
      <c r="L492" s="167">
        <f ca="1"/>
        <v>-5.15</v>
      </c>
      <c r="AA492">
        <v>31</v>
      </c>
      <c r="AB492">
        <v>10</v>
      </c>
      <c r="AC492" t="str">
        <v>77DK884</v>
      </c>
      <c r="AD492">
        <v>94.999999999999986</v>
      </c>
      <c r="AE492" t="str">
        <v>hour</v>
      </c>
    </row>
    <row r="493" spans="1:31" hidden="1" x14ac:dyDescent="0.25">
      <c r="A493">
        <v>492</v>
      </c>
      <c r="B493">
        <v>2025</v>
      </c>
      <c r="C493">
        <v>9</v>
      </c>
      <c r="D493">
        <v>46</v>
      </c>
      <c r="E493">
        <v>5</v>
      </c>
      <c r="F493" t="str">
        <v>110FY523</v>
      </c>
      <c r="G493" s="167">
        <v>27</v>
      </c>
      <c r="H493" t="str">
        <v>single</v>
      </c>
      <c r="I493" t="str">
        <v/>
      </c>
      <c r="J493">
        <v>1</v>
      </c>
      <c r="K493" s="167">
        <f ca="1"/>
        <v>214.28571428571428</v>
      </c>
      <c r="L493" s="167">
        <f ca="1"/>
        <v>5785.7142857142853</v>
      </c>
      <c r="AA493">
        <v>31</v>
      </c>
      <c r="AB493">
        <v>10</v>
      </c>
      <c r="AC493" t="str">
        <v>90UX686</v>
      </c>
      <c r="AD493">
        <v>21.999999999999986</v>
      </c>
      <c r="AE493" t="str">
        <v>hour</v>
      </c>
    </row>
    <row r="494" spans="1:31" hidden="1" x14ac:dyDescent="0.25">
      <c r="A494">
        <v>493</v>
      </c>
      <c r="B494">
        <v>2025</v>
      </c>
      <c r="C494">
        <v>9</v>
      </c>
      <c r="D494">
        <v>46</v>
      </c>
      <c r="E494">
        <v>5</v>
      </c>
      <c r="F494" t="str">
        <v>110FY524</v>
      </c>
      <c r="G494" s="167">
        <v>20</v>
      </c>
      <c r="H494" t="str">
        <v>single</v>
      </c>
      <c r="I494" t="str">
        <v/>
      </c>
      <c r="J494">
        <v>7</v>
      </c>
      <c r="K494" s="167">
        <f ca="1"/>
        <v>214.28571428571428</v>
      </c>
      <c r="L494" s="167">
        <f ca="1"/>
        <v>4285.7142857142853</v>
      </c>
      <c r="AA494">
        <v>31</v>
      </c>
      <c r="AB494">
        <v>10</v>
      </c>
      <c r="AC494" t="str">
        <v>99DT131</v>
      </c>
      <c r="AD494">
        <v>7.9999999999999982</v>
      </c>
      <c r="AE494" t="str">
        <v>hour</v>
      </c>
    </row>
    <row r="495" spans="1:31" hidden="1" x14ac:dyDescent="0.25">
      <c r="A495">
        <v>494</v>
      </c>
      <c r="B495">
        <v>2025</v>
      </c>
      <c r="C495">
        <v>9</v>
      </c>
      <c r="D495">
        <v>46</v>
      </c>
      <c r="E495">
        <v>5</v>
      </c>
      <c r="F495" t="str">
        <v>10AD801</v>
      </c>
      <c r="G495" s="167">
        <v>8</v>
      </c>
      <c r="H495" t="str">
        <v>single</v>
      </c>
      <c r="I495" t="str">
        <v/>
      </c>
      <c r="J495">
        <v>4</v>
      </c>
      <c r="K495" s="167">
        <f ca="1"/>
        <v>446.42857142857144</v>
      </c>
      <c r="L495" s="167">
        <f ca="1"/>
        <v>3571.4285714285716</v>
      </c>
      <c r="AA495">
        <v>31</v>
      </c>
      <c r="AB495">
        <v>10</v>
      </c>
      <c r="AC495" t="str">
        <v>99HZ395</v>
      </c>
      <c r="AD495">
        <v>84</v>
      </c>
      <c r="AE495" t="str">
        <v>hour</v>
      </c>
    </row>
    <row r="496" spans="1:31" hidden="1" x14ac:dyDescent="0.25">
      <c r="A496">
        <v>495</v>
      </c>
      <c r="B496">
        <v>2025</v>
      </c>
      <c r="C496">
        <v>9</v>
      </c>
      <c r="D496">
        <v>46</v>
      </c>
      <c r="E496">
        <v>5</v>
      </c>
      <c r="F496" t="str">
        <v>10AB468</v>
      </c>
      <c r="G496" s="167">
        <v>6</v>
      </c>
      <c r="H496" t="str">
        <v>single</v>
      </c>
      <c r="I496" t="str">
        <v/>
      </c>
      <c r="J496">
        <v>10</v>
      </c>
      <c r="K496" s="167">
        <f ca="1"/>
        <v>185.71430000000001</v>
      </c>
      <c r="L496" s="167">
        <f ca="1"/>
        <v>1114.2858000000001</v>
      </c>
      <c r="AA496">
        <v>31</v>
      </c>
      <c r="AB496">
        <v>10</v>
      </c>
      <c r="AC496" t="str">
        <v>53BD338</v>
      </c>
      <c r="AD496">
        <v>37.999999999999979</v>
      </c>
      <c r="AE496" t="str">
        <v>hour</v>
      </c>
    </row>
    <row r="497" spans="1:31" hidden="1" x14ac:dyDescent="0.25">
      <c r="A497">
        <v>496</v>
      </c>
      <c r="B497">
        <v>2025</v>
      </c>
      <c r="C497">
        <v>9</v>
      </c>
      <c r="D497">
        <v>46</v>
      </c>
      <c r="E497">
        <v>5</v>
      </c>
      <c r="F497" t="str">
        <v>110FY524</v>
      </c>
      <c r="G497" s="167">
        <v>7</v>
      </c>
      <c r="H497" t="str">
        <v>double</v>
      </c>
      <c r="I497" t="str">
        <v/>
      </c>
      <c r="J497">
        <v>8</v>
      </c>
      <c r="K497" s="167">
        <f ca="1"/>
        <v>385.71444000000002</v>
      </c>
      <c r="L497" s="167">
        <f ca="1"/>
        <v>2700.00108</v>
      </c>
      <c r="AA497">
        <v>31</v>
      </c>
      <c r="AB497">
        <v>10</v>
      </c>
      <c r="AC497" t="str">
        <v>99GZ612</v>
      </c>
      <c r="AD497">
        <v>20</v>
      </c>
      <c r="AE497" t="str">
        <v>hour</v>
      </c>
    </row>
    <row r="498" spans="1:31" x14ac:dyDescent="0.25">
      <c r="A498">
        <v>497</v>
      </c>
      <c r="B498">
        <v>2025</v>
      </c>
      <c r="C498">
        <v>9</v>
      </c>
      <c r="D498">
        <v>50</v>
      </c>
      <c r="E498">
        <v>4</v>
      </c>
      <c r="F498" t="str">
        <v>61AB256</v>
      </c>
      <c r="G498" s="167">
        <v>27</v>
      </c>
      <c r="H498" t="str">
        <v>single</v>
      </c>
      <c r="I498" t="str">
        <v/>
      </c>
      <c r="J498">
        <v>1</v>
      </c>
      <c r="K498" s="167">
        <f ca="1"/>
        <v>357.1429</v>
      </c>
      <c r="L498" s="167">
        <f ca="1"/>
        <v>9642.8582999999999</v>
      </c>
      <c r="AA498">
        <v>51</v>
      </c>
      <c r="AB498">
        <v>1</v>
      </c>
      <c r="AC498" t="str">
        <v>10BA194</v>
      </c>
      <c r="AD498">
        <v>3.9999999999999929</v>
      </c>
      <c r="AE498" t="str">
        <v>hour</v>
      </c>
    </row>
    <row r="499" spans="1:31" hidden="1" x14ac:dyDescent="0.25">
      <c r="A499">
        <v>498</v>
      </c>
      <c r="B499">
        <v>2025</v>
      </c>
      <c r="C499">
        <v>9</v>
      </c>
      <c r="D499">
        <v>51</v>
      </c>
      <c r="E499">
        <v>2</v>
      </c>
      <c r="F499" t="str">
        <v>10BA857</v>
      </c>
      <c r="G499" s="167">
        <v>25</v>
      </c>
      <c r="H499" t="str">
        <v>single</v>
      </c>
      <c r="I499" t="str">
        <v/>
      </c>
      <c r="J499">
        <v>3</v>
      </c>
      <c r="K499" s="167">
        <f ca="1"/>
        <v>235.71</v>
      </c>
      <c r="L499" s="167">
        <f ca="1"/>
        <v>5892.75</v>
      </c>
      <c r="AA499">
        <v>51</v>
      </c>
      <c r="AB499">
        <v>2</v>
      </c>
      <c r="AC499" t="str">
        <v>10BA857</v>
      </c>
      <c r="AD499">
        <v>29.999999999999993</v>
      </c>
      <c r="AE499" t="str">
        <v>hour</v>
      </c>
    </row>
    <row r="500" spans="1:31" hidden="1" x14ac:dyDescent="0.25">
      <c r="A500">
        <v>499</v>
      </c>
      <c r="B500">
        <v>2025</v>
      </c>
      <c r="C500">
        <v>9</v>
      </c>
      <c r="D500">
        <v>51</v>
      </c>
      <c r="E500">
        <v>2</v>
      </c>
      <c r="F500" t="str">
        <v>10BA857</v>
      </c>
      <c r="G500" s="167">
        <v>10</v>
      </c>
      <c r="H500" t="str">
        <v>hour</v>
      </c>
      <c r="I500" t="str">
        <v/>
      </c>
      <c r="J500">
        <v>4</v>
      </c>
      <c r="K500" s="167">
        <f ca="1"/>
        <v>26.071000000000002</v>
      </c>
      <c r="L500" s="167">
        <f ca="1"/>
        <v>260.71000000000004</v>
      </c>
      <c r="AA500">
        <v>51</v>
      </c>
      <c r="AB500">
        <v>2</v>
      </c>
      <c r="AC500" t="str">
        <v>10BA857</v>
      </c>
      <c r="AD500">
        <v>10</v>
      </c>
      <c r="AE500" t="str">
        <v>hour</v>
      </c>
    </row>
    <row r="501" spans="1:31" hidden="1" x14ac:dyDescent="0.25">
      <c r="A501">
        <v>500</v>
      </c>
      <c r="B501">
        <v>2025</v>
      </c>
      <c r="C501">
        <v>9</v>
      </c>
      <c r="D501">
        <v>65</v>
      </c>
      <c r="E501">
        <v>5</v>
      </c>
      <c r="F501" t="str">
        <v>01BA176</v>
      </c>
      <c r="G501" s="167">
        <v>27</v>
      </c>
      <c r="H501" t="str">
        <v>single</v>
      </c>
      <c r="I501" t="str">
        <v/>
      </c>
      <c r="J501">
        <v>1</v>
      </c>
      <c r="K501" s="167">
        <f ca="1"/>
        <v>196.42857142857142</v>
      </c>
      <c r="L501" s="167">
        <f ca="1"/>
        <v>5303.5714285714284</v>
      </c>
      <c r="AA501">
        <v>51</v>
      </c>
      <c r="AB501">
        <v>3</v>
      </c>
      <c r="AC501" t="str">
        <v>10BA857</v>
      </c>
      <c r="AD501">
        <v>45.999999999999972</v>
      </c>
      <c r="AE501" t="str">
        <v>hour</v>
      </c>
    </row>
    <row r="502" spans="1:31" hidden="1" x14ac:dyDescent="0.25">
      <c r="A502">
        <v>501</v>
      </c>
      <c r="B502">
        <v>2025</v>
      </c>
      <c r="C502">
        <v>9</v>
      </c>
      <c r="D502">
        <v>65</v>
      </c>
      <c r="E502">
        <v>5</v>
      </c>
      <c r="F502" t="str">
        <v>10BD252</v>
      </c>
      <c r="G502" s="167">
        <v>28</v>
      </c>
      <c r="H502" t="str">
        <v>single</v>
      </c>
      <c r="I502" t="str">
        <v/>
      </c>
      <c r="J502">
        <v>2</v>
      </c>
      <c r="K502" s="167">
        <f ca="1"/>
        <v>160.71</v>
      </c>
      <c r="L502" s="167">
        <f ca="1"/>
        <v>4499.88</v>
      </c>
      <c r="AA502">
        <v>51</v>
      </c>
      <c r="AB502">
        <v>4</v>
      </c>
      <c r="AC502" t="str">
        <v>10BA857</v>
      </c>
      <c r="AD502">
        <v>46.999999999999972</v>
      </c>
      <c r="AE502" t="str">
        <v>hour</v>
      </c>
    </row>
    <row r="503" spans="1:31" hidden="1" x14ac:dyDescent="0.25">
      <c r="A503">
        <v>502</v>
      </c>
      <c r="B503">
        <v>2025</v>
      </c>
      <c r="C503">
        <v>9</v>
      </c>
      <c r="D503">
        <v>85</v>
      </c>
      <c r="E503">
        <v>4</v>
      </c>
      <c r="F503" t="str">
        <v>77SN951</v>
      </c>
      <c r="G503" s="167">
        <v>28</v>
      </c>
      <c r="H503" t="str">
        <v>single</v>
      </c>
      <c r="I503" t="str">
        <v/>
      </c>
      <c r="J503">
        <v>1</v>
      </c>
      <c r="K503" s="167">
        <f ca="1"/>
        <v>446.43</v>
      </c>
      <c r="L503" s="167">
        <f ca="1"/>
        <v>12500.04</v>
      </c>
      <c r="AA503">
        <v>52</v>
      </c>
      <c r="AB503">
        <v>1</v>
      </c>
      <c r="AC503" t="str">
        <v>10AC750</v>
      </c>
      <c r="AD503">
        <v>6.9999999999999982</v>
      </c>
      <c r="AE503" t="str">
        <v>hour</v>
      </c>
    </row>
    <row r="504" spans="1:31" hidden="1" x14ac:dyDescent="0.25">
      <c r="A504">
        <v>503</v>
      </c>
      <c r="B504">
        <v>2025</v>
      </c>
      <c r="C504">
        <v>9</v>
      </c>
      <c r="D504">
        <v>85</v>
      </c>
      <c r="E504">
        <v>4</v>
      </c>
      <c r="F504" t="str">
        <v>77SN951</v>
      </c>
      <c r="G504" s="167">
        <v>30.999999999999979</v>
      </c>
      <c r="H504" t="str">
        <v>hour</v>
      </c>
      <c r="I504" t="str">
        <v/>
      </c>
      <c r="J504">
        <v>2</v>
      </c>
      <c r="K504" s="167">
        <f ca="1"/>
        <v>44.643000000000001</v>
      </c>
      <c r="L504" s="167">
        <f ca="1"/>
        <v>1383.9329999999991</v>
      </c>
      <c r="AA504">
        <v>85</v>
      </c>
      <c r="AB504">
        <v>1</v>
      </c>
      <c r="AC504" t="str">
        <v>77SN951</v>
      </c>
      <c r="AD504">
        <v>25.999999999999993</v>
      </c>
      <c r="AE504" t="str">
        <v>hour</v>
      </c>
    </row>
    <row r="505" spans="1:31" hidden="1" x14ac:dyDescent="0.25">
      <c r="A505">
        <v>504</v>
      </c>
      <c r="B505">
        <v>2025</v>
      </c>
      <c r="C505">
        <v>9</v>
      </c>
      <c r="D505">
        <v>91</v>
      </c>
      <c r="E505">
        <v>3</v>
      </c>
      <c r="F505" t="str">
        <v>90VJ454</v>
      </c>
      <c r="G505" s="167">
        <v>1</v>
      </c>
      <c r="H505" t="str">
        <v/>
      </c>
      <c r="I505" t="str">
        <v/>
      </c>
      <c r="J505">
        <v>1</v>
      </c>
      <c r="K505" s="167">
        <f ca="1"/>
        <v>3500</v>
      </c>
      <c r="L505" s="167">
        <f ca="1"/>
        <v>3500</v>
      </c>
      <c r="AA505">
        <v>85</v>
      </c>
      <c r="AB505">
        <v>2</v>
      </c>
      <c r="AC505" t="str">
        <v>77SN951</v>
      </c>
      <c r="AD505">
        <v>39.999999999999972</v>
      </c>
      <c r="AE505" t="str">
        <v>hour</v>
      </c>
    </row>
    <row r="506" spans="1:31" hidden="1" x14ac:dyDescent="0.25">
      <c r="A506">
        <v>505</v>
      </c>
      <c r="B506">
        <v>2025</v>
      </c>
      <c r="C506">
        <v>9</v>
      </c>
      <c r="D506">
        <v>94</v>
      </c>
      <c r="E506">
        <v>4</v>
      </c>
      <c r="F506" t="str">
        <v>54BM823</v>
      </c>
      <c r="G506" s="167">
        <v>30</v>
      </c>
      <c r="H506" t="str">
        <v>single</v>
      </c>
      <c r="I506" t="str">
        <v/>
      </c>
      <c r="J506">
        <v>1</v>
      </c>
      <c r="K506" s="167">
        <f ca="1"/>
        <v>125</v>
      </c>
      <c r="L506" s="167">
        <f ca="1"/>
        <v>3750</v>
      </c>
      <c r="AA506">
        <v>85</v>
      </c>
      <c r="AB506">
        <v>3</v>
      </c>
      <c r="AC506" t="str">
        <v>77SN951</v>
      </c>
      <c r="AD506">
        <v>36.999999999999979</v>
      </c>
      <c r="AE506" t="str">
        <v>hour</v>
      </c>
    </row>
    <row r="507" spans="1:31" hidden="1" x14ac:dyDescent="0.25">
      <c r="A507">
        <v>506</v>
      </c>
      <c r="B507">
        <v>2025</v>
      </c>
      <c r="C507">
        <v>9</v>
      </c>
      <c r="D507">
        <v>94</v>
      </c>
      <c r="E507">
        <v>4</v>
      </c>
      <c r="F507" t="str">
        <v>01BT754</v>
      </c>
      <c r="G507" s="167">
        <v>30</v>
      </c>
      <c r="H507" t="str">
        <v>single</v>
      </c>
      <c r="I507" t="str">
        <v/>
      </c>
      <c r="J507">
        <v>3</v>
      </c>
      <c r="K507" s="167">
        <f ca="1"/>
        <v>125</v>
      </c>
      <c r="L507" s="167">
        <f ca="1"/>
        <v>3750</v>
      </c>
      <c r="AA507">
        <v>85</v>
      </c>
      <c r="AB507">
        <v>4</v>
      </c>
      <c r="AC507" t="str">
        <v>77SN951</v>
      </c>
      <c r="AD507">
        <v>30.999999999999979</v>
      </c>
      <c r="AE507" t="str">
        <v>hour</v>
      </c>
    </row>
    <row r="508" spans="1:31" hidden="1" x14ac:dyDescent="0.25">
      <c r="A508">
        <v>507</v>
      </c>
      <c r="B508">
        <v>2025</v>
      </c>
      <c r="C508">
        <v>9</v>
      </c>
      <c r="D508">
        <v>94</v>
      </c>
      <c r="E508">
        <v>5</v>
      </c>
      <c r="F508" t="str">
        <v>01BT754</v>
      </c>
      <c r="G508" s="167">
        <v>31</v>
      </c>
      <c r="H508" t="str">
        <v>single</v>
      </c>
      <c r="I508" t="str">
        <v/>
      </c>
      <c r="J508">
        <v>3</v>
      </c>
      <c r="K508" s="167">
        <f ca="1"/>
        <v>125</v>
      </c>
      <c r="L508" s="167">
        <f ca="1"/>
        <v>3875</v>
      </c>
      <c r="AA508">
        <v>85</v>
      </c>
      <c r="AB508">
        <v>5</v>
      </c>
      <c r="AC508" t="str">
        <v>77SN951</v>
      </c>
      <c r="AD508">
        <v>6</v>
      </c>
      <c r="AE508" t="str">
        <v>hour</v>
      </c>
    </row>
    <row r="509" spans="1:31" hidden="1" x14ac:dyDescent="0.25">
      <c r="A509">
        <v>508</v>
      </c>
      <c r="B509">
        <v>2025</v>
      </c>
      <c r="C509">
        <v>9</v>
      </c>
      <c r="D509">
        <v>95</v>
      </c>
      <c r="E509">
        <v>1</v>
      </c>
      <c r="F509" t="str">
        <v>54BA209</v>
      </c>
      <c r="G509" s="167">
        <v>16.5</v>
      </c>
      <c r="H509" t="str">
        <v>single</v>
      </c>
      <c r="I509" t="str">
        <v/>
      </c>
      <c r="J509">
        <v>1</v>
      </c>
      <c r="K509" s="167">
        <f ca="1"/>
        <v>285.70999999999998</v>
      </c>
      <c r="L509" s="167">
        <f ca="1"/>
        <v>4714.2149999999992</v>
      </c>
      <c r="AA509">
        <v>85</v>
      </c>
      <c r="AB509">
        <v>6</v>
      </c>
      <c r="AC509" t="str">
        <v>77SN951</v>
      </c>
      <c r="AD509">
        <v>51.999999999999972</v>
      </c>
      <c r="AE509" t="str">
        <v>hour</v>
      </c>
    </row>
    <row r="510" spans="1:31" hidden="1" x14ac:dyDescent="0.25">
      <c r="A510">
        <v>509</v>
      </c>
      <c r="B510">
        <v>2025</v>
      </c>
      <c r="C510">
        <v>9</v>
      </c>
      <c r="D510">
        <v>95</v>
      </c>
      <c r="E510">
        <v>2</v>
      </c>
      <c r="F510" t="str">
        <v>54BA209</v>
      </c>
      <c r="G510" s="167">
        <v>27</v>
      </c>
      <c r="H510" t="str">
        <v>single</v>
      </c>
      <c r="I510" t="str">
        <v/>
      </c>
      <c r="J510">
        <v>1</v>
      </c>
      <c r="K510" s="167">
        <f ca="1"/>
        <v>285.70999999999998</v>
      </c>
      <c r="L510" s="167">
        <f ca="1"/>
        <v>7714.1699999999992</v>
      </c>
      <c r="AA510">
        <v>94</v>
      </c>
      <c r="AB510">
        <v>2</v>
      </c>
      <c r="AC510" t="str">
        <v>54BM823</v>
      </c>
      <c r="AD510">
        <v>5</v>
      </c>
      <c r="AE510" t="str">
        <v>hour</v>
      </c>
    </row>
    <row r="511" spans="1:31" hidden="1" x14ac:dyDescent="0.25">
      <c r="A511">
        <v>510</v>
      </c>
      <c r="B511">
        <v>2025</v>
      </c>
      <c r="C511">
        <v>9</v>
      </c>
      <c r="D511">
        <v>95</v>
      </c>
      <c r="E511">
        <v>3</v>
      </c>
      <c r="F511" t="str">
        <v>54BA209</v>
      </c>
      <c r="G511" s="167">
        <v>24</v>
      </c>
      <c r="H511" t="str">
        <v>single</v>
      </c>
      <c r="I511" t="str">
        <v/>
      </c>
      <c r="J511">
        <v>1</v>
      </c>
      <c r="K511" s="167">
        <f ca="1"/>
        <v>285.70999999999998</v>
      </c>
      <c r="L511" s="167">
        <f ca="1"/>
        <v>6857.0399999999991</v>
      </c>
      <c r="AA511">
        <v>94</v>
      </c>
      <c r="AB511">
        <v>3</v>
      </c>
      <c r="AC511" t="str">
        <v>10MF640</v>
      </c>
      <c r="AD511">
        <v>39.000000000000014</v>
      </c>
      <c r="AE511" t="str">
        <v>hour</v>
      </c>
    </row>
    <row r="512" spans="1:31" hidden="1" x14ac:dyDescent="0.25">
      <c r="A512">
        <v>511</v>
      </c>
      <c r="B512">
        <v>2025</v>
      </c>
      <c r="C512">
        <v>9</v>
      </c>
      <c r="D512">
        <v>95</v>
      </c>
      <c r="E512">
        <v>4</v>
      </c>
      <c r="F512" t="str">
        <v>54BA209</v>
      </c>
      <c r="G512" s="167">
        <v>28.5</v>
      </c>
      <c r="H512" t="str">
        <v>single</v>
      </c>
      <c r="I512" t="str">
        <v/>
      </c>
      <c r="J512">
        <v>1</v>
      </c>
      <c r="K512" s="167">
        <f ca="1"/>
        <v>285.70999999999998</v>
      </c>
      <c r="L512" s="167">
        <f ca="1"/>
        <v>8142.7349999999997</v>
      </c>
      <c r="AA512">
        <v>98</v>
      </c>
      <c r="AB512">
        <v>3</v>
      </c>
      <c r="AC512" t="str">
        <v>50BD416</v>
      </c>
      <c r="AD512">
        <v>6.9999999999999947</v>
      </c>
      <c r="AE512" t="str">
        <v>hour</v>
      </c>
    </row>
    <row r="513" spans="1:31" hidden="1" x14ac:dyDescent="0.25">
      <c r="A513">
        <v>512</v>
      </c>
      <c r="B513">
        <v>2025</v>
      </c>
      <c r="C513">
        <v>9</v>
      </c>
      <c r="D513">
        <v>95</v>
      </c>
      <c r="E513">
        <v>5</v>
      </c>
      <c r="F513" t="str">
        <v>54BA209</v>
      </c>
      <c r="G513" s="167">
        <v>22</v>
      </c>
      <c r="H513" t="str">
        <v>single</v>
      </c>
      <c r="I513" t="str">
        <v/>
      </c>
      <c r="J513">
        <v>1</v>
      </c>
      <c r="K513" s="167">
        <f ca="1"/>
        <v>285.70999999999998</v>
      </c>
      <c r="L513" s="167">
        <f ca="1"/>
        <v>6285.62</v>
      </c>
      <c r="AA513">
        <v>98</v>
      </c>
      <c r="AB513">
        <v>4</v>
      </c>
      <c r="AC513" t="str">
        <v>50BD416</v>
      </c>
      <c r="AD513">
        <v>9.9999999999999893</v>
      </c>
      <c r="AE513" t="str">
        <v>hour</v>
      </c>
    </row>
    <row r="514" spans="1:31" hidden="1" x14ac:dyDescent="0.25">
      <c r="A514">
        <v>513</v>
      </c>
      <c r="B514">
        <v>2025</v>
      </c>
      <c r="C514">
        <v>9</v>
      </c>
      <c r="D514">
        <v>98</v>
      </c>
      <c r="E514">
        <v>3</v>
      </c>
      <c r="F514" t="str">
        <v>50BD416</v>
      </c>
      <c r="G514" s="167">
        <v>27</v>
      </c>
      <c r="H514" t="str">
        <v>single</v>
      </c>
      <c r="I514" t="str">
        <v/>
      </c>
      <c r="J514">
        <v>1</v>
      </c>
      <c r="K514" s="167">
        <f ca="1"/>
        <v>107.14</v>
      </c>
      <c r="L514" s="167">
        <f ca="1"/>
        <v>2892.78</v>
      </c>
      <c r="AA514">
        <v>98</v>
      </c>
      <c r="AB514">
        <v>5</v>
      </c>
      <c r="AC514" t="str">
        <v>50BD416</v>
      </c>
      <c r="AD514">
        <v>7.9999999999999911</v>
      </c>
      <c r="AE514" t="str">
        <v>hour</v>
      </c>
    </row>
    <row r="515" spans="1:31" hidden="1" x14ac:dyDescent="0.25">
      <c r="A515">
        <v>514</v>
      </c>
      <c r="B515">
        <v>2025</v>
      </c>
      <c r="C515">
        <v>9</v>
      </c>
      <c r="D515">
        <v>98</v>
      </c>
      <c r="E515">
        <v>3</v>
      </c>
      <c r="F515" t="str">
        <v>50BD416</v>
      </c>
      <c r="G515" s="167">
        <v>6.9999999999999947</v>
      </c>
      <c r="H515" t="str">
        <v>hour</v>
      </c>
      <c r="I515" t="str">
        <v/>
      </c>
      <c r="J515">
        <v>2</v>
      </c>
      <c r="K515" s="167">
        <f ca="1"/>
        <v>10.714</v>
      </c>
      <c r="L515" s="167">
        <f ca="1"/>
        <v>74.997999999999948</v>
      </c>
      <c r="AA515">
        <v>99</v>
      </c>
      <c r="AB515">
        <v>2</v>
      </c>
      <c r="AC515" t="str">
        <v>50BX301</v>
      </c>
      <c r="AD515">
        <v>31</v>
      </c>
      <c r="AE515" t="str">
        <v>hour</v>
      </c>
    </row>
    <row r="516" spans="1:31" hidden="1" x14ac:dyDescent="0.25">
      <c r="A516">
        <v>515</v>
      </c>
      <c r="B516">
        <v>2025</v>
      </c>
      <c r="C516">
        <v>9</v>
      </c>
      <c r="D516">
        <v>98</v>
      </c>
      <c r="E516">
        <v>3</v>
      </c>
      <c r="F516" t="str">
        <v>50BD416</v>
      </c>
      <c r="G516" s="167">
        <v>250</v>
      </c>
      <c r="H516" t="str">
        <v/>
      </c>
      <c r="I516" t="str">
        <v/>
      </c>
      <c r="J516" t="str">
        <v>R-1</v>
      </c>
      <c r="K516" s="167">
        <f ca="1"/>
        <v>-1</v>
      </c>
      <c r="L516" s="167">
        <f ca="1"/>
        <v>-250</v>
      </c>
      <c r="AA516">
        <v>99</v>
      </c>
      <c r="AB516">
        <v>3</v>
      </c>
      <c r="AC516" t="str">
        <v>50BX301</v>
      </c>
      <c r="AD516">
        <v>43</v>
      </c>
      <c r="AE516" t="str">
        <v>hour</v>
      </c>
    </row>
    <row r="517" spans="1:31" hidden="1" x14ac:dyDescent="0.25">
      <c r="A517">
        <v>516</v>
      </c>
      <c r="B517">
        <v>2025</v>
      </c>
      <c r="C517">
        <v>9</v>
      </c>
      <c r="D517">
        <v>99</v>
      </c>
      <c r="E517">
        <v>3</v>
      </c>
      <c r="F517" t="str">
        <v>50BX301</v>
      </c>
      <c r="G517" s="167">
        <v>29</v>
      </c>
      <c r="H517" t="str">
        <v>single</v>
      </c>
      <c r="I517" t="str">
        <v/>
      </c>
      <c r="J517">
        <v>1</v>
      </c>
      <c r="K517" s="167">
        <f ca="1"/>
        <v>125</v>
      </c>
      <c r="L517" s="167">
        <f ca="1"/>
        <v>3625</v>
      </c>
      <c r="AA517">
        <v>102</v>
      </c>
      <c r="AB517">
        <v>2</v>
      </c>
      <c r="AC517" t="str">
        <v>99HQ687</v>
      </c>
      <c r="AD517">
        <v>43</v>
      </c>
      <c r="AE517" t="str">
        <v>hour</v>
      </c>
    </row>
    <row r="518" spans="1:31" hidden="1" x14ac:dyDescent="0.25">
      <c r="A518">
        <v>517</v>
      </c>
      <c r="B518">
        <v>2025</v>
      </c>
      <c r="C518">
        <v>9</v>
      </c>
      <c r="D518">
        <v>99</v>
      </c>
      <c r="E518">
        <v>3</v>
      </c>
      <c r="F518" t="str">
        <v>50BX301</v>
      </c>
      <c r="G518" s="167">
        <v>43</v>
      </c>
      <c r="H518" t="str">
        <v>hour</v>
      </c>
      <c r="I518" t="str">
        <v/>
      </c>
      <c r="J518">
        <v>2</v>
      </c>
      <c r="K518" s="167">
        <f ca="1"/>
        <v>12.5</v>
      </c>
      <c r="L518" s="167">
        <f ca="1"/>
        <v>537.5</v>
      </c>
      <c r="AA518">
        <v>102</v>
      </c>
      <c r="AB518">
        <v>2</v>
      </c>
      <c r="AC518" t="str">
        <v>10MF640</v>
      </c>
      <c r="AD518">
        <v>65</v>
      </c>
      <c r="AE518" t="str">
        <v>hour</v>
      </c>
    </row>
    <row r="519" spans="1:31" hidden="1" x14ac:dyDescent="0.25">
      <c r="A519">
        <v>518</v>
      </c>
      <c r="B519">
        <v>2025</v>
      </c>
      <c r="C519">
        <v>9</v>
      </c>
      <c r="D519">
        <v>100</v>
      </c>
      <c r="E519">
        <v>3</v>
      </c>
      <c r="F519" t="str">
        <v>22AB273</v>
      </c>
      <c r="G519" s="167">
        <v>26</v>
      </c>
      <c r="H519" t="str">
        <v>single</v>
      </c>
      <c r="I519" t="str">
        <v/>
      </c>
      <c r="J519">
        <v>1</v>
      </c>
      <c r="K519" s="167">
        <f ca="1"/>
        <v>196.43</v>
      </c>
      <c r="L519" s="167">
        <f ca="1"/>
        <v>5107.18</v>
      </c>
      <c r="AA519">
        <v>102</v>
      </c>
      <c r="AB519">
        <v>3</v>
      </c>
      <c r="AC519" t="str">
        <v>10MF640</v>
      </c>
      <c r="AD519">
        <v>55</v>
      </c>
      <c r="AE519" t="str">
        <v>hour</v>
      </c>
    </row>
    <row r="520" spans="1:31" hidden="1" x14ac:dyDescent="0.25">
      <c r="A520">
        <v>519</v>
      </c>
      <c r="B520">
        <v>2025</v>
      </c>
      <c r="C520">
        <v>9</v>
      </c>
      <c r="D520">
        <v>102</v>
      </c>
      <c r="E520">
        <v>2</v>
      </c>
      <c r="F520" t="str">
        <v>99HQ687</v>
      </c>
      <c r="G520" s="167">
        <v>29</v>
      </c>
      <c r="H520" t="str">
        <v>single</v>
      </c>
      <c r="I520" t="str">
        <v/>
      </c>
      <c r="J520">
        <v>1</v>
      </c>
      <c r="K520" s="167">
        <f ca="1"/>
        <v>125</v>
      </c>
      <c r="L520" s="167">
        <f ca="1"/>
        <v>3625</v>
      </c>
      <c r="AA520">
        <v>102</v>
      </c>
      <c r="AB520">
        <v>4</v>
      </c>
      <c r="AC520" t="str">
        <v>10MF640</v>
      </c>
      <c r="AD520">
        <v>28</v>
      </c>
      <c r="AE520" t="str">
        <v>hour</v>
      </c>
    </row>
    <row r="521" spans="1:31" hidden="1" x14ac:dyDescent="0.25">
      <c r="A521">
        <v>520</v>
      </c>
      <c r="B521">
        <v>2025</v>
      </c>
      <c r="C521">
        <v>9</v>
      </c>
      <c r="D521">
        <v>102</v>
      </c>
      <c r="E521">
        <v>2</v>
      </c>
      <c r="F521" t="str">
        <v>10MF640</v>
      </c>
      <c r="G521" s="167">
        <v>29</v>
      </c>
      <c r="H521" t="str">
        <v>single</v>
      </c>
      <c r="I521" t="str">
        <v/>
      </c>
      <c r="J521">
        <v>3</v>
      </c>
      <c r="K521" s="167">
        <f ca="1"/>
        <v>125</v>
      </c>
      <c r="L521" s="167">
        <f ca="1"/>
        <v>3625</v>
      </c>
      <c r="AA521">
        <v>121</v>
      </c>
      <c r="AB521">
        <v>1</v>
      </c>
      <c r="AC521" t="str">
        <v>11BC843</v>
      </c>
      <c r="AD521">
        <v>8</v>
      </c>
      <c r="AE521" t="str">
        <v>hour</v>
      </c>
    </row>
    <row r="522" spans="1:31" hidden="1" x14ac:dyDescent="0.25">
      <c r="A522">
        <v>521</v>
      </c>
      <c r="B522">
        <v>2025</v>
      </c>
      <c r="C522">
        <v>9</v>
      </c>
      <c r="D522">
        <v>102</v>
      </c>
      <c r="E522">
        <v>2</v>
      </c>
      <c r="F522" t="str">
        <v>99HQ687</v>
      </c>
      <c r="G522" s="167">
        <v>43</v>
      </c>
      <c r="H522" t="str">
        <v>hour</v>
      </c>
      <c r="I522" t="str">
        <v/>
      </c>
      <c r="J522">
        <v>2</v>
      </c>
      <c r="K522" s="167">
        <f ca="1"/>
        <v>12.5</v>
      </c>
      <c r="L522" s="167">
        <f ca="1"/>
        <v>537.5</v>
      </c>
      <c r="AA522">
        <v>121</v>
      </c>
      <c r="AB522">
        <v>2</v>
      </c>
      <c r="AC522" t="str">
        <v>11BC843</v>
      </c>
      <c r="AD522">
        <v>8</v>
      </c>
      <c r="AE522" t="str">
        <v>hour</v>
      </c>
    </row>
    <row r="523" spans="1:31" hidden="1" x14ac:dyDescent="0.25">
      <c r="A523">
        <v>522</v>
      </c>
      <c r="B523">
        <v>2025</v>
      </c>
      <c r="C523">
        <v>9</v>
      </c>
      <c r="D523">
        <v>102</v>
      </c>
      <c r="E523">
        <v>2</v>
      </c>
      <c r="F523" t="str">
        <v/>
      </c>
      <c r="G523" s="167">
        <v>65</v>
      </c>
      <c r="H523" t="str">
        <v/>
      </c>
      <c r="I523" t="str">
        <v/>
      </c>
      <c r="J523">
        <v>4</v>
      </c>
      <c r="K523" s="167">
        <f ca="1"/>
        <v>12.5</v>
      </c>
      <c r="L523" s="167">
        <f ca="1"/>
        <v>812.5</v>
      </c>
      <c r="AA523">
        <v>141</v>
      </c>
      <c r="AB523">
        <v>1</v>
      </c>
      <c r="AC523" t="str">
        <v>10V288</v>
      </c>
      <c r="AD523">
        <v>24</v>
      </c>
      <c r="AE523" t="str">
        <v>hour</v>
      </c>
    </row>
    <row r="524" spans="1:31" hidden="1" x14ac:dyDescent="0.25">
      <c r="A524">
        <v>523</v>
      </c>
      <c r="B524">
        <v>2025</v>
      </c>
      <c r="C524">
        <v>9</v>
      </c>
      <c r="D524">
        <v>110</v>
      </c>
      <c r="E524">
        <v>2</v>
      </c>
      <c r="F524" t="str">
        <v/>
      </c>
      <c r="G524" s="167">
        <v>26</v>
      </c>
      <c r="H524" t="str">
        <v/>
      </c>
      <c r="I524" t="str">
        <v/>
      </c>
      <c r="J524">
        <v>1</v>
      </c>
      <c r="K524" s="167">
        <f ca="1"/>
        <v>221.42857142857142</v>
      </c>
      <c r="L524" s="167">
        <f ca="1"/>
        <v>5757.1428571428569</v>
      </c>
      <c r="AA524">
        <v>141</v>
      </c>
      <c r="AB524">
        <v>2</v>
      </c>
      <c r="AC524" t="str">
        <v>10V288</v>
      </c>
      <c r="AD524">
        <v>10</v>
      </c>
      <c r="AE524" t="str">
        <v>hour</v>
      </c>
    </row>
    <row r="525" spans="1:31" hidden="1" x14ac:dyDescent="0.25">
      <c r="A525">
        <v>524</v>
      </c>
      <c r="B525">
        <v>2025</v>
      </c>
      <c r="C525">
        <v>10</v>
      </c>
      <c r="D525">
        <v>11</v>
      </c>
      <c r="E525">
        <v>10</v>
      </c>
      <c r="F525" t="str">
        <v/>
      </c>
      <c r="G525" s="167">
        <v>2</v>
      </c>
      <c r="H525" t="str">
        <v/>
      </c>
      <c r="I525" t="str">
        <v/>
      </c>
      <c r="J525">
        <v>1</v>
      </c>
      <c r="K525" s="167">
        <f ca="1"/>
        <v>5500</v>
      </c>
      <c r="L525" s="167">
        <f ca="1"/>
        <v>11000</v>
      </c>
      <c r="AA525">
        <v>31</v>
      </c>
      <c r="AB525">
        <v>2</v>
      </c>
      <c r="AC525" t="str">
        <v>99LT168</v>
      </c>
      <c r="AD525">
        <v>5286</v>
      </c>
      <c r="AE525" t="str">
        <v>dist</v>
      </c>
    </row>
    <row r="526" spans="1:31" hidden="1" x14ac:dyDescent="0.25">
      <c r="A526">
        <v>525</v>
      </c>
      <c r="B526">
        <v>2025</v>
      </c>
      <c r="C526">
        <v>10</v>
      </c>
      <c r="D526">
        <v>11</v>
      </c>
      <c r="E526">
        <v>10</v>
      </c>
      <c r="F526" t="str">
        <v/>
      </c>
      <c r="G526" s="167">
        <v>12</v>
      </c>
      <c r="H526" t="str">
        <v/>
      </c>
      <c r="I526" t="str">
        <v/>
      </c>
      <c r="J526">
        <v>2</v>
      </c>
      <c r="K526" s="167">
        <f ca="1"/>
        <v>200</v>
      </c>
      <c r="L526" s="167">
        <f ca="1"/>
        <v>2400</v>
      </c>
      <c r="AA526">
        <v>31</v>
      </c>
      <c r="AB526">
        <v>2</v>
      </c>
      <c r="AC526" t="str">
        <v>90OV187</v>
      </c>
      <c r="AD526">
        <v>5941</v>
      </c>
      <c r="AE526" t="str">
        <v>dist</v>
      </c>
    </row>
    <row r="527" spans="1:31" hidden="1" x14ac:dyDescent="0.25">
      <c r="A527">
        <v>526</v>
      </c>
      <c r="B527">
        <v>2025</v>
      </c>
      <c r="C527">
        <v>10</v>
      </c>
      <c r="D527">
        <v>11</v>
      </c>
      <c r="E527">
        <v>10</v>
      </c>
      <c r="F527" t="str">
        <v/>
      </c>
      <c r="G527" s="167">
        <v>24</v>
      </c>
      <c r="H527" t="str">
        <v/>
      </c>
      <c r="I527" t="str">
        <v/>
      </c>
      <c r="J527">
        <v>3</v>
      </c>
      <c r="K527" s="167">
        <f ca="1"/>
        <v>100</v>
      </c>
      <c r="L527" s="167">
        <f ca="1"/>
        <v>2400</v>
      </c>
      <c r="AA527">
        <v>31</v>
      </c>
      <c r="AB527">
        <v>2</v>
      </c>
      <c r="AC527" t="str">
        <v>99HZ395</v>
      </c>
      <c r="AD527">
        <v>4300</v>
      </c>
      <c r="AE527" t="str">
        <v>dist</v>
      </c>
    </row>
    <row r="528" spans="1:31" hidden="1" x14ac:dyDescent="0.25">
      <c r="A528">
        <v>527</v>
      </c>
      <c r="B528">
        <v>2025</v>
      </c>
      <c r="C528">
        <v>10</v>
      </c>
      <c r="D528">
        <v>14</v>
      </c>
      <c r="E528">
        <v>7</v>
      </c>
      <c r="F528" t="str">
        <v/>
      </c>
      <c r="G528" s="167">
        <v>1</v>
      </c>
      <c r="H528" t="str">
        <v/>
      </c>
      <c r="I528" t="str">
        <v/>
      </c>
      <c r="J528">
        <v>15</v>
      </c>
      <c r="K528" s="167">
        <f ca="1"/>
        <v>4000</v>
      </c>
      <c r="L528" s="167">
        <f ca="1"/>
        <v>4000</v>
      </c>
      <c r="AA528">
        <v>31</v>
      </c>
      <c r="AB528">
        <v>2</v>
      </c>
      <c r="AC528" t="str">
        <v>90ZP408</v>
      </c>
      <c r="AD528">
        <v>2288</v>
      </c>
      <c r="AE528" t="str">
        <v>dist</v>
      </c>
    </row>
    <row r="529" spans="1:31" hidden="1" x14ac:dyDescent="0.25">
      <c r="A529">
        <v>528</v>
      </c>
      <c r="B529">
        <v>2025</v>
      </c>
      <c r="C529">
        <v>10</v>
      </c>
      <c r="D529">
        <v>30</v>
      </c>
      <c r="E529">
        <v>10</v>
      </c>
      <c r="F529" t="str">
        <v/>
      </c>
      <c r="G529" s="167">
        <v>1</v>
      </c>
      <c r="H529" t="str">
        <v/>
      </c>
      <c r="I529" t="str">
        <v/>
      </c>
      <c r="J529">
        <v>4</v>
      </c>
      <c r="K529" s="167">
        <f ca="1"/>
        <v>5500</v>
      </c>
      <c r="L529" s="167">
        <f ca="1"/>
        <v>5500</v>
      </c>
      <c r="AA529">
        <v>31</v>
      </c>
      <c r="AB529">
        <v>2</v>
      </c>
      <c r="AC529" t="str">
        <v>66CC029</v>
      </c>
      <c r="AD529">
        <v>949</v>
      </c>
      <c r="AE529" t="str">
        <v>dist</v>
      </c>
    </row>
    <row r="530" spans="1:31" hidden="1" x14ac:dyDescent="0.25">
      <c r="A530">
        <v>529</v>
      </c>
      <c r="B530">
        <v>2025</v>
      </c>
      <c r="C530">
        <v>10</v>
      </c>
      <c r="D530">
        <v>31</v>
      </c>
      <c r="E530">
        <v>9</v>
      </c>
      <c r="F530" t="str">
        <v/>
      </c>
      <c r="G530" s="167">
        <v>31</v>
      </c>
      <c r="H530" t="str">
        <v/>
      </c>
      <c r="I530" t="str">
        <v/>
      </c>
      <c r="J530">
        <v>32</v>
      </c>
      <c r="K530" s="167">
        <f ca="1"/>
        <v>62.5</v>
      </c>
      <c r="L530" s="167">
        <f ca="1"/>
        <v>1937.5</v>
      </c>
      <c r="AA530">
        <v>31</v>
      </c>
      <c r="AB530">
        <v>2</v>
      </c>
      <c r="AC530" t="str">
        <v>90SL686</v>
      </c>
      <c r="AD530">
        <v>7084</v>
      </c>
      <c r="AE530" t="str">
        <v>dist</v>
      </c>
    </row>
    <row r="531" spans="1:31" hidden="1" x14ac:dyDescent="0.25">
      <c r="A531">
        <v>530</v>
      </c>
      <c r="B531">
        <v>2025</v>
      </c>
      <c r="C531">
        <v>10</v>
      </c>
      <c r="D531">
        <v>31</v>
      </c>
      <c r="E531">
        <v>9</v>
      </c>
      <c r="F531" t="str">
        <v/>
      </c>
      <c r="G531" s="167">
        <v>1</v>
      </c>
      <c r="H531" t="str">
        <v/>
      </c>
      <c r="I531" t="str">
        <v/>
      </c>
      <c r="J531">
        <v>37</v>
      </c>
      <c r="K531" s="167">
        <f ca="1"/>
        <v>55.36</v>
      </c>
      <c r="L531" s="167">
        <f ca="1"/>
        <v>55.36</v>
      </c>
      <c r="AA531">
        <v>31</v>
      </c>
      <c r="AB531">
        <v>2</v>
      </c>
      <c r="AC531" t="str">
        <v>55CB633</v>
      </c>
      <c r="AD531">
        <v>2400</v>
      </c>
      <c r="AE531" t="str">
        <v>dist</v>
      </c>
    </row>
    <row r="532" spans="1:31" hidden="1" x14ac:dyDescent="0.25">
      <c r="A532">
        <v>531</v>
      </c>
      <c r="B532">
        <v>2025</v>
      </c>
      <c r="C532">
        <v>10</v>
      </c>
      <c r="D532">
        <v>31</v>
      </c>
      <c r="E532">
        <v>9</v>
      </c>
      <c r="F532" t="str">
        <v/>
      </c>
      <c r="G532" s="167">
        <v>29</v>
      </c>
      <c r="H532" t="str">
        <v/>
      </c>
      <c r="I532" t="str">
        <v/>
      </c>
      <c r="J532">
        <v>39</v>
      </c>
      <c r="K532" s="167">
        <f ca="1"/>
        <v>55.36</v>
      </c>
      <c r="L532" s="167">
        <f ca="1"/>
        <v>1605.44</v>
      </c>
      <c r="AA532">
        <v>31</v>
      </c>
      <c r="AB532">
        <v>2</v>
      </c>
      <c r="AC532" t="str">
        <v>77GM723</v>
      </c>
      <c r="AD532">
        <v>7372</v>
      </c>
      <c r="AE532" t="str">
        <v>dist</v>
      </c>
    </row>
    <row r="533" spans="1:31" hidden="1" x14ac:dyDescent="0.25">
      <c r="A533">
        <v>532</v>
      </c>
      <c r="B533">
        <v>2025</v>
      </c>
      <c r="C533">
        <v>10</v>
      </c>
      <c r="D533">
        <v>31</v>
      </c>
      <c r="E533">
        <v>9</v>
      </c>
      <c r="F533" t="str">
        <v/>
      </c>
      <c r="G533" s="167">
        <v>31</v>
      </c>
      <c r="H533" t="str">
        <v/>
      </c>
      <c r="I533" t="str">
        <v/>
      </c>
      <c r="J533">
        <v>41</v>
      </c>
      <c r="K533" s="167">
        <f ca="1"/>
        <v>55.36</v>
      </c>
      <c r="L533" s="167">
        <f ca="1"/>
        <v>1716.16</v>
      </c>
      <c r="AA533">
        <v>31</v>
      </c>
      <c r="AB533">
        <v>2</v>
      </c>
      <c r="AC533" t="str">
        <v>99DX531</v>
      </c>
      <c r="AD533">
        <v>3304</v>
      </c>
      <c r="AE533" t="str">
        <v>dist</v>
      </c>
    </row>
    <row r="534" spans="1:31" hidden="1" x14ac:dyDescent="0.25">
      <c r="A534">
        <v>533</v>
      </c>
      <c r="B534">
        <v>2025</v>
      </c>
      <c r="C534">
        <v>10</v>
      </c>
      <c r="D534">
        <v>31</v>
      </c>
      <c r="E534">
        <v>9</v>
      </c>
      <c r="F534" t="str">
        <v/>
      </c>
      <c r="G534" s="167">
        <v>17</v>
      </c>
      <c r="H534" t="str">
        <v/>
      </c>
      <c r="I534" t="str">
        <v/>
      </c>
      <c r="J534">
        <v>43</v>
      </c>
      <c r="K534" s="167">
        <f ca="1"/>
        <v>66.069999999999993</v>
      </c>
      <c r="L534" s="167">
        <f ca="1"/>
        <v>1123.1899999999998</v>
      </c>
      <c r="AA534">
        <v>31</v>
      </c>
      <c r="AB534">
        <v>2</v>
      </c>
      <c r="AC534" t="str">
        <v>15BZ942</v>
      </c>
      <c r="AD534">
        <v>3934</v>
      </c>
      <c r="AE534" t="str">
        <v>dist</v>
      </c>
    </row>
    <row r="535" spans="1:31" hidden="1" x14ac:dyDescent="0.25">
      <c r="A535">
        <v>534</v>
      </c>
      <c r="B535">
        <v>2025</v>
      </c>
      <c r="C535">
        <v>10</v>
      </c>
      <c r="D535">
        <v>31</v>
      </c>
      <c r="E535">
        <v>9</v>
      </c>
      <c r="F535" t="str">
        <v/>
      </c>
      <c r="G535" s="167">
        <v>24</v>
      </c>
      <c r="H535" t="str">
        <v/>
      </c>
      <c r="I535" t="str">
        <v/>
      </c>
      <c r="J535">
        <v>45</v>
      </c>
      <c r="K535" s="167">
        <f ca="1"/>
        <v>55.36</v>
      </c>
      <c r="L535" s="167">
        <f ca="1"/>
        <v>1328.6399999999999</v>
      </c>
      <c r="AA535">
        <v>31</v>
      </c>
      <c r="AB535">
        <v>2</v>
      </c>
      <c r="AC535" t="str">
        <v>99BT339</v>
      </c>
      <c r="AD535">
        <v>2558</v>
      </c>
      <c r="AE535" t="str">
        <v>dist</v>
      </c>
    </row>
    <row r="536" spans="1:31" hidden="1" x14ac:dyDescent="0.25">
      <c r="A536">
        <v>535</v>
      </c>
      <c r="B536">
        <v>2025</v>
      </c>
      <c r="C536">
        <v>10</v>
      </c>
      <c r="D536">
        <v>31</v>
      </c>
      <c r="E536">
        <v>9</v>
      </c>
      <c r="F536" t="str">
        <v/>
      </c>
      <c r="G536" s="167">
        <v>30</v>
      </c>
      <c r="H536" t="str">
        <v/>
      </c>
      <c r="I536" t="str">
        <v/>
      </c>
      <c r="J536">
        <v>47</v>
      </c>
      <c r="K536" s="167">
        <f ca="1"/>
        <v>55.36</v>
      </c>
      <c r="L536" s="167">
        <f ca="1"/>
        <v>1660.8</v>
      </c>
      <c r="AA536">
        <v>31</v>
      </c>
      <c r="AB536">
        <v>2</v>
      </c>
      <c r="AC536" t="str">
        <v>77ET143</v>
      </c>
      <c r="AD536">
        <v>1856</v>
      </c>
      <c r="AE536" t="str">
        <v>dist</v>
      </c>
    </row>
    <row r="537" spans="1:31" hidden="1" x14ac:dyDescent="0.25">
      <c r="A537">
        <v>536</v>
      </c>
      <c r="B537">
        <v>2025</v>
      </c>
      <c r="C537">
        <v>10</v>
      </c>
      <c r="D537">
        <v>31</v>
      </c>
      <c r="E537">
        <v>9</v>
      </c>
      <c r="F537" t="str">
        <v/>
      </c>
      <c r="G537" s="167">
        <v>31</v>
      </c>
      <c r="H537" t="str">
        <v/>
      </c>
      <c r="I537" t="str">
        <v/>
      </c>
      <c r="J537">
        <v>49</v>
      </c>
      <c r="K537" s="167">
        <f ca="1"/>
        <v>62.5</v>
      </c>
      <c r="L537" s="167">
        <f ca="1"/>
        <v>1937.5</v>
      </c>
      <c r="AA537">
        <v>31</v>
      </c>
      <c r="AB537">
        <v>2</v>
      </c>
      <c r="AC537" t="str">
        <v>50DK730</v>
      </c>
      <c r="AD537">
        <v>7361</v>
      </c>
      <c r="AE537" t="str">
        <v>dist</v>
      </c>
    </row>
    <row r="538" spans="1:31" hidden="1" x14ac:dyDescent="0.25">
      <c r="A538">
        <v>537</v>
      </c>
      <c r="B538">
        <v>2025</v>
      </c>
      <c r="C538">
        <v>10</v>
      </c>
      <c r="D538">
        <v>31</v>
      </c>
      <c r="E538">
        <v>9</v>
      </c>
      <c r="F538" t="str">
        <v/>
      </c>
      <c r="G538" s="167">
        <v>19</v>
      </c>
      <c r="H538" t="str">
        <v/>
      </c>
      <c r="I538" t="str">
        <v/>
      </c>
      <c r="J538">
        <v>23</v>
      </c>
      <c r="K538" s="167">
        <f ca="1"/>
        <v>66.069999999999993</v>
      </c>
      <c r="L538" s="167">
        <f ca="1"/>
        <v>1255.33</v>
      </c>
      <c r="AA538">
        <v>31</v>
      </c>
      <c r="AB538">
        <v>2</v>
      </c>
      <c r="AC538" t="str">
        <v>99MN472</v>
      </c>
      <c r="AD538">
        <v>4310</v>
      </c>
      <c r="AE538" t="str">
        <v>dist</v>
      </c>
    </row>
    <row r="539" spans="1:31" hidden="1" x14ac:dyDescent="0.25">
      <c r="A539">
        <v>538</v>
      </c>
      <c r="B539">
        <v>2025</v>
      </c>
      <c r="C539">
        <v>10</v>
      </c>
      <c r="D539">
        <v>31</v>
      </c>
      <c r="E539">
        <v>9</v>
      </c>
      <c r="F539" t="str">
        <v/>
      </c>
      <c r="G539" s="167">
        <v>2</v>
      </c>
      <c r="H539" t="str">
        <v/>
      </c>
      <c r="I539" t="str">
        <v/>
      </c>
      <c r="J539">
        <v>55</v>
      </c>
      <c r="K539" s="167">
        <f ca="1"/>
        <v>55.36</v>
      </c>
      <c r="L539" s="167">
        <f ca="1"/>
        <v>110.72</v>
      </c>
      <c r="AA539">
        <v>31</v>
      </c>
      <c r="AB539">
        <v>2</v>
      </c>
      <c r="AC539" t="str">
        <v>52BK688</v>
      </c>
      <c r="AD539">
        <v>5260</v>
      </c>
      <c r="AE539" t="str">
        <v>dist</v>
      </c>
    </row>
    <row r="540" spans="1:31" hidden="1" x14ac:dyDescent="0.25">
      <c r="A540">
        <v>539</v>
      </c>
      <c r="B540">
        <v>2025</v>
      </c>
      <c r="C540">
        <v>10</v>
      </c>
      <c r="D540">
        <v>31</v>
      </c>
      <c r="E540">
        <v>9</v>
      </c>
      <c r="F540" t="str">
        <v/>
      </c>
      <c r="G540" s="167">
        <v>30</v>
      </c>
      <c r="H540" t="str">
        <v/>
      </c>
      <c r="I540" t="str">
        <v/>
      </c>
      <c r="J540">
        <v>57</v>
      </c>
      <c r="K540" s="167">
        <f ca="1"/>
        <v>55.36</v>
      </c>
      <c r="L540" s="167">
        <f ca="1"/>
        <v>1660.8</v>
      </c>
      <c r="AA540">
        <v>31</v>
      </c>
      <c r="AB540">
        <v>2</v>
      </c>
      <c r="AC540" t="str">
        <v>10RN527</v>
      </c>
      <c r="AD540">
        <v>2053</v>
      </c>
      <c r="AE540" t="str">
        <v>dist</v>
      </c>
    </row>
    <row r="541" spans="1:31" hidden="1" x14ac:dyDescent="0.25">
      <c r="A541">
        <v>540</v>
      </c>
      <c r="B541">
        <v>2025</v>
      </c>
      <c r="C541">
        <v>10</v>
      </c>
      <c r="D541">
        <v>31</v>
      </c>
      <c r="E541">
        <v>9</v>
      </c>
      <c r="F541" t="str">
        <v/>
      </c>
      <c r="G541" s="167">
        <v>30</v>
      </c>
      <c r="H541" t="str">
        <v/>
      </c>
      <c r="I541" t="str">
        <v/>
      </c>
      <c r="J541">
        <v>13</v>
      </c>
      <c r="K541" s="167">
        <f ca="1"/>
        <v>46.67</v>
      </c>
      <c r="L541" s="167">
        <f ca="1"/>
        <v>1400.1000000000001</v>
      </c>
      <c r="AA541">
        <v>31</v>
      </c>
      <c r="AB541">
        <v>2</v>
      </c>
      <c r="AC541" t="str">
        <v>77RN868</v>
      </c>
      <c r="AD541">
        <v>1921</v>
      </c>
      <c r="AE541" t="str">
        <v>dist</v>
      </c>
    </row>
    <row r="542" spans="1:31" hidden="1" x14ac:dyDescent="0.25">
      <c r="A542">
        <v>541</v>
      </c>
      <c r="B542">
        <v>2025</v>
      </c>
      <c r="C542">
        <v>10</v>
      </c>
      <c r="D542">
        <v>31</v>
      </c>
      <c r="E542">
        <v>9</v>
      </c>
      <c r="F542" t="str">
        <v/>
      </c>
      <c r="G542" s="167">
        <v>7</v>
      </c>
      <c r="H542" t="str">
        <v/>
      </c>
      <c r="I542" t="str">
        <v/>
      </c>
      <c r="J542">
        <v>21</v>
      </c>
      <c r="K542" s="167">
        <f ca="1"/>
        <v>96.43</v>
      </c>
      <c r="L542" s="167">
        <f ca="1"/>
        <v>675.01</v>
      </c>
      <c r="AA542">
        <v>31</v>
      </c>
      <c r="AB542">
        <v>2</v>
      </c>
      <c r="AC542" t="str">
        <v>99LM412</v>
      </c>
      <c r="AD542">
        <v>295</v>
      </c>
      <c r="AE542" t="str">
        <v>dist</v>
      </c>
    </row>
    <row r="543" spans="1:31" hidden="1" x14ac:dyDescent="0.25">
      <c r="A543">
        <v>542</v>
      </c>
      <c r="B543">
        <v>2025</v>
      </c>
      <c r="C543">
        <v>10</v>
      </c>
      <c r="D543">
        <v>31</v>
      </c>
      <c r="E543">
        <v>9</v>
      </c>
      <c r="F543" t="str">
        <v/>
      </c>
      <c r="G543" s="167">
        <v>30</v>
      </c>
      <c r="H543" t="str">
        <v/>
      </c>
      <c r="I543" t="str">
        <v/>
      </c>
      <c r="J543">
        <v>73</v>
      </c>
      <c r="K543" s="167">
        <f ca="1"/>
        <v>73.33</v>
      </c>
      <c r="L543" s="167">
        <f ca="1"/>
        <v>2199.9</v>
      </c>
      <c r="AA543">
        <v>31</v>
      </c>
      <c r="AB543">
        <v>2</v>
      </c>
      <c r="AC543" t="str">
        <v>99TV366</v>
      </c>
      <c r="AD543">
        <v>821</v>
      </c>
      <c r="AE543" t="str">
        <v>dist</v>
      </c>
    </row>
    <row r="544" spans="1:31" hidden="1" x14ac:dyDescent="0.25">
      <c r="A544">
        <v>543</v>
      </c>
      <c r="B544">
        <v>2025</v>
      </c>
      <c r="C544">
        <v>10</v>
      </c>
      <c r="D544">
        <v>31</v>
      </c>
      <c r="E544">
        <v>9</v>
      </c>
      <c r="F544" t="str">
        <v/>
      </c>
      <c r="G544" s="167">
        <v>28</v>
      </c>
      <c r="H544" t="str">
        <v/>
      </c>
      <c r="I544" t="str">
        <v/>
      </c>
      <c r="J544">
        <v>75</v>
      </c>
      <c r="K544" s="167">
        <f ca="1"/>
        <v>55.36</v>
      </c>
      <c r="L544" s="167">
        <f ca="1"/>
        <v>1550.08</v>
      </c>
      <c r="AA544">
        <v>31</v>
      </c>
      <c r="AB544">
        <v>3</v>
      </c>
      <c r="AC544" t="str">
        <v>99HZ395</v>
      </c>
      <c r="AD544">
        <v>4605</v>
      </c>
      <c r="AE544" t="str">
        <v>dist</v>
      </c>
    </row>
    <row r="545" spans="1:31" hidden="1" x14ac:dyDescent="0.25">
      <c r="A545">
        <v>544</v>
      </c>
      <c r="B545">
        <v>2025</v>
      </c>
      <c r="C545">
        <v>10</v>
      </c>
      <c r="D545">
        <v>31</v>
      </c>
      <c r="E545">
        <v>9</v>
      </c>
      <c r="F545" t="str">
        <v/>
      </c>
      <c r="G545" s="167">
        <v>29</v>
      </c>
      <c r="H545" t="str">
        <v/>
      </c>
      <c r="I545" t="str">
        <v/>
      </c>
      <c r="J545">
        <v>77</v>
      </c>
      <c r="K545" s="167">
        <f ca="1"/>
        <v>55.36</v>
      </c>
      <c r="L545" s="167">
        <f ca="1"/>
        <v>1605.44</v>
      </c>
      <c r="AA545">
        <v>31</v>
      </c>
      <c r="AB545">
        <v>3</v>
      </c>
      <c r="AC545" t="str">
        <v>90ZP408</v>
      </c>
      <c r="AD545">
        <v>2803</v>
      </c>
      <c r="AE545" t="str">
        <v>dist</v>
      </c>
    </row>
    <row r="546" spans="1:31" hidden="1" x14ac:dyDescent="0.25">
      <c r="A546">
        <v>545</v>
      </c>
      <c r="B546">
        <v>2025</v>
      </c>
      <c r="C546">
        <v>10</v>
      </c>
      <c r="D546">
        <v>31</v>
      </c>
      <c r="E546">
        <v>9</v>
      </c>
      <c r="F546" t="str">
        <v/>
      </c>
      <c r="G546" s="167">
        <v>31</v>
      </c>
      <c r="H546" t="str">
        <v/>
      </c>
      <c r="I546" t="str">
        <v/>
      </c>
      <c r="J546">
        <v>118</v>
      </c>
      <c r="K546" s="167">
        <f ca="1"/>
        <v>275</v>
      </c>
      <c r="L546" s="167">
        <f ca="1"/>
        <v>8525</v>
      </c>
      <c r="AA546">
        <v>31</v>
      </c>
      <c r="AB546">
        <v>3</v>
      </c>
      <c r="AC546" t="str">
        <v>66CC029</v>
      </c>
      <c r="AD546">
        <v>5354</v>
      </c>
      <c r="AE546" t="str">
        <v>dist</v>
      </c>
    </row>
    <row r="547" spans="1:31" hidden="1" x14ac:dyDescent="0.25">
      <c r="A547">
        <v>546</v>
      </c>
      <c r="B547">
        <v>2025</v>
      </c>
      <c r="C547">
        <v>10</v>
      </c>
      <c r="D547">
        <v>31</v>
      </c>
      <c r="E547">
        <v>9</v>
      </c>
      <c r="F547" t="str">
        <v/>
      </c>
      <c r="G547" s="167">
        <v>30</v>
      </c>
      <c r="H547" t="str">
        <v/>
      </c>
      <c r="I547" t="str">
        <v/>
      </c>
      <c r="J547">
        <v>79</v>
      </c>
      <c r="K547" s="167">
        <f ca="1"/>
        <v>62.5</v>
      </c>
      <c r="L547" s="167">
        <f ca="1"/>
        <v>1875</v>
      </c>
      <c r="AA547">
        <v>31</v>
      </c>
      <c r="AB547">
        <v>3</v>
      </c>
      <c r="AC547" t="str">
        <v>90SL686</v>
      </c>
      <c r="AD547">
        <v>6884</v>
      </c>
      <c r="AE547" t="str">
        <v>dist</v>
      </c>
    </row>
    <row r="548" spans="1:31" hidden="1" x14ac:dyDescent="0.25">
      <c r="A548">
        <v>547</v>
      </c>
      <c r="B548">
        <v>2025</v>
      </c>
      <c r="C548">
        <v>10</v>
      </c>
      <c r="D548">
        <v>31</v>
      </c>
      <c r="E548">
        <v>9</v>
      </c>
      <c r="F548" t="str">
        <v/>
      </c>
      <c r="G548" s="167">
        <v>31</v>
      </c>
      <c r="H548" t="str">
        <v/>
      </c>
      <c r="I548" t="str">
        <v/>
      </c>
      <c r="J548">
        <v>81</v>
      </c>
      <c r="K548" s="167">
        <f ca="1"/>
        <v>55.36</v>
      </c>
      <c r="L548" s="167">
        <f ca="1"/>
        <v>1716.16</v>
      </c>
      <c r="AA548">
        <v>31</v>
      </c>
      <c r="AB548">
        <v>3</v>
      </c>
      <c r="AC548" t="str">
        <v>55CB633</v>
      </c>
      <c r="AD548">
        <v>2918</v>
      </c>
      <c r="AE548" t="str">
        <v>dist</v>
      </c>
    </row>
    <row r="549" spans="1:31" hidden="1" x14ac:dyDescent="0.25">
      <c r="A549">
        <v>548</v>
      </c>
      <c r="B549">
        <v>2025</v>
      </c>
      <c r="C549">
        <v>10</v>
      </c>
      <c r="D549">
        <v>31</v>
      </c>
      <c r="E549">
        <v>9</v>
      </c>
      <c r="F549" t="str">
        <v/>
      </c>
      <c r="G549" s="167">
        <v>30</v>
      </c>
      <c r="H549" t="str">
        <v/>
      </c>
      <c r="I549" t="str">
        <v/>
      </c>
      <c r="J549">
        <v>83</v>
      </c>
      <c r="K549" s="167">
        <f ca="1"/>
        <v>73.33</v>
      </c>
      <c r="L549" s="167">
        <f ca="1"/>
        <v>2199.9</v>
      </c>
      <c r="AA549">
        <v>31</v>
      </c>
      <c r="AB549">
        <v>3</v>
      </c>
      <c r="AC549" t="str">
        <v>99BT339</v>
      </c>
      <c r="AD549">
        <v>3956</v>
      </c>
      <c r="AE549" t="str">
        <v>dist</v>
      </c>
    </row>
    <row r="550" spans="1:31" hidden="1" x14ac:dyDescent="0.25">
      <c r="A550">
        <v>549</v>
      </c>
      <c r="B550">
        <v>2025</v>
      </c>
      <c r="C550">
        <v>10</v>
      </c>
      <c r="D550">
        <v>31</v>
      </c>
      <c r="E550">
        <v>9</v>
      </c>
      <c r="F550" t="str">
        <v/>
      </c>
      <c r="G550" s="167">
        <v>30</v>
      </c>
      <c r="H550" t="str">
        <v/>
      </c>
      <c r="I550" t="str">
        <v/>
      </c>
      <c r="J550">
        <v>85</v>
      </c>
      <c r="K550" s="167">
        <f ca="1"/>
        <v>40</v>
      </c>
      <c r="L550" s="167">
        <f ca="1"/>
        <v>1200</v>
      </c>
      <c r="AA550">
        <v>31</v>
      </c>
      <c r="AB550">
        <v>3</v>
      </c>
      <c r="AC550" t="str">
        <v>77ET143</v>
      </c>
      <c r="AD550">
        <v>2652</v>
      </c>
      <c r="AE550" t="str">
        <v>dist</v>
      </c>
    </row>
    <row r="551" spans="1:31" hidden="1" x14ac:dyDescent="0.25">
      <c r="A551">
        <v>550</v>
      </c>
      <c r="B551">
        <v>2025</v>
      </c>
      <c r="C551">
        <v>10</v>
      </c>
      <c r="D551">
        <v>31</v>
      </c>
      <c r="E551">
        <v>9</v>
      </c>
      <c r="F551" t="str">
        <v/>
      </c>
      <c r="G551" s="167">
        <v>31</v>
      </c>
      <c r="H551" t="str">
        <v/>
      </c>
      <c r="I551" t="str">
        <v/>
      </c>
      <c r="J551">
        <v>87</v>
      </c>
      <c r="K551" s="167">
        <f ca="1"/>
        <v>55.36</v>
      </c>
      <c r="L551" s="167">
        <f ca="1"/>
        <v>1716.16</v>
      </c>
      <c r="AA551">
        <v>31</v>
      </c>
      <c r="AB551">
        <v>3</v>
      </c>
      <c r="AC551" t="str">
        <v>50DK730</v>
      </c>
      <c r="AD551">
        <v>7737</v>
      </c>
      <c r="AE551" t="str">
        <v>dist</v>
      </c>
    </row>
    <row r="552" spans="1:31" hidden="1" x14ac:dyDescent="0.25">
      <c r="A552">
        <v>551</v>
      </c>
      <c r="B552">
        <v>2025</v>
      </c>
      <c r="C552">
        <v>10</v>
      </c>
      <c r="D552">
        <v>31</v>
      </c>
      <c r="E552">
        <v>9</v>
      </c>
      <c r="F552" t="str">
        <v/>
      </c>
      <c r="G552" s="167">
        <v>30</v>
      </c>
      <c r="H552" t="str">
        <v/>
      </c>
      <c r="I552" t="str">
        <v/>
      </c>
      <c r="J552">
        <v>89</v>
      </c>
      <c r="K552" s="167">
        <f ca="1"/>
        <v>40</v>
      </c>
      <c r="L552" s="167">
        <f ca="1"/>
        <v>1200</v>
      </c>
      <c r="AA552">
        <v>31</v>
      </c>
      <c r="AB552">
        <v>3</v>
      </c>
      <c r="AC552" t="str">
        <v>99MN472</v>
      </c>
      <c r="AD552">
        <v>4458</v>
      </c>
      <c r="AE552" t="str">
        <v>dist</v>
      </c>
    </row>
    <row r="553" spans="1:31" hidden="1" x14ac:dyDescent="0.25">
      <c r="A553">
        <v>552</v>
      </c>
      <c r="B553">
        <v>2025</v>
      </c>
      <c r="C553">
        <v>10</v>
      </c>
      <c r="D553">
        <v>31</v>
      </c>
      <c r="E553">
        <v>9</v>
      </c>
      <c r="F553" t="str">
        <v/>
      </c>
      <c r="G553" s="167">
        <v>31</v>
      </c>
      <c r="H553" t="str">
        <v/>
      </c>
      <c r="I553" t="str">
        <v/>
      </c>
      <c r="J553">
        <v>93</v>
      </c>
      <c r="K553" s="167">
        <f ca="1"/>
        <v>55.36</v>
      </c>
      <c r="L553" s="167">
        <f ca="1"/>
        <v>1716.16</v>
      </c>
      <c r="AA553">
        <v>31</v>
      </c>
      <c r="AB553">
        <v>3</v>
      </c>
      <c r="AC553" t="str">
        <v>52BK688</v>
      </c>
      <c r="AD553">
        <v>975</v>
      </c>
      <c r="AE553" t="str">
        <v>dist</v>
      </c>
    </row>
    <row r="554" spans="1:31" hidden="1" x14ac:dyDescent="0.25">
      <c r="A554">
        <v>553</v>
      </c>
      <c r="B554">
        <v>2025</v>
      </c>
      <c r="C554">
        <v>10</v>
      </c>
      <c r="D554">
        <v>31</v>
      </c>
      <c r="E554">
        <v>9</v>
      </c>
      <c r="F554" t="str">
        <v/>
      </c>
      <c r="G554" s="167">
        <v>30</v>
      </c>
      <c r="H554" t="str">
        <v/>
      </c>
      <c r="I554" t="str">
        <v/>
      </c>
      <c r="J554">
        <v>94</v>
      </c>
      <c r="K554" s="167">
        <f ca="1"/>
        <v>55.36</v>
      </c>
      <c r="L554" s="167">
        <f ca="1"/>
        <v>1660.8</v>
      </c>
      <c r="AA554">
        <v>31</v>
      </c>
      <c r="AB554">
        <v>3</v>
      </c>
      <c r="AC554" t="str">
        <v>77RN868</v>
      </c>
      <c r="AD554">
        <v>4040</v>
      </c>
      <c r="AE554" t="str">
        <v>dist</v>
      </c>
    </row>
    <row r="555" spans="1:31" hidden="1" x14ac:dyDescent="0.25">
      <c r="A555">
        <v>554</v>
      </c>
      <c r="B555">
        <v>2025</v>
      </c>
      <c r="C555">
        <v>10</v>
      </c>
      <c r="D555">
        <v>31</v>
      </c>
      <c r="E555">
        <v>9</v>
      </c>
      <c r="F555" t="str">
        <v/>
      </c>
      <c r="G555" s="167">
        <v>30</v>
      </c>
      <c r="H555" t="str">
        <v/>
      </c>
      <c r="I555" t="str">
        <v/>
      </c>
      <c r="J555">
        <v>101</v>
      </c>
      <c r="K555" s="167">
        <f ca="1"/>
        <v>66.069999999999993</v>
      </c>
      <c r="L555" s="167">
        <f ca="1"/>
        <v>1982.1</v>
      </c>
      <c r="AA555">
        <v>31</v>
      </c>
      <c r="AB555">
        <v>3</v>
      </c>
      <c r="AC555" t="str">
        <v>99LM412</v>
      </c>
      <c r="AD555">
        <v>1501</v>
      </c>
      <c r="AE555" t="str">
        <v>dist</v>
      </c>
    </row>
    <row r="556" spans="1:31" hidden="1" x14ac:dyDescent="0.25">
      <c r="A556">
        <v>555</v>
      </c>
      <c r="B556">
        <v>2025</v>
      </c>
      <c r="C556">
        <v>10</v>
      </c>
      <c r="D556">
        <v>31</v>
      </c>
      <c r="E556">
        <v>9</v>
      </c>
      <c r="F556" t="str">
        <v/>
      </c>
      <c r="G556" s="167">
        <v>12</v>
      </c>
      <c r="H556" t="str">
        <v/>
      </c>
      <c r="I556" t="str">
        <v/>
      </c>
      <c r="J556">
        <v>104</v>
      </c>
      <c r="K556" s="167">
        <f ca="1"/>
        <v>62.5</v>
      </c>
      <c r="L556" s="167">
        <f ca="1"/>
        <v>750</v>
      </c>
      <c r="AA556">
        <v>31</v>
      </c>
      <c r="AB556">
        <v>3</v>
      </c>
      <c r="AC556" t="str">
        <v>50BD165</v>
      </c>
      <c r="AD556">
        <v>966</v>
      </c>
      <c r="AE556" t="str">
        <v>dist</v>
      </c>
    </row>
    <row r="557" spans="1:31" hidden="1" x14ac:dyDescent="0.25">
      <c r="A557">
        <v>556</v>
      </c>
      <c r="B557">
        <v>2025</v>
      </c>
      <c r="C557">
        <v>10</v>
      </c>
      <c r="D557">
        <v>31</v>
      </c>
      <c r="E557">
        <v>9</v>
      </c>
      <c r="F557" t="str">
        <v/>
      </c>
      <c r="G557" s="167">
        <v>29</v>
      </c>
      <c r="H557" t="str">
        <v/>
      </c>
      <c r="I557" t="str">
        <v/>
      </c>
      <c r="J557">
        <v>3</v>
      </c>
      <c r="K557" s="167">
        <f ca="1"/>
        <v>65</v>
      </c>
      <c r="L557" s="167">
        <f ca="1"/>
        <v>1885</v>
      </c>
      <c r="AA557">
        <v>31</v>
      </c>
      <c r="AB557">
        <v>3</v>
      </c>
      <c r="AC557" t="str">
        <v>77QE133</v>
      </c>
      <c r="AD557">
        <v>1592</v>
      </c>
      <c r="AE557" t="str">
        <v>dist</v>
      </c>
    </row>
    <row r="558" spans="1:31" hidden="1" x14ac:dyDescent="0.25">
      <c r="A558">
        <v>557</v>
      </c>
      <c r="B558">
        <v>2025</v>
      </c>
      <c r="C558">
        <v>10</v>
      </c>
      <c r="D558">
        <v>31</v>
      </c>
      <c r="E558">
        <v>9</v>
      </c>
      <c r="F558" t="str">
        <v/>
      </c>
      <c r="G558" s="167">
        <v>31</v>
      </c>
      <c r="H558" t="str">
        <v/>
      </c>
      <c r="I558" t="str">
        <v/>
      </c>
      <c r="J558">
        <v>106</v>
      </c>
      <c r="K558" s="167">
        <f ca="1"/>
        <v>55.36</v>
      </c>
      <c r="L558" s="167">
        <f ca="1"/>
        <v>1716.16</v>
      </c>
      <c r="AA558">
        <v>31</v>
      </c>
      <c r="AB558">
        <v>4</v>
      </c>
      <c r="AC558" t="str">
        <v>99HZ395</v>
      </c>
      <c r="AD558">
        <v>5134</v>
      </c>
      <c r="AE558" t="str">
        <v>dist</v>
      </c>
    </row>
    <row r="559" spans="1:31" hidden="1" x14ac:dyDescent="0.25">
      <c r="A559">
        <v>558</v>
      </c>
      <c r="B559">
        <v>2025</v>
      </c>
      <c r="C559">
        <v>10</v>
      </c>
      <c r="D559">
        <v>31</v>
      </c>
      <c r="E559">
        <v>9</v>
      </c>
      <c r="F559" t="str">
        <v/>
      </c>
      <c r="G559" s="167">
        <v>31</v>
      </c>
      <c r="H559" t="str">
        <v/>
      </c>
      <c r="I559" t="str">
        <v/>
      </c>
      <c r="J559">
        <v>116</v>
      </c>
      <c r="K559" s="167">
        <f ca="1"/>
        <v>55.36</v>
      </c>
      <c r="L559" s="167">
        <f ca="1"/>
        <v>1716.16</v>
      </c>
      <c r="AA559">
        <v>31</v>
      </c>
      <c r="AB559">
        <v>4</v>
      </c>
      <c r="AC559" t="str">
        <v>90ZP408</v>
      </c>
      <c r="AD559">
        <v>896</v>
      </c>
      <c r="AE559" t="str">
        <v>dist</v>
      </c>
    </row>
    <row r="560" spans="1:31" hidden="1" x14ac:dyDescent="0.25">
      <c r="A560">
        <v>559</v>
      </c>
      <c r="B560">
        <v>2025</v>
      </c>
      <c r="C560">
        <v>10</v>
      </c>
      <c r="D560">
        <v>31</v>
      </c>
      <c r="E560">
        <v>9</v>
      </c>
      <c r="F560" t="str">
        <v/>
      </c>
      <c r="G560" s="167">
        <v>28</v>
      </c>
      <c r="H560" t="str">
        <v/>
      </c>
      <c r="I560" t="str">
        <v/>
      </c>
      <c r="J560">
        <v>108</v>
      </c>
      <c r="K560" s="167">
        <f ca="1"/>
        <v>55.36</v>
      </c>
      <c r="L560" s="167">
        <f ca="1"/>
        <v>1550.08</v>
      </c>
      <c r="AA560">
        <v>31</v>
      </c>
      <c r="AB560">
        <v>4</v>
      </c>
      <c r="AC560" t="str">
        <v>66CC029</v>
      </c>
      <c r="AD560">
        <v>5403</v>
      </c>
      <c r="AE560" t="str">
        <v>dist</v>
      </c>
    </row>
    <row r="561" spans="1:31" hidden="1" x14ac:dyDescent="0.25">
      <c r="A561">
        <v>560</v>
      </c>
      <c r="B561">
        <v>2025</v>
      </c>
      <c r="C561">
        <v>10</v>
      </c>
      <c r="D561">
        <v>31</v>
      </c>
      <c r="E561">
        <v>9</v>
      </c>
      <c r="F561" t="str">
        <v/>
      </c>
      <c r="G561" s="167">
        <v>30</v>
      </c>
      <c r="H561" t="str">
        <v/>
      </c>
      <c r="I561" t="str">
        <v/>
      </c>
      <c r="J561">
        <v>109</v>
      </c>
      <c r="K561" s="167">
        <f ca="1"/>
        <v>55.36</v>
      </c>
      <c r="L561" s="167">
        <f ca="1"/>
        <v>1660.8</v>
      </c>
      <c r="AA561">
        <v>31</v>
      </c>
      <c r="AB561">
        <v>4</v>
      </c>
      <c r="AC561" t="str">
        <v>90SL686</v>
      </c>
      <c r="AD561">
        <v>7774</v>
      </c>
      <c r="AE561" t="str">
        <v>dist</v>
      </c>
    </row>
    <row r="562" spans="1:31" hidden="1" x14ac:dyDescent="0.25">
      <c r="A562">
        <v>561</v>
      </c>
      <c r="B562">
        <v>2025</v>
      </c>
      <c r="C562">
        <v>10</v>
      </c>
      <c r="D562">
        <v>31</v>
      </c>
      <c r="E562">
        <v>9</v>
      </c>
      <c r="F562" t="str">
        <v/>
      </c>
      <c r="G562" s="167">
        <v>31</v>
      </c>
      <c r="H562" t="str">
        <v/>
      </c>
      <c r="I562" t="str">
        <v/>
      </c>
      <c r="J562">
        <v>114</v>
      </c>
      <c r="K562" s="167">
        <f ca="1"/>
        <v>58.93</v>
      </c>
      <c r="L562" s="167">
        <f ca="1"/>
        <v>1826.83</v>
      </c>
      <c r="AA562">
        <v>31</v>
      </c>
      <c r="AB562">
        <v>4</v>
      </c>
      <c r="AC562" t="str">
        <v>55CB633</v>
      </c>
      <c r="AD562">
        <v>2647</v>
      </c>
      <c r="AE562" t="str">
        <v>dist</v>
      </c>
    </row>
    <row r="563" spans="1:31" hidden="1" x14ac:dyDescent="0.25">
      <c r="A563">
        <v>562</v>
      </c>
      <c r="B563">
        <v>2025</v>
      </c>
      <c r="C563">
        <v>10</v>
      </c>
      <c r="D563">
        <v>31</v>
      </c>
      <c r="E563">
        <v>9</v>
      </c>
      <c r="F563" t="str">
        <v/>
      </c>
      <c r="G563" s="167">
        <v>31</v>
      </c>
      <c r="H563" t="str">
        <v/>
      </c>
      <c r="I563" t="str">
        <v/>
      </c>
      <c r="J563">
        <v>63</v>
      </c>
      <c r="K563" s="167">
        <f ca="1"/>
        <v>99.65</v>
      </c>
      <c r="L563" s="167">
        <f ca="1"/>
        <v>3089.15</v>
      </c>
      <c r="AA563">
        <v>31</v>
      </c>
      <c r="AB563">
        <v>4</v>
      </c>
      <c r="AC563" t="str">
        <v>99BT339</v>
      </c>
      <c r="AD563">
        <v>4054</v>
      </c>
      <c r="AE563" t="str">
        <v>dist</v>
      </c>
    </row>
    <row r="564" spans="1:31" hidden="1" x14ac:dyDescent="0.25">
      <c r="A564">
        <v>563</v>
      </c>
      <c r="B564">
        <v>2025</v>
      </c>
      <c r="C564">
        <v>10</v>
      </c>
      <c r="D564">
        <v>31</v>
      </c>
      <c r="E564">
        <v>9</v>
      </c>
      <c r="F564" t="str">
        <v/>
      </c>
      <c r="G564" s="167">
        <v>31</v>
      </c>
      <c r="H564" t="str">
        <v/>
      </c>
      <c r="I564" t="str">
        <v/>
      </c>
      <c r="J564">
        <v>98</v>
      </c>
      <c r="K564" s="167">
        <f ca="1"/>
        <v>99.65</v>
      </c>
      <c r="L564" s="167">
        <f ca="1"/>
        <v>3089.15</v>
      </c>
      <c r="AA564">
        <v>31</v>
      </c>
      <c r="AB564">
        <v>4</v>
      </c>
      <c r="AC564" t="str">
        <v>77ET143</v>
      </c>
      <c r="AD564">
        <v>2575</v>
      </c>
      <c r="AE564" t="str">
        <v>dist</v>
      </c>
    </row>
    <row r="565" spans="1:31" hidden="1" x14ac:dyDescent="0.25">
      <c r="A565">
        <v>564</v>
      </c>
      <c r="B565">
        <v>2025</v>
      </c>
      <c r="C565">
        <v>10</v>
      </c>
      <c r="D565">
        <v>31</v>
      </c>
      <c r="E565">
        <v>9</v>
      </c>
      <c r="F565" t="str">
        <v/>
      </c>
      <c r="G565" s="167">
        <v>87</v>
      </c>
      <c r="H565" t="str">
        <v/>
      </c>
      <c r="I565" t="str">
        <v/>
      </c>
      <c r="J565">
        <v>30</v>
      </c>
      <c r="K565" s="167">
        <f ca="1"/>
        <v>6.25</v>
      </c>
      <c r="L565" s="167">
        <f ca="1"/>
        <v>543.75</v>
      </c>
      <c r="AA565">
        <v>31</v>
      </c>
      <c r="AB565">
        <v>4</v>
      </c>
      <c r="AC565" t="str">
        <v>50DK730</v>
      </c>
      <c r="AD565">
        <v>7598</v>
      </c>
      <c r="AE565" t="str">
        <v>dist</v>
      </c>
    </row>
    <row r="566" spans="1:31" hidden="1" x14ac:dyDescent="0.25">
      <c r="A566">
        <v>565</v>
      </c>
      <c r="B566">
        <v>2025</v>
      </c>
      <c r="C566">
        <v>10</v>
      </c>
      <c r="D566">
        <v>31</v>
      </c>
      <c r="E566">
        <v>9</v>
      </c>
      <c r="F566" t="str">
        <v/>
      </c>
      <c r="G566" s="167">
        <v>87</v>
      </c>
      <c r="H566" t="str">
        <v/>
      </c>
      <c r="I566" t="str">
        <v/>
      </c>
      <c r="J566">
        <v>38</v>
      </c>
      <c r="K566" s="167">
        <f ca="1"/>
        <v>5.5359999999999996</v>
      </c>
      <c r="L566" s="167">
        <f ca="1"/>
        <v>481.63199999999995</v>
      </c>
      <c r="AA566">
        <v>31</v>
      </c>
      <c r="AB566">
        <v>4</v>
      </c>
      <c r="AC566" t="str">
        <v>99MN472</v>
      </c>
      <c r="AD566">
        <v>4659</v>
      </c>
      <c r="AE566" t="str">
        <v>dist</v>
      </c>
    </row>
    <row r="567" spans="1:31" hidden="1" x14ac:dyDescent="0.25">
      <c r="A567">
        <v>566</v>
      </c>
      <c r="B567">
        <v>2025</v>
      </c>
      <c r="C567">
        <v>10</v>
      </c>
      <c r="D567">
        <v>31</v>
      </c>
      <c r="E567">
        <v>9</v>
      </c>
      <c r="F567" t="str">
        <v/>
      </c>
      <c r="G567" s="167">
        <v>28.999999999999975</v>
      </c>
      <c r="H567" t="str">
        <v/>
      </c>
      <c r="I567" t="str">
        <v/>
      </c>
      <c r="J567">
        <v>40</v>
      </c>
      <c r="K567" s="167">
        <f ca="1"/>
        <v>5.5359999999999996</v>
      </c>
      <c r="L567" s="167">
        <f ca="1"/>
        <v>160.54399999999984</v>
      </c>
      <c r="AA567">
        <v>31</v>
      </c>
      <c r="AB567">
        <v>4</v>
      </c>
      <c r="AC567" t="str">
        <v>99LM412</v>
      </c>
      <c r="AD567">
        <v>870</v>
      </c>
      <c r="AE567" t="str">
        <v>dist</v>
      </c>
    </row>
    <row r="568" spans="1:31" hidden="1" x14ac:dyDescent="0.25">
      <c r="A568">
        <v>567</v>
      </c>
      <c r="B568">
        <v>2025</v>
      </c>
      <c r="C568">
        <v>10</v>
      </c>
      <c r="D568">
        <v>31</v>
      </c>
      <c r="E568">
        <v>9</v>
      </c>
      <c r="F568" t="str">
        <v/>
      </c>
      <c r="G568" s="167">
        <v>35.999999999999943</v>
      </c>
      <c r="H568" t="str">
        <v/>
      </c>
      <c r="I568" t="str">
        <v/>
      </c>
      <c r="J568">
        <v>42</v>
      </c>
      <c r="K568" s="167">
        <f ca="1"/>
        <v>6.6070000000000002</v>
      </c>
      <c r="L568" s="167">
        <f ca="1"/>
        <v>237.85199999999963</v>
      </c>
      <c r="AA568">
        <v>31</v>
      </c>
      <c r="AB568">
        <v>4</v>
      </c>
      <c r="AC568" t="str">
        <v>50BD165</v>
      </c>
      <c r="AD568">
        <v>918</v>
      </c>
      <c r="AE568" t="str">
        <v>dist</v>
      </c>
    </row>
    <row r="569" spans="1:31" hidden="1" x14ac:dyDescent="0.25">
      <c r="A569">
        <v>568</v>
      </c>
      <c r="B569">
        <v>2025</v>
      </c>
      <c r="C569">
        <v>10</v>
      </c>
      <c r="D569">
        <v>31</v>
      </c>
      <c r="E569">
        <v>9</v>
      </c>
      <c r="F569" t="str">
        <v/>
      </c>
      <c r="G569" s="167">
        <v>72</v>
      </c>
      <c r="H569" t="str">
        <v/>
      </c>
      <c r="I569" t="str">
        <v/>
      </c>
      <c r="J569">
        <v>44</v>
      </c>
      <c r="K569" s="167">
        <f ca="1"/>
        <v>5.5359999999999996</v>
      </c>
      <c r="L569" s="167">
        <f ca="1"/>
        <v>398.59199999999998</v>
      </c>
      <c r="AA569">
        <v>31</v>
      </c>
      <c r="AB569">
        <v>4</v>
      </c>
      <c r="AC569" t="str">
        <v>77QE133</v>
      </c>
      <c r="AD569">
        <v>5675</v>
      </c>
      <c r="AE569" t="str">
        <v>dist</v>
      </c>
    </row>
    <row r="570" spans="1:31" hidden="1" x14ac:dyDescent="0.25">
      <c r="A570">
        <v>569</v>
      </c>
      <c r="B570">
        <v>2025</v>
      </c>
      <c r="C570">
        <v>10</v>
      </c>
      <c r="D570">
        <v>31</v>
      </c>
      <c r="E570">
        <v>9</v>
      </c>
      <c r="F570" t="str">
        <v/>
      </c>
      <c r="G570" s="167">
        <v>90</v>
      </c>
      <c r="H570" t="str">
        <v/>
      </c>
      <c r="I570" t="str">
        <v/>
      </c>
      <c r="J570">
        <v>46</v>
      </c>
      <c r="K570" s="167">
        <f ca="1"/>
        <v>5.5359999999999996</v>
      </c>
      <c r="L570" s="167">
        <f ca="1"/>
        <v>498.23999999999995</v>
      </c>
      <c r="AA570">
        <v>31</v>
      </c>
      <c r="AB570">
        <v>4</v>
      </c>
      <c r="AC570" t="str">
        <v>90VS316</v>
      </c>
      <c r="AD570">
        <v>2079</v>
      </c>
      <c r="AE570" t="str">
        <v>dist</v>
      </c>
    </row>
    <row r="571" spans="1:31" hidden="1" x14ac:dyDescent="0.25">
      <c r="A571">
        <v>570</v>
      </c>
      <c r="B571">
        <v>2025</v>
      </c>
      <c r="C571">
        <v>10</v>
      </c>
      <c r="D571">
        <v>31</v>
      </c>
      <c r="E571">
        <v>9</v>
      </c>
      <c r="F571" t="str">
        <v/>
      </c>
      <c r="G571" s="167">
        <v>63.999999999999943</v>
      </c>
      <c r="H571" t="str">
        <v/>
      </c>
      <c r="I571" t="str">
        <v/>
      </c>
      <c r="J571">
        <v>48</v>
      </c>
      <c r="K571" s="167">
        <f ca="1"/>
        <v>6.25</v>
      </c>
      <c r="L571" s="167">
        <f ca="1"/>
        <v>399.99999999999966</v>
      </c>
      <c r="AA571">
        <v>31</v>
      </c>
      <c r="AB571">
        <v>4</v>
      </c>
      <c r="AC571" t="str">
        <v>99EM163</v>
      </c>
      <c r="AD571">
        <v>158</v>
      </c>
      <c r="AE571" t="str">
        <v>dist</v>
      </c>
    </row>
    <row r="572" spans="1:31" hidden="1" x14ac:dyDescent="0.25">
      <c r="A572">
        <v>571</v>
      </c>
      <c r="B572">
        <v>2025</v>
      </c>
      <c r="C572">
        <v>10</v>
      </c>
      <c r="D572">
        <v>31</v>
      </c>
      <c r="E572">
        <v>9</v>
      </c>
      <c r="F572" t="str">
        <v/>
      </c>
      <c r="G572" s="167">
        <v>44.999999999999957</v>
      </c>
      <c r="H572" t="str">
        <v/>
      </c>
      <c r="I572" t="str">
        <v/>
      </c>
      <c r="J572">
        <v>24</v>
      </c>
      <c r="K572" s="167">
        <f ca="1"/>
        <v>6.6070000000000002</v>
      </c>
      <c r="L572" s="167">
        <f ca="1"/>
        <v>297.31499999999971</v>
      </c>
      <c r="AA572">
        <v>31</v>
      </c>
      <c r="AB572">
        <v>4</v>
      </c>
      <c r="AC572" t="str">
        <v>53BB774</v>
      </c>
      <c r="AD572">
        <v>296</v>
      </c>
      <c r="AE572" t="str">
        <v>dist</v>
      </c>
    </row>
    <row r="573" spans="1:31" hidden="1" x14ac:dyDescent="0.25">
      <c r="A573">
        <v>572</v>
      </c>
      <c r="B573">
        <v>2025</v>
      </c>
      <c r="C573">
        <v>10</v>
      </c>
      <c r="D573">
        <v>31</v>
      </c>
      <c r="E573">
        <v>9</v>
      </c>
      <c r="F573" t="str">
        <v/>
      </c>
      <c r="G573" s="167">
        <v>89</v>
      </c>
      <c r="H573" t="str">
        <v/>
      </c>
      <c r="I573" t="str">
        <v/>
      </c>
      <c r="J573">
        <v>56</v>
      </c>
      <c r="K573" s="167">
        <f ca="1"/>
        <v>5.5359999999999996</v>
      </c>
      <c r="L573" s="167">
        <f ca="1"/>
        <v>492.70399999999995</v>
      </c>
      <c r="AA573">
        <v>31</v>
      </c>
      <c r="AB573">
        <v>5</v>
      </c>
      <c r="AC573" t="str">
        <v>01CC689</v>
      </c>
      <c r="AD573">
        <v>2925</v>
      </c>
      <c r="AE573" t="str">
        <v>dist</v>
      </c>
    </row>
    <row r="574" spans="1:31" hidden="1" x14ac:dyDescent="0.25">
      <c r="A574">
        <v>573</v>
      </c>
      <c r="B574">
        <v>2025</v>
      </c>
      <c r="C574">
        <v>10</v>
      </c>
      <c r="D574">
        <v>31</v>
      </c>
      <c r="E574">
        <v>9</v>
      </c>
      <c r="F574" t="str">
        <v/>
      </c>
      <c r="G574" s="167">
        <v>7.9999999999999858</v>
      </c>
      <c r="H574" t="str">
        <v/>
      </c>
      <c r="I574" t="str">
        <v/>
      </c>
      <c r="J574">
        <v>74</v>
      </c>
      <c r="K574" s="167">
        <f ca="1"/>
        <v>5.5359999999999996</v>
      </c>
      <c r="L574" s="167">
        <f ca="1"/>
        <v>44.287999999999919</v>
      </c>
      <c r="AA574">
        <v>31</v>
      </c>
      <c r="AB574">
        <v>5</v>
      </c>
      <c r="AC574" t="str">
        <v>50BD165</v>
      </c>
      <c r="AD574">
        <v>1001</v>
      </c>
      <c r="AE574" t="str">
        <v>dist</v>
      </c>
    </row>
    <row r="575" spans="1:31" hidden="1" x14ac:dyDescent="0.25">
      <c r="A575">
        <v>574</v>
      </c>
      <c r="B575">
        <v>2025</v>
      </c>
      <c r="C575">
        <v>10</v>
      </c>
      <c r="D575">
        <v>31</v>
      </c>
      <c r="E575">
        <v>9</v>
      </c>
      <c r="F575" t="str">
        <v/>
      </c>
      <c r="G575" s="167">
        <v>41</v>
      </c>
      <c r="H575" t="str">
        <v/>
      </c>
      <c r="I575" t="str">
        <v/>
      </c>
      <c r="J575">
        <v>78</v>
      </c>
      <c r="K575" s="167">
        <f ca="1"/>
        <v>6.25</v>
      </c>
      <c r="L575" s="167">
        <f ca="1"/>
        <v>256.25</v>
      </c>
      <c r="AA575">
        <v>31</v>
      </c>
      <c r="AB575">
        <v>5</v>
      </c>
      <c r="AC575" t="str">
        <v>50DK730</v>
      </c>
      <c r="AD575">
        <v>6965</v>
      </c>
      <c r="AE575" t="str">
        <v>dist</v>
      </c>
    </row>
    <row r="576" spans="1:31" hidden="1" x14ac:dyDescent="0.25">
      <c r="A576">
        <v>575</v>
      </c>
      <c r="B576">
        <v>2025</v>
      </c>
      <c r="C576">
        <v>10</v>
      </c>
      <c r="D576">
        <v>31</v>
      </c>
      <c r="E576">
        <v>9</v>
      </c>
      <c r="F576" t="str">
        <v/>
      </c>
      <c r="G576" s="167">
        <v>25.999999999999986</v>
      </c>
      <c r="H576" t="str">
        <v/>
      </c>
      <c r="I576" t="str">
        <v/>
      </c>
      <c r="J576">
        <v>80</v>
      </c>
      <c r="K576" s="167">
        <f ca="1"/>
        <v>5.5359999999999996</v>
      </c>
      <c r="L576" s="167">
        <f ca="1"/>
        <v>143.93599999999992</v>
      </c>
      <c r="AA576">
        <v>31</v>
      </c>
      <c r="AB576">
        <v>5</v>
      </c>
      <c r="AC576" t="str">
        <v>53BB774</v>
      </c>
      <c r="AD576">
        <v>3614</v>
      </c>
      <c r="AE576" t="str">
        <v>dist</v>
      </c>
    </row>
    <row r="577" spans="1:31" hidden="1" x14ac:dyDescent="0.25">
      <c r="A577">
        <v>576</v>
      </c>
      <c r="B577">
        <v>2025</v>
      </c>
      <c r="C577">
        <v>10</v>
      </c>
      <c r="D577">
        <v>31</v>
      </c>
      <c r="E577">
        <v>9</v>
      </c>
      <c r="F577" t="str">
        <v/>
      </c>
      <c r="G577" s="167">
        <v>76.999999999999986</v>
      </c>
      <c r="H577" t="str">
        <v/>
      </c>
      <c r="I577" t="str">
        <v/>
      </c>
      <c r="J577">
        <v>86</v>
      </c>
      <c r="K577" s="167">
        <f ca="1"/>
        <v>5.5359999999999996</v>
      </c>
      <c r="L577" s="167">
        <f ca="1"/>
        <v>426.27199999999988</v>
      </c>
      <c r="AA577">
        <v>31</v>
      </c>
      <c r="AB577">
        <v>5</v>
      </c>
      <c r="AC577" t="str">
        <v>55CB633</v>
      </c>
      <c r="AD577">
        <v>2348</v>
      </c>
      <c r="AE577" t="str">
        <v>dist</v>
      </c>
    </row>
    <row r="578" spans="1:31" hidden="1" x14ac:dyDescent="0.25">
      <c r="A578">
        <v>577</v>
      </c>
      <c r="B578">
        <v>2025</v>
      </c>
      <c r="C578">
        <v>10</v>
      </c>
      <c r="D578">
        <v>31</v>
      </c>
      <c r="E578">
        <v>9</v>
      </c>
      <c r="F578" t="str">
        <v/>
      </c>
      <c r="G578" s="167">
        <v>55.999999999999972</v>
      </c>
      <c r="H578" t="str">
        <v/>
      </c>
      <c r="I578" t="str">
        <v/>
      </c>
      <c r="J578">
        <v>92</v>
      </c>
      <c r="K578" s="167">
        <f ca="1"/>
        <v>5.5359999999999996</v>
      </c>
      <c r="L578" s="167">
        <f ca="1"/>
        <v>310.01599999999979</v>
      </c>
      <c r="AA578">
        <v>31</v>
      </c>
      <c r="AB578">
        <v>5</v>
      </c>
      <c r="AC578" t="str">
        <v>77GR998</v>
      </c>
      <c r="AD578">
        <v>1490</v>
      </c>
      <c r="AE578" t="str">
        <v>dist</v>
      </c>
    </row>
    <row r="579" spans="1:31" hidden="1" x14ac:dyDescent="0.25">
      <c r="A579">
        <v>578</v>
      </c>
      <c r="B579">
        <v>2025</v>
      </c>
      <c r="C579">
        <v>10</v>
      </c>
      <c r="D579">
        <v>31</v>
      </c>
      <c r="E579">
        <v>9</v>
      </c>
      <c r="F579" t="str">
        <v/>
      </c>
      <c r="G579" s="167">
        <v>73.999999999999972</v>
      </c>
      <c r="H579" t="str">
        <v/>
      </c>
      <c r="I579" t="str">
        <v/>
      </c>
      <c r="J579">
        <v>95</v>
      </c>
      <c r="K579" s="167">
        <f ca="1"/>
        <v>5.5359999999999996</v>
      </c>
      <c r="L579" s="167">
        <f ca="1"/>
        <v>409.66399999999982</v>
      </c>
      <c r="AA579">
        <v>31</v>
      </c>
      <c r="AB579">
        <v>5</v>
      </c>
      <c r="AC579" t="str">
        <v>77QE133</v>
      </c>
      <c r="AD579">
        <v>6096</v>
      </c>
      <c r="AE579" t="str">
        <v>dist</v>
      </c>
    </row>
    <row r="580" spans="1:31" hidden="1" x14ac:dyDescent="0.25">
      <c r="A580">
        <v>579</v>
      </c>
      <c r="B580">
        <v>2025</v>
      </c>
      <c r="C580">
        <v>10</v>
      </c>
      <c r="D580">
        <v>31</v>
      </c>
      <c r="E580">
        <v>9</v>
      </c>
      <c r="F580" t="str">
        <v/>
      </c>
      <c r="G580" s="167">
        <v>86.999999999999986</v>
      </c>
      <c r="H580" t="str">
        <v/>
      </c>
      <c r="I580" t="str">
        <v/>
      </c>
      <c r="J580">
        <v>102</v>
      </c>
      <c r="K580" s="167">
        <f ca="1"/>
        <v>6.6070000000000002</v>
      </c>
      <c r="L580" s="167">
        <f ca="1"/>
        <v>574.80899999999997</v>
      </c>
      <c r="AA580">
        <v>31</v>
      </c>
      <c r="AB580">
        <v>5</v>
      </c>
      <c r="AC580" t="str">
        <v>77UR032</v>
      </c>
      <c r="AD580">
        <v>2416</v>
      </c>
      <c r="AE580" t="str">
        <v>dist</v>
      </c>
    </row>
    <row r="581" spans="1:31" hidden="1" x14ac:dyDescent="0.25">
      <c r="A581">
        <v>580</v>
      </c>
      <c r="B581">
        <v>2025</v>
      </c>
      <c r="C581">
        <v>10</v>
      </c>
      <c r="D581">
        <v>31</v>
      </c>
      <c r="E581">
        <v>9</v>
      </c>
      <c r="F581" t="str">
        <v/>
      </c>
      <c r="G581" s="167">
        <v>74.999999999999986</v>
      </c>
      <c r="H581" t="str">
        <v/>
      </c>
      <c r="I581" t="str">
        <v/>
      </c>
      <c r="J581">
        <v>105</v>
      </c>
      <c r="K581" s="167">
        <f ca="1"/>
        <v>5.5359999999999996</v>
      </c>
      <c r="L581" s="167">
        <f ca="1"/>
        <v>415.19999999999987</v>
      </c>
      <c r="AA581">
        <v>31</v>
      </c>
      <c r="AB581">
        <v>5</v>
      </c>
      <c r="AC581" t="str">
        <v>90SL686</v>
      </c>
      <c r="AD581">
        <v>8439</v>
      </c>
      <c r="AE581" t="str">
        <v>dist</v>
      </c>
    </row>
    <row r="582" spans="1:31" hidden="1" x14ac:dyDescent="0.25">
      <c r="A582">
        <v>581</v>
      </c>
      <c r="B582">
        <v>2025</v>
      </c>
      <c r="C582">
        <v>10</v>
      </c>
      <c r="D582">
        <v>31</v>
      </c>
      <c r="E582">
        <v>9</v>
      </c>
      <c r="F582" t="str">
        <v/>
      </c>
      <c r="G582" s="167">
        <v>49.999999999999943</v>
      </c>
      <c r="H582" t="str">
        <v/>
      </c>
      <c r="I582" t="str">
        <v/>
      </c>
      <c r="J582">
        <v>115</v>
      </c>
      <c r="K582" s="167">
        <f ca="1"/>
        <v>5.5359999999999996</v>
      </c>
      <c r="L582" s="167">
        <f ca="1"/>
        <v>276.79999999999967</v>
      </c>
      <c r="AA582">
        <v>31</v>
      </c>
      <c r="AB582">
        <v>5</v>
      </c>
      <c r="AC582" t="str">
        <v>90VS316</v>
      </c>
      <c r="AD582">
        <v>1664</v>
      </c>
      <c r="AE582" t="str">
        <v>dist</v>
      </c>
    </row>
    <row r="583" spans="1:31" hidden="1" x14ac:dyDescent="0.25">
      <c r="A583">
        <v>582</v>
      </c>
      <c r="B583">
        <v>2025</v>
      </c>
      <c r="C583">
        <v>10</v>
      </c>
      <c r="D583">
        <v>31</v>
      </c>
      <c r="E583">
        <v>9</v>
      </c>
      <c r="F583" t="str">
        <v/>
      </c>
      <c r="G583" s="167">
        <v>83</v>
      </c>
      <c r="H583" t="str">
        <v/>
      </c>
      <c r="I583" t="str">
        <v/>
      </c>
      <c r="J583">
        <v>107</v>
      </c>
      <c r="K583" s="167">
        <f ca="1"/>
        <v>5.5359999999999996</v>
      </c>
      <c r="L583" s="167">
        <f ca="1"/>
        <v>459.48799999999994</v>
      </c>
      <c r="AA583">
        <v>31</v>
      </c>
      <c r="AB583">
        <v>5</v>
      </c>
      <c r="AC583" t="str">
        <v>99BT339</v>
      </c>
      <c r="AD583">
        <v>2847</v>
      </c>
      <c r="AE583" t="str">
        <v>dist</v>
      </c>
    </row>
    <row r="584" spans="1:31" hidden="1" x14ac:dyDescent="0.25">
      <c r="A584">
        <v>583</v>
      </c>
      <c r="B584">
        <v>2025</v>
      </c>
      <c r="C584">
        <v>10</v>
      </c>
      <c r="D584">
        <v>31</v>
      </c>
      <c r="E584">
        <v>9</v>
      </c>
      <c r="F584" t="str">
        <v/>
      </c>
      <c r="G584" s="167">
        <v>40.999999999999986</v>
      </c>
      <c r="H584" t="str">
        <v/>
      </c>
      <c r="I584" t="str">
        <v/>
      </c>
      <c r="J584">
        <v>110</v>
      </c>
      <c r="K584" s="167">
        <f ca="1"/>
        <v>5.5359999999999996</v>
      </c>
      <c r="L584" s="167">
        <f ca="1"/>
        <v>226.97599999999991</v>
      </c>
      <c r="AA584">
        <v>31</v>
      </c>
      <c r="AB584">
        <v>5</v>
      </c>
      <c r="AC584" t="str">
        <v>99EM163</v>
      </c>
      <c r="AD584">
        <v>1396</v>
      </c>
      <c r="AE584" t="str">
        <v>dist</v>
      </c>
    </row>
    <row r="585" spans="1:31" hidden="1" x14ac:dyDescent="0.25">
      <c r="A585">
        <v>584</v>
      </c>
      <c r="B585">
        <v>2025</v>
      </c>
      <c r="C585">
        <v>10</v>
      </c>
      <c r="D585">
        <v>31</v>
      </c>
      <c r="E585">
        <v>9</v>
      </c>
      <c r="F585" t="str">
        <v/>
      </c>
      <c r="G585" s="167">
        <v>101</v>
      </c>
      <c r="H585" t="str">
        <v/>
      </c>
      <c r="I585" t="str">
        <v/>
      </c>
      <c r="J585">
        <v>113</v>
      </c>
      <c r="K585" s="167">
        <f ca="1"/>
        <v>5.8929999999999998</v>
      </c>
      <c r="L585" s="167">
        <f ca="1"/>
        <v>595.19299999999998</v>
      </c>
      <c r="AA585">
        <v>31</v>
      </c>
      <c r="AB585">
        <v>5</v>
      </c>
      <c r="AC585" t="str">
        <v>99HZ395</v>
      </c>
      <c r="AD585">
        <v>4381</v>
      </c>
      <c r="AE585" t="str">
        <v>dist</v>
      </c>
    </row>
    <row r="586" spans="1:31" hidden="1" x14ac:dyDescent="0.25">
      <c r="A586">
        <v>585</v>
      </c>
      <c r="B586">
        <v>2025</v>
      </c>
      <c r="C586">
        <v>10</v>
      </c>
      <c r="D586">
        <v>31</v>
      </c>
      <c r="E586">
        <v>9</v>
      </c>
      <c r="F586" t="str">
        <v/>
      </c>
      <c r="G586" s="167">
        <v>1</v>
      </c>
      <c r="H586" t="str">
        <v/>
      </c>
      <c r="I586" t="str">
        <v/>
      </c>
      <c r="J586">
        <v>31</v>
      </c>
      <c r="K586" s="167">
        <f ca="1"/>
        <v>55.36</v>
      </c>
      <c r="L586" s="167">
        <f ca="1"/>
        <v>55.36</v>
      </c>
      <c r="AA586">
        <v>31</v>
      </c>
      <c r="AB586">
        <v>5</v>
      </c>
      <c r="AC586" t="str">
        <v>99LM412</v>
      </c>
      <c r="AD586">
        <v>1130</v>
      </c>
      <c r="AE586" t="str">
        <v>dist</v>
      </c>
    </row>
    <row r="587" spans="1:31" hidden="1" x14ac:dyDescent="0.25">
      <c r="A587">
        <v>586</v>
      </c>
      <c r="B587">
        <v>2025</v>
      </c>
      <c r="C587">
        <v>10</v>
      </c>
      <c r="D587">
        <v>31</v>
      </c>
      <c r="E587">
        <v>9</v>
      </c>
      <c r="F587" t="str">
        <v/>
      </c>
      <c r="G587" s="167">
        <v>20</v>
      </c>
      <c r="H587" t="str">
        <v/>
      </c>
      <c r="I587" t="str">
        <v/>
      </c>
      <c r="J587">
        <v>29</v>
      </c>
      <c r="K587" s="167">
        <f ca="1"/>
        <v>5.5359999999999996</v>
      </c>
      <c r="L587" s="167">
        <f ca="1"/>
        <v>110.72</v>
      </c>
      <c r="AA587">
        <v>31</v>
      </c>
      <c r="AB587">
        <v>5</v>
      </c>
      <c r="AC587" t="str">
        <v>99MN472</v>
      </c>
      <c r="AD587">
        <v>5163</v>
      </c>
      <c r="AE587" t="str">
        <v>dist</v>
      </c>
    </row>
    <row r="588" spans="1:31" hidden="1" x14ac:dyDescent="0.25">
      <c r="A588">
        <v>587</v>
      </c>
      <c r="B588">
        <v>2025</v>
      </c>
      <c r="C588">
        <v>10</v>
      </c>
      <c r="D588">
        <v>31</v>
      </c>
      <c r="E588">
        <v>9</v>
      </c>
      <c r="F588" t="str">
        <v/>
      </c>
      <c r="G588" s="167">
        <v>12646.799928500002</v>
      </c>
      <c r="H588" t="str">
        <v/>
      </c>
      <c r="I588" t="str">
        <v/>
      </c>
      <c r="J588" t="str">
        <v>M-1</v>
      </c>
      <c r="K588" s="167">
        <f ca="1"/>
        <v>1</v>
      </c>
      <c r="L588" s="167">
        <f ca="1"/>
        <v>12646.799928500002</v>
      </c>
      <c r="AA588">
        <v>31</v>
      </c>
      <c r="AB588">
        <v>6</v>
      </c>
      <c r="AC588" t="str">
        <v>01CC689</v>
      </c>
      <c r="AD588">
        <v>2120</v>
      </c>
      <c r="AE588" t="str">
        <v>dist</v>
      </c>
    </row>
    <row r="589" spans="1:31" hidden="1" x14ac:dyDescent="0.25">
      <c r="A589">
        <v>588</v>
      </c>
      <c r="B589">
        <v>2025</v>
      </c>
      <c r="C589">
        <v>10</v>
      </c>
      <c r="D589">
        <v>31</v>
      </c>
      <c r="E589">
        <v>9</v>
      </c>
      <c r="F589" t="str">
        <v/>
      </c>
      <c r="G589" s="167">
        <v>10987</v>
      </c>
      <c r="H589" t="str">
        <v/>
      </c>
      <c r="I589" t="str">
        <v/>
      </c>
      <c r="J589" t="str">
        <v>R-1</v>
      </c>
      <c r="K589" s="167">
        <f ca="1"/>
        <v>-1</v>
      </c>
      <c r="L589" s="167">
        <f ca="1"/>
        <v>-10987</v>
      </c>
      <c r="AA589">
        <v>31</v>
      </c>
      <c r="AB589">
        <v>6</v>
      </c>
      <c r="AC589" t="str">
        <v>50BD165</v>
      </c>
      <c r="AD589">
        <v>805</v>
      </c>
      <c r="AE589" t="str">
        <v>dist</v>
      </c>
    </row>
    <row r="590" spans="1:31" hidden="1" x14ac:dyDescent="0.25">
      <c r="A590">
        <v>589</v>
      </c>
      <c r="B590">
        <v>2025</v>
      </c>
      <c r="C590">
        <v>10</v>
      </c>
      <c r="D590">
        <v>33</v>
      </c>
      <c r="E590">
        <v>14</v>
      </c>
      <c r="F590" t="str">
        <v/>
      </c>
      <c r="G590" s="167">
        <v>51154</v>
      </c>
      <c r="H590" t="str">
        <v/>
      </c>
      <c r="I590" t="str">
        <v/>
      </c>
      <c r="J590">
        <v>12</v>
      </c>
      <c r="K590" s="167">
        <f ca="1"/>
        <v>1.56</v>
      </c>
      <c r="L590" s="167">
        <f ca="1"/>
        <v>79800.240000000005</v>
      </c>
      <c r="AA590">
        <v>31</v>
      </c>
      <c r="AB590">
        <v>6</v>
      </c>
      <c r="AC590" t="str">
        <v>50BN724</v>
      </c>
      <c r="AD590">
        <v>1011</v>
      </c>
      <c r="AE590" t="str">
        <v>dist</v>
      </c>
    </row>
    <row r="591" spans="1:31" hidden="1" x14ac:dyDescent="0.25">
      <c r="A591">
        <v>590</v>
      </c>
      <c r="B591">
        <v>2025</v>
      </c>
      <c r="C591">
        <v>10</v>
      </c>
      <c r="D591">
        <v>33</v>
      </c>
      <c r="E591">
        <v>14</v>
      </c>
      <c r="F591" t="str">
        <v/>
      </c>
      <c r="G591" s="167">
        <v>56012</v>
      </c>
      <c r="H591" t="str">
        <v/>
      </c>
      <c r="I591" t="str">
        <v/>
      </c>
      <c r="J591">
        <v>13</v>
      </c>
      <c r="K591" s="167">
        <f ca="1"/>
        <v>4.53</v>
      </c>
      <c r="L591" s="167">
        <f ca="1"/>
        <v>253734.36000000002</v>
      </c>
      <c r="AA591">
        <v>31</v>
      </c>
      <c r="AB591">
        <v>6</v>
      </c>
      <c r="AC591" t="str">
        <v>50DK730</v>
      </c>
      <c r="AD591">
        <v>5666</v>
      </c>
      <c r="AE591" t="str">
        <v>dist</v>
      </c>
    </row>
    <row r="592" spans="1:31" hidden="1" x14ac:dyDescent="0.25">
      <c r="A592">
        <v>591</v>
      </c>
      <c r="B592">
        <v>2025</v>
      </c>
      <c r="C592">
        <v>10</v>
      </c>
      <c r="D592">
        <v>33</v>
      </c>
      <c r="E592">
        <v>14</v>
      </c>
      <c r="F592" t="str">
        <v/>
      </c>
      <c r="G592" s="167">
        <v>52993</v>
      </c>
      <c r="H592" t="str">
        <v/>
      </c>
      <c r="I592" t="str">
        <v/>
      </c>
      <c r="J592">
        <v>14</v>
      </c>
      <c r="K592" s="167">
        <f ca="1"/>
        <v>4.53</v>
      </c>
      <c r="L592" s="167">
        <f ca="1"/>
        <v>240058.29</v>
      </c>
      <c r="AA592">
        <v>31</v>
      </c>
      <c r="AB592">
        <v>6</v>
      </c>
      <c r="AC592" t="str">
        <v>53BB774</v>
      </c>
      <c r="AD592">
        <v>6647</v>
      </c>
      <c r="AE592" t="str">
        <v>dist</v>
      </c>
    </row>
    <row r="593" spans="1:31" hidden="1" x14ac:dyDescent="0.25">
      <c r="A593">
        <v>592</v>
      </c>
      <c r="B593">
        <v>2025</v>
      </c>
      <c r="C593">
        <v>10</v>
      </c>
      <c r="D593">
        <v>33</v>
      </c>
      <c r="E593">
        <v>14</v>
      </c>
      <c r="F593" t="str">
        <v/>
      </c>
      <c r="G593" s="167">
        <v>3837</v>
      </c>
      <c r="H593" t="str">
        <v/>
      </c>
      <c r="I593" t="str">
        <v/>
      </c>
      <c r="J593">
        <v>15</v>
      </c>
      <c r="K593" s="167">
        <f ca="1"/>
        <v>4.53</v>
      </c>
      <c r="L593" s="167">
        <f ca="1"/>
        <v>17381.61</v>
      </c>
      <c r="AA593">
        <v>31</v>
      </c>
      <c r="AB593">
        <v>6</v>
      </c>
      <c r="AC593" t="str">
        <v>55CB633</v>
      </c>
      <c r="AD593">
        <v>2115</v>
      </c>
      <c r="AE593" t="str">
        <v>dist</v>
      </c>
    </row>
    <row r="594" spans="1:31" hidden="1" x14ac:dyDescent="0.25">
      <c r="A594">
        <v>593</v>
      </c>
      <c r="B594">
        <v>2025</v>
      </c>
      <c r="C594">
        <v>10</v>
      </c>
      <c r="D594">
        <v>33</v>
      </c>
      <c r="E594">
        <v>14</v>
      </c>
      <c r="F594" t="str">
        <v/>
      </c>
      <c r="G594" s="167">
        <v>4454</v>
      </c>
      <c r="H594" t="str">
        <v/>
      </c>
      <c r="I594" t="str">
        <v/>
      </c>
      <c r="J594">
        <v>16</v>
      </c>
      <c r="K594" s="167">
        <f ca="1"/>
        <v>3.77</v>
      </c>
      <c r="L594" s="167">
        <f ca="1"/>
        <v>16791.580000000002</v>
      </c>
      <c r="AA594">
        <v>31</v>
      </c>
      <c r="AB594">
        <v>6</v>
      </c>
      <c r="AC594" t="str">
        <v>77QE133</v>
      </c>
      <c r="AD594">
        <v>5983</v>
      </c>
      <c r="AE594" t="str">
        <v>dist</v>
      </c>
    </row>
    <row r="595" spans="1:31" hidden="1" x14ac:dyDescent="0.25">
      <c r="A595">
        <v>594</v>
      </c>
      <c r="B595">
        <v>2025</v>
      </c>
      <c r="C595">
        <v>10</v>
      </c>
      <c r="D595">
        <v>46</v>
      </c>
      <c r="E595">
        <v>6</v>
      </c>
      <c r="F595" t="str">
        <v/>
      </c>
      <c r="G595" s="167">
        <v>19</v>
      </c>
      <c r="H595" t="str">
        <v/>
      </c>
      <c r="I595" t="str">
        <v/>
      </c>
      <c r="J595">
        <v>7</v>
      </c>
      <c r="K595" s="167">
        <f ca="1"/>
        <v>214.28571428571428</v>
      </c>
      <c r="L595" s="167">
        <f ca="1"/>
        <v>4071.4285714285711</v>
      </c>
      <c r="AA595">
        <v>31</v>
      </c>
      <c r="AB595">
        <v>6</v>
      </c>
      <c r="AC595" t="str">
        <v>77UR032</v>
      </c>
      <c r="AD595">
        <v>2809</v>
      </c>
      <c r="AE595" t="str">
        <v>dist</v>
      </c>
    </row>
    <row r="596" spans="1:31" hidden="1" x14ac:dyDescent="0.25">
      <c r="A596">
        <v>595</v>
      </c>
      <c r="B596">
        <v>2025</v>
      </c>
      <c r="C596">
        <v>10</v>
      </c>
      <c r="D596">
        <v>46</v>
      </c>
      <c r="E596">
        <v>6</v>
      </c>
      <c r="F596" t="str">
        <v/>
      </c>
      <c r="G596" s="167">
        <v>1</v>
      </c>
      <c r="H596" t="str">
        <v/>
      </c>
      <c r="I596" t="str">
        <v/>
      </c>
      <c r="J596">
        <v>4</v>
      </c>
      <c r="K596" s="167">
        <f ca="1"/>
        <v>446.42857142857144</v>
      </c>
      <c r="L596" s="167">
        <f ca="1"/>
        <v>446.42857142857144</v>
      </c>
      <c r="AA596">
        <v>31</v>
      </c>
      <c r="AB596">
        <v>6</v>
      </c>
      <c r="AC596" t="str">
        <v>90LS143</v>
      </c>
      <c r="AD596">
        <v>1179</v>
      </c>
      <c r="AE596" t="str">
        <v>dist</v>
      </c>
    </row>
    <row r="597" spans="1:31" hidden="1" x14ac:dyDescent="0.25">
      <c r="A597">
        <v>596</v>
      </c>
      <c r="B597">
        <v>2025</v>
      </c>
      <c r="C597">
        <v>10</v>
      </c>
      <c r="D597">
        <v>46</v>
      </c>
      <c r="E597">
        <v>6</v>
      </c>
      <c r="F597" t="str">
        <v/>
      </c>
      <c r="G597" s="167">
        <v>29</v>
      </c>
      <c r="H597" t="str">
        <v/>
      </c>
      <c r="I597" t="str">
        <v/>
      </c>
      <c r="J597">
        <v>2</v>
      </c>
      <c r="K597" s="167">
        <f ca="1"/>
        <v>385.71444000000002</v>
      </c>
      <c r="L597" s="167">
        <f ca="1"/>
        <v>11185.718760000002</v>
      </c>
      <c r="AA597">
        <v>31</v>
      </c>
      <c r="AB597">
        <v>6</v>
      </c>
      <c r="AC597" t="str">
        <v>90SL686</v>
      </c>
      <c r="AD597">
        <v>6939</v>
      </c>
      <c r="AE597" t="str">
        <v>dist</v>
      </c>
    </row>
    <row r="598" spans="1:31" hidden="1" x14ac:dyDescent="0.25">
      <c r="A598">
        <v>597</v>
      </c>
      <c r="B598">
        <v>2025</v>
      </c>
      <c r="C598">
        <v>10</v>
      </c>
      <c r="D598">
        <v>46</v>
      </c>
      <c r="E598">
        <v>6</v>
      </c>
      <c r="F598" t="str">
        <v/>
      </c>
      <c r="G598" s="167">
        <v>11</v>
      </c>
      <c r="H598" t="str">
        <v/>
      </c>
      <c r="I598" t="str">
        <v/>
      </c>
      <c r="J598">
        <v>8</v>
      </c>
      <c r="K598" s="167">
        <f ca="1"/>
        <v>385.71444000000002</v>
      </c>
      <c r="L598" s="167">
        <f ca="1"/>
        <v>4242.8588399999999</v>
      </c>
      <c r="AA598">
        <v>31</v>
      </c>
      <c r="AB598">
        <v>6</v>
      </c>
      <c r="AC598" t="str">
        <v>90VS316</v>
      </c>
      <c r="AD598">
        <v>2040</v>
      </c>
      <c r="AE598" t="str">
        <v>dist</v>
      </c>
    </row>
    <row r="599" spans="1:31" hidden="1" x14ac:dyDescent="0.25">
      <c r="A599">
        <v>598</v>
      </c>
      <c r="B599">
        <v>2025</v>
      </c>
      <c r="C599">
        <v>10</v>
      </c>
      <c r="D599">
        <v>46</v>
      </c>
      <c r="E599">
        <v>6</v>
      </c>
      <c r="F599" t="str">
        <v/>
      </c>
      <c r="G599" s="167">
        <v>28</v>
      </c>
      <c r="H599" t="str">
        <v/>
      </c>
      <c r="I599" t="str">
        <v/>
      </c>
      <c r="J599">
        <v>5</v>
      </c>
      <c r="K599" s="167">
        <f ca="1"/>
        <v>803.57147999999995</v>
      </c>
      <c r="L599" s="167">
        <f ca="1"/>
        <v>22500.00144</v>
      </c>
      <c r="AA599">
        <v>31</v>
      </c>
      <c r="AB599">
        <v>6</v>
      </c>
      <c r="AC599" t="str">
        <v>99BT339</v>
      </c>
      <c r="AD599">
        <v>3841</v>
      </c>
      <c r="AE599" t="str">
        <v>dist</v>
      </c>
    </row>
    <row r="600" spans="1:31" x14ac:dyDescent="0.25">
      <c r="A600">
        <v>599</v>
      </c>
      <c r="B600">
        <v>2025</v>
      </c>
      <c r="C600">
        <v>10</v>
      </c>
      <c r="D600">
        <v>50</v>
      </c>
      <c r="E600">
        <v>5</v>
      </c>
      <c r="F600" t="str">
        <v/>
      </c>
      <c r="G600" s="167">
        <v>28</v>
      </c>
      <c r="H600" t="str">
        <v/>
      </c>
      <c r="I600" t="str">
        <v/>
      </c>
      <c r="J600">
        <v>1</v>
      </c>
      <c r="K600" s="167">
        <f ca="1"/>
        <v>357.1429</v>
      </c>
      <c r="L600" s="167">
        <f ca="1"/>
        <v>10000.001200000001</v>
      </c>
      <c r="AA600">
        <v>31</v>
      </c>
      <c r="AB600">
        <v>6</v>
      </c>
      <c r="AC600" t="str">
        <v>99EM163</v>
      </c>
      <c r="AD600">
        <v>2016</v>
      </c>
      <c r="AE600" t="str">
        <v>dist</v>
      </c>
    </row>
    <row r="601" spans="1:31" hidden="1" x14ac:dyDescent="0.25">
      <c r="A601">
        <v>600</v>
      </c>
      <c r="B601">
        <v>2025</v>
      </c>
      <c r="C601">
        <v>10</v>
      </c>
      <c r="D601">
        <v>51</v>
      </c>
      <c r="E601">
        <v>3</v>
      </c>
      <c r="F601" t="str">
        <v/>
      </c>
      <c r="G601" s="167">
        <v>31</v>
      </c>
      <c r="H601" t="str">
        <v/>
      </c>
      <c r="I601" t="str">
        <v/>
      </c>
      <c r="J601">
        <v>3</v>
      </c>
      <c r="K601" s="167">
        <f ca="1"/>
        <v>235.71</v>
      </c>
      <c r="L601" s="167">
        <f ca="1"/>
        <v>7307.01</v>
      </c>
      <c r="AA601">
        <v>31</v>
      </c>
      <c r="AB601">
        <v>6</v>
      </c>
      <c r="AC601" t="str">
        <v>99HZ395</v>
      </c>
      <c r="AD601">
        <v>4570</v>
      </c>
      <c r="AE601" t="str">
        <v>dist</v>
      </c>
    </row>
    <row r="602" spans="1:31" hidden="1" x14ac:dyDescent="0.25">
      <c r="A602">
        <v>601</v>
      </c>
      <c r="B602">
        <v>2025</v>
      </c>
      <c r="C602">
        <v>10</v>
      </c>
      <c r="D602">
        <v>51</v>
      </c>
      <c r="E602">
        <v>3</v>
      </c>
      <c r="F602" t="str">
        <v/>
      </c>
      <c r="G602" s="167">
        <v>45.999999999999972</v>
      </c>
      <c r="H602" t="str">
        <v/>
      </c>
      <c r="I602" t="str">
        <v/>
      </c>
      <c r="J602">
        <v>4</v>
      </c>
      <c r="K602" s="167">
        <f ca="1"/>
        <v>26.071000000000002</v>
      </c>
      <c r="L602" s="167">
        <f ca="1"/>
        <v>1199.2659999999994</v>
      </c>
      <c r="AA602">
        <v>31</v>
      </c>
      <c r="AB602">
        <v>6</v>
      </c>
      <c r="AC602" t="str">
        <v>99KL663</v>
      </c>
      <c r="AD602">
        <v>2092</v>
      </c>
      <c r="AE602" t="str">
        <v>dist</v>
      </c>
    </row>
    <row r="603" spans="1:31" hidden="1" x14ac:dyDescent="0.25">
      <c r="A603">
        <v>602</v>
      </c>
      <c r="B603">
        <v>2025</v>
      </c>
      <c r="C603">
        <v>10</v>
      </c>
      <c r="D603">
        <v>65</v>
      </c>
      <c r="E603">
        <v>6</v>
      </c>
      <c r="F603" t="str">
        <v/>
      </c>
      <c r="G603" s="167">
        <v>14</v>
      </c>
      <c r="H603" t="str">
        <v/>
      </c>
      <c r="I603" t="str">
        <v/>
      </c>
      <c r="J603">
        <v>1</v>
      </c>
      <c r="K603" s="167">
        <f ca="1"/>
        <v>196.42857142857142</v>
      </c>
      <c r="L603" s="167">
        <f ca="1"/>
        <v>2750</v>
      </c>
      <c r="AA603">
        <v>31</v>
      </c>
      <c r="AB603">
        <v>6</v>
      </c>
      <c r="AC603" t="str">
        <v>99LM412</v>
      </c>
      <c r="AD603">
        <v>1146</v>
      </c>
      <c r="AE603" t="str">
        <v>dist</v>
      </c>
    </row>
    <row r="604" spans="1:31" hidden="1" x14ac:dyDescent="0.25">
      <c r="A604">
        <v>603</v>
      </c>
      <c r="B604">
        <v>2025</v>
      </c>
      <c r="C604">
        <v>10</v>
      </c>
      <c r="D604">
        <v>65</v>
      </c>
      <c r="E604">
        <v>6</v>
      </c>
      <c r="F604" t="str">
        <v/>
      </c>
      <c r="G604" s="167">
        <v>29</v>
      </c>
      <c r="H604" t="str">
        <v/>
      </c>
      <c r="I604" t="str">
        <v/>
      </c>
      <c r="J604">
        <v>2</v>
      </c>
      <c r="K604" s="167">
        <f ca="1"/>
        <v>160.71</v>
      </c>
      <c r="L604" s="167">
        <f ca="1"/>
        <v>4660.59</v>
      </c>
      <c r="AA604">
        <v>31</v>
      </c>
      <c r="AB604">
        <v>6</v>
      </c>
      <c r="AC604" t="str">
        <v>99MN472</v>
      </c>
      <c r="AD604">
        <v>5457</v>
      </c>
      <c r="AE604" t="str">
        <v>dist</v>
      </c>
    </row>
    <row r="605" spans="1:31" hidden="1" x14ac:dyDescent="0.25">
      <c r="A605">
        <v>604</v>
      </c>
      <c r="B605">
        <v>2025</v>
      </c>
      <c r="C605">
        <v>10</v>
      </c>
      <c r="D605">
        <v>85</v>
      </c>
      <c r="E605">
        <v>5</v>
      </c>
      <c r="F605" t="str">
        <v/>
      </c>
      <c r="G605" s="167">
        <v>29</v>
      </c>
      <c r="H605" t="str">
        <v/>
      </c>
      <c r="I605" t="str">
        <v/>
      </c>
      <c r="J605">
        <v>1</v>
      </c>
      <c r="K605" s="167">
        <f ca="1"/>
        <v>446.43</v>
      </c>
      <c r="L605" s="167">
        <f ca="1"/>
        <v>12946.47</v>
      </c>
      <c r="AA605">
        <v>31</v>
      </c>
      <c r="AB605">
        <v>6</v>
      </c>
      <c r="AC605" t="str">
        <v>77GR998</v>
      </c>
      <c r="AD605">
        <v>3092</v>
      </c>
      <c r="AE605" t="str">
        <v>dist</v>
      </c>
    </row>
    <row r="606" spans="1:31" hidden="1" x14ac:dyDescent="0.25">
      <c r="A606">
        <v>605</v>
      </c>
      <c r="B606">
        <v>2025</v>
      </c>
      <c r="C606">
        <v>10</v>
      </c>
      <c r="D606">
        <v>85</v>
      </c>
      <c r="E606">
        <v>5</v>
      </c>
      <c r="F606" t="str">
        <v/>
      </c>
      <c r="G606" s="167">
        <v>6</v>
      </c>
      <c r="H606" t="str">
        <v/>
      </c>
      <c r="I606" t="str">
        <v/>
      </c>
      <c r="J606">
        <v>2</v>
      </c>
      <c r="K606" s="167">
        <f ca="1"/>
        <v>44.643000000000001</v>
      </c>
      <c r="L606" s="167">
        <f ca="1"/>
        <v>267.858</v>
      </c>
      <c r="AA606">
        <v>31</v>
      </c>
      <c r="AB606">
        <v>7</v>
      </c>
      <c r="AC606" t="str">
        <v>01CC689</v>
      </c>
      <c r="AD606">
        <v>423</v>
      </c>
      <c r="AE606" t="str">
        <v>dist</v>
      </c>
    </row>
    <row r="607" spans="1:31" hidden="1" x14ac:dyDescent="0.25">
      <c r="A607">
        <v>606</v>
      </c>
      <c r="B607">
        <v>2025</v>
      </c>
      <c r="C607">
        <v>10</v>
      </c>
      <c r="D607">
        <v>91</v>
      </c>
      <c r="E607">
        <v>4</v>
      </c>
      <c r="F607" t="str">
        <v/>
      </c>
      <c r="G607" s="167">
        <v>1</v>
      </c>
      <c r="H607" t="str">
        <v/>
      </c>
      <c r="I607" t="str">
        <v/>
      </c>
      <c r="J607">
        <v>1</v>
      </c>
      <c r="K607" s="167">
        <f ca="1"/>
        <v>3500</v>
      </c>
      <c r="L607" s="167">
        <f ca="1"/>
        <v>3500</v>
      </c>
      <c r="AA607">
        <v>31</v>
      </c>
      <c r="AB607">
        <v>7</v>
      </c>
      <c r="AC607" t="str">
        <v>10RN527</v>
      </c>
      <c r="AD607">
        <v>3236</v>
      </c>
      <c r="AE607" t="str">
        <v>dist</v>
      </c>
    </row>
    <row r="608" spans="1:31" hidden="1" x14ac:dyDescent="0.25">
      <c r="A608">
        <v>607</v>
      </c>
      <c r="B608">
        <v>2025</v>
      </c>
      <c r="C608">
        <v>10</v>
      </c>
      <c r="D608">
        <v>98</v>
      </c>
      <c r="E608">
        <v>4</v>
      </c>
      <c r="F608" t="str">
        <v/>
      </c>
      <c r="G608" s="167">
        <v>28</v>
      </c>
      <c r="H608" t="str">
        <v/>
      </c>
      <c r="I608" t="str">
        <v/>
      </c>
      <c r="J608">
        <v>1</v>
      </c>
      <c r="K608" s="167">
        <f ca="1"/>
        <v>107.14</v>
      </c>
      <c r="L608" s="167">
        <f ca="1"/>
        <v>2999.92</v>
      </c>
      <c r="AA608">
        <v>31</v>
      </c>
      <c r="AB608">
        <v>7</v>
      </c>
      <c r="AC608" t="str">
        <v>50BD165</v>
      </c>
      <c r="AD608">
        <v>800</v>
      </c>
      <c r="AE608" t="str">
        <v>dist</v>
      </c>
    </row>
    <row r="609" spans="1:31" hidden="1" x14ac:dyDescent="0.25">
      <c r="A609">
        <v>608</v>
      </c>
      <c r="B609">
        <v>2025</v>
      </c>
      <c r="C609">
        <v>10</v>
      </c>
      <c r="D609">
        <v>98</v>
      </c>
      <c r="E609">
        <v>4</v>
      </c>
      <c r="F609" t="str">
        <v/>
      </c>
      <c r="G609" s="167">
        <v>9.9999999999999893</v>
      </c>
      <c r="H609" t="str">
        <v/>
      </c>
      <c r="I609" t="str">
        <v/>
      </c>
      <c r="J609">
        <v>2</v>
      </c>
      <c r="K609" s="167">
        <f ca="1"/>
        <v>10.714</v>
      </c>
      <c r="L609" s="167">
        <f ca="1"/>
        <v>107.13999999999989</v>
      </c>
      <c r="AA609">
        <v>31</v>
      </c>
      <c r="AB609">
        <v>7</v>
      </c>
      <c r="AC609" t="str">
        <v>50BN724</v>
      </c>
      <c r="AD609">
        <v>3851</v>
      </c>
      <c r="AE609" t="str">
        <v>dist</v>
      </c>
    </row>
    <row r="610" spans="1:31" hidden="1" x14ac:dyDescent="0.25">
      <c r="A610">
        <v>609</v>
      </c>
      <c r="B610">
        <v>2025</v>
      </c>
      <c r="C610">
        <v>10</v>
      </c>
      <c r="D610">
        <v>98</v>
      </c>
      <c r="E610">
        <v>4</v>
      </c>
      <c r="F610" t="str">
        <v/>
      </c>
      <c r="G610" s="167">
        <v>-250</v>
      </c>
      <c r="H610" t="str">
        <v/>
      </c>
      <c r="I610" t="str">
        <v/>
      </c>
      <c r="J610" t="str">
        <v>R-1</v>
      </c>
      <c r="K610" s="167">
        <f ca="1"/>
        <v>-1</v>
      </c>
      <c r="L610" s="167">
        <f ca="1"/>
        <v>250</v>
      </c>
      <c r="AA610">
        <v>31</v>
      </c>
      <c r="AB610">
        <v>7</v>
      </c>
      <c r="AC610" t="str">
        <v>50CN929</v>
      </c>
      <c r="AD610">
        <v>976</v>
      </c>
      <c r="AE610" t="str">
        <v>dist</v>
      </c>
    </row>
    <row r="611" spans="1:31" hidden="1" x14ac:dyDescent="0.25">
      <c r="A611">
        <v>610</v>
      </c>
      <c r="B611">
        <v>2025</v>
      </c>
      <c r="C611">
        <v>10</v>
      </c>
      <c r="D611">
        <v>99</v>
      </c>
      <c r="E611">
        <v>4</v>
      </c>
      <c r="F611" t="str">
        <v/>
      </c>
      <c r="G611" s="167">
        <v>31</v>
      </c>
      <c r="H611" t="str">
        <v/>
      </c>
      <c r="I611" t="str">
        <v/>
      </c>
      <c r="J611">
        <v>1</v>
      </c>
      <c r="K611" s="167">
        <f ca="1"/>
        <v>125</v>
      </c>
      <c r="L611" s="167">
        <f ca="1"/>
        <v>3875</v>
      </c>
      <c r="AA611">
        <v>31</v>
      </c>
      <c r="AB611">
        <v>7</v>
      </c>
      <c r="AC611" t="str">
        <v>50DK730</v>
      </c>
      <c r="AD611">
        <v>5571</v>
      </c>
      <c r="AE611" t="str">
        <v>dist</v>
      </c>
    </row>
    <row r="612" spans="1:31" hidden="1" x14ac:dyDescent="0.25">
      <c r="A612">
        <v>611</v>
      </c>
      <c r="B612">
        <v>2025</v>
      </c>
      <c r="C612">
        <v>10</v>
      </c>
      <c r="D612">
        <v>100</v>
      </c>
      <c r="E612">
        <v>4</v>
      </c>
      <c r="F612" t="str">
        <v/>
      </c>
      <c r="G612" s="167">
        <v>29</v>
      </c>
      <c r="H612" t="str">
        <v/>
      </c>
      <c r="I612" t="str">
        <v/>
      </c>
      <c r="J612">
        <v>1</v>
      </c>
      <c r="K612" s="167">
        <f ca="1"/>
        <v>196.43</v>
      </c>
      <c r="L612" s="167">
        <f ca="1"/>
        <v>5696.47</v>
      </c>
      <c r="AA612">
        <v>31</v>
      </c>
      <c r="AB612">
        <v>7</v>
      </c>
      <c r="AC612" t="str">
        <v>50EF902</v>
      </c>
      <c r="AD612">
        <v>1837</v>
      </c>
      <c r="AE612" t="str">
        <v>dist</v>
      </c>
    </row>
    <row r="613" spans="1:31" hidden="1" x14ac:dyDescent="0.25">
      <c r="A613">
        <v>612</v>
      </c>
      <c r="B613">
        <v>2025</v>
      </c>
      <c r="C613">
        <v>10</v>
      </c>
      <c r="D613">
        <v>102</v>
      </c>
      <c r="E613">
        <v>3</v>
      </c>
      <c r="F613" t="str">
        <v/>
      </c>
      <c r="G613" s="167">
        <v>31</v>
      </c>
      <c r="H613" t="str">
        <v/>
      </c>
      <c r="I613" t="str">
        <v/>
      </c>
      <c r="J613">
        <v>1</v>
      </c>
      <c r="K613" s="167">
        <f ca="1"/>
        <v>125</v>
      </c>
      <c r="L613" s="167">
        <f ca="1"/>
        <v>3875</v>
      </c>
      <c r="AA613">
        <v>31</v>
      </c>
      <c r="AB613">
        <v>7</v>
      </c>
      <c r="AC613" t="str">
        <v>53BB774</v>
      </c>
      <c r="AD613">
        <v>1478</v>
      </c>
      <c r="AE613" t="str">
        <v>dist</v>
      </c>
    </row>
    <row r="614" spans="1:31" hidden="1" x14ac:dyDescent="0.25">
      <c r="A614">
        <v>613</v>
      </c>
      <c r="B614">
        <v>2025</v>
      </c>
      <c r="C614">
        <v>10</v>
      </c>
      <c r="D614">
        <v>102</v>
      </c>
      <c r="E614">
        <v>3</v>
      </c>
      <c r="F614" t="str">
        <v/>
      </c>
      <c r="G614" s="167">
        <v>31</v>
      </c>
      <c r="H614" t="str">
        <v/>
      </c>
      <c r="I614" t="str">
        <v/>
      </c>
      <c r="J614">
        <v>3</v>
      </c>
      <c r="K614" s="167">
        <f ca="1"/>
        <v>125</v>
      </c>
      <c r="L614" s="167">
        <f ca="1"/>
        <v>3875</v>
      </c>
      <c r="AA614">
        <v>31</v>
      </c>
      <c r="AB614">
        <v>7</v>
      </c>
      <c r="AC614" t="str">
        <v>55CB633</v>
      </c>
      <c r="AD614">
        <v>2051</v>
      </c>
      <c r="AE614" t="str">
        <v>dist</v>
      </c>
    </row>
    <row r="615" spans="1:31" hidden="1" x14ac:dyDescent="0.25">
      <c r="A615">
        <v>614</v>
      </c>
      <c r="B615">
        <v>2025</v>
      </c>
      <c r="C615">
        <v>10</v>
      </c>
      <c r="D615">
        <v>102</v>
      </c>
      <c r="E615">
        <v>3</v>
      </c>
      <c r="F615" t="str">
        <v/>
      </c>
      <c r="G615" s="167">
        <v>31</v>
      </c>
      <c r="H615" t="str">
        <v/>
      </c>
      <c r="I615" t="str">
        <v/>
      </c>
      <c r="J615">
        <v>5</v>
      </c>
      <c r="K615" s="167">
        <f ca="1"/>
        <v>125</v>
      </c>
      <c r="L615" s="167">
        <f ca="1"/>
        <v>3875</v>
      </c>
      <c r="AA615">
        <v>31</v>
      </c>
      <c r="AB615">
        <v>7</v>
      </c>
      <c r="AC615" t="str">
        <v>77GR998</v>
      </c>
      <c r="AD615">
        <v>3530</v>
      </c>
      <c r="AE615" t="str">
        <v>dist</v>
      </c>
    </row>
    <row r="616" spans="1:31" hidden="1" x14ac:dyDescent="0.25">
      <c r="A616">
        <v>615</v>
      </c>
      <c r="B616">
        <v>2025</v>
      </c>
      <c r="C616">
        <v>10</v>
      </c>
      <c r="D616">
        <v>102</v>
      </c>
      <c r="E616">
        <v>3</v>
      </c>
      <c r="F616" t="str">
        <v/>
      </c>
      <c r="G616" s="167">
        <v>55</v>
      </c>
      <c r="H616" t="str">
        <v/>
      </c>
      <c r="I616" t="str">
        <v/>
      </c>
      <c r="J616">
        <v>4</v>
      </c>
      <c r="K616" s="167">
        <f ca="1"/>
        <v>12.5</v>
      </c>
      <c r="L616" s="167">
        <f ca="1"/>
        <v>687.5</v>
      </c>
      <c r="AA616">
        <v>31</v>
      </c>
      <c r="AB616">
        <v>7</v>
      </c>
      <c r="AC616" t="str">
        <v>77QE133</v>
      </c>
      <c r="AD616">
        <v>5845</v>
      </c>
      <c r="AE616" t="str">
        <v>dist</v>
      </c>
    </row>
    <row r="617" spans="1:31" hidden="1" x14ac:dyDescent="0.25">
      <c r="A617">
        <v>616</v>
      </c>
      <c r="B617">
        <v>2025</v>
      </c>
      <c r="C617">
        <v>10</v>
      </c>
      <c r="D617">
        <v>107</v>
      </c>
      <c r="E617">
        <v>2</v>
      </c>
      <c r="F617" t="str">
        <v/>
      </c>
      <c r="G617" s="167">
        <v>1</v>
      </c>
      <c r="H617" t="str">
        <v/>
      </c>
      <c r="I617" t="str">
        <v/>
      </c>
      <c r="J617">
        <v>4</v>
      </c>
      <c r="K617" s="167">
        <f ca="1"/>
        <v>3750</v>
      </c>
      <c r="L617" s="167">
        <f ca="1"/>
        <v>3750</v>
      </c>
      <c r="AA617">
        <v>31</v>
      </c>
      <c r="AB617">
        <v>7</v>
      </c>
      <c r="AC617" t="str">
        <v>77TG971</v>
      </c>
      <c r="AD617">
        <v>1485</v>
      </c>
      <c r="AE617" t="str">
        <v>dist</v>
      </c>
    </row>
    <row r="618" spans="1:31" hidden="1" x14ac:dyDescent="0.25">
      <c r="A618">
        <v>617</v>
      </c>
      <c r="B618">
        <v>2025</v>
      </c>
      <c r="C618">
        <v>10</v>
      </c>
      <c r="D618">
        <v>107</v>
      </c>
      <c r="E618">
        <v>2</v>
      </c>
      <c r="F618" t="str">
        <v/>
      </c>
      <c r="G618" s="167">
        <v>1</v>
      </c>
      <c r="H618" t="str">
        <v/>
      </c>
      <c r="I618" t="str">
        <v/>
      </c>
      <c r="J618">
        <v>5</v>
      </c>
      <c r="K618" s="167">
        <f ca="1"/>
        <v>3750</v>
      </c>
      <c r="L618" s="167">
        <f ca="1"/>
        <v>3750</v>
      </c>
      <c r="AA618">
        <v>31</v>
      </c>
      <c r="AB618">
        <v>7</v>
      </c>
      <c r="AC618" t="str">
        <v>77UR032</v>
      </c>
      <c r="AD618">
        <v>2293</v>
      </c>
      <c r="AE618" t="str">
        <v>dist</v>
      </c>
    </row>
    <row r="619" spans="1:31" hidden="1" x14ac:dyDescent="0.25">
      <c r="A619">
        <v>618</v>
      </c>
      <c r="B619">
        <v>2025</v>
      </c>
      <c r="C619">
        <v>10</v>
      </c>
      <c r="D619">
        <v>107</v>
      </c>
      <c r="E619">
        <v>2</v>
      </c>
      <c r="F619" t="str">
        <v/>
      </c>
      <c r="G619" s="167">
        <v>4</v>
      </c>
      <c r="H619" t="str">
        <v/>
      </c>
      <c r="I619" t="str">
        <v/>
      </c>
      <c r="J619">
        <v>6</v>
      </c>
      <c r="K619" s="167">
        <f ca="1"/>
        <v>350</v>
      </c>
      <c r="L619" s="167">
        <f ca="1"/>
        <v>1400</v>
      </c>
      <c r="AA619">
        <v>31</v>
      </c>
      <c r="AB619">
        <v>7</v>
      </c>
      <c r="AC619" t="str">
        <v>90LS143</v>
      </c>
      <c r="AD619">
        <v>2327</v>
      </c>
      <c r="AE619" t="str">
        <v>dist</v>
      </c>
    </row>
    <row r="620" spans="1:31" hidden="1" x14ac:dyDescent="0.25">
      <c r="A620">
        <v>619</v>
      </c>
      <c r="B620">
        <v>2025</v>
      </c>
      <c r="C620">
        <v>10</v>
      </c>
      <c r="D620">
        <v>107</v>
      </c>
      <c r="E620">
        <v>2</v>
      </c>
      <c r="F620" t="str">
        <v/>
      </c>
      <c r="G620" s="167">
        <v>3</v>
      </c>
      <c r="H620" t="str">
        <v/>
      </c>
      <c r="I620" t="str">
        <v/>
      </c>
      <c r="J620">
        <v>7</v>
      </c>
      <c r="K620" s="167">
        <f ca="1"/>
        <v>350</v>
      </c>
      <c r="L620" s="167">
        <f ca="1"/>
        <v>1050</v>
      </c>
      <c r="AA620">
        <v>31</v>
      </c>
      <c r="AB620">
        <v>7</v>
      </c>
      <c r="AC620" t="str">
        <v>90OE402</v>
      </c>
      <c r="AD620">
        <v>1719</v>
      </c>
      <c r="AE620" t="str">
        <v>dist</v>
      </c>
    </row>
    <row r="621" spans="1:31" hidden="1" x14ac:dyDescent="0.25">
      <c r="A621">
        <v>620</v>
      </c>
      <c r="B621">
        <v>2025</v>
      </c>
      <c r="C621">
        <v>10</v>
      </c>
      <c r="D621">
        <v>107</v>
      </c>
      <c r="E621">
        <v>2</v>
      </c>
      <c r="F621" t="str">
        <v/>
      </c>
      <c r="G621" s="167">
        <v>7</v>
      </c>
      <c r="H621" t="str">
        <v/>
      </c>
      <c r="I621" t="str">
        <v/>
      </c>
      <c r="J621">
        <v>8</v>
      </c>
      <c r="K621" s="167">
        <f ca="1"/>
        <v>500</v>
      </c>
      <c r="L621" s="167">
        <f ca="1"/>
        <v>3500</v>
      </c>
      <c r="AA621">
        <v>31</v>
      </c>
      <c r="AB621">
        <v>7</v>
      </c>
      <c r="AC621" t="str">
        <v>90SL686</v>
      </c>
      <c r="AD621">
        <v>9102</v>
      </c>
      <c r="AE621" t="str">
        <v>dist</v>
      </c>
    </row>
    <row r="622" spans="1:31" hidden="1" x14ac:dyDescent="0.25">
      <c r="A622">
        <v>621</v>
      </c>
      <c r="B622">
        <v>2025</v>
      </c>
      <c r="C622">
        <v>10</v>
      </c>
      <c r="D622">
        <v>110</v>
      </c>
      <c r="E622">
        <v>3</v>
      </c>
      <c r="F622" t="str">
        <v/>
      </c>
      <c r="G622" s="167">
        <v>30</v>
      </c>
      <c r="H622" t="str">
        <v/>
      </c>
      <c r="I622" t="str">
        <v/>
      </c>
      <c r="J622">
        <v>1</v>
      </c>
      <c r="K622" s="167">
        <f ca="1"/>
        <v>221.42857142857142</v>
      </c>
      <c r="L622" s="167">
        <f ca="1"/>
        <v>6642.8571428571422</v>
      </c>
      <c r="AA622">
        <v>31</v>
      </c>
      <c r="AB622">
        <v>7</v>
      </c>
      <c r="AC622" t="str">
        <v>90VS316</v>
      </c>
      <c r="AD622">
        <v>2571</v>
      </c>
      <c r="AE622" t="str">
        <v>dist</v>
      </c>
    </row>
    <row r="623" spans="1:31" hidden="1" x14ac:dyDescent="0.25">
      <c r="A623">
        <v>622</v>
      </c>
      <c r="B623">
        <v>2025</v>
      </c>
      <c r="C623">
        <v>10</v>
      </c>
      <c r="D623">
        <v>121</v>
      </c>
      <c r="E623">
        <v>1</v>
      </c>
      <c r="F623" t="str">
        <v/>
      </c>
      <c r="G623" s="167">
        <v>28</v>
      </c>
      <c r="H623" t="str">
        <v/>
      </c>
      <c r="I623" t="str">
        <v/>
      </c>
      <c r="J623">
        <v>1</v>
      </c>
      <c r="K623" s="167">
        <f ca="1"/>
        <v>128.57</v>
      </c>
      <c r="L623" s="167">
        <f ca="1"/>
        <v>3599.96</v>
      </c>
      <c r="AA623">
        <v>31</v>
      </c>
      <c r="AB623">
        <v>7</v>
      </c>
      <c r="AC623" t="str">
        <v>99BT339</v>
      </c>
      <c r="AD623">
        <v>4429</v>
      </c>
      <c r="AE623" t="str">
        <v>dist</v>
      </c>
    </row>
    <row r="624" spans="1:31" hidden="1" x14ac:dyDescent="0.25">
      <c r="A624">
        <v>623</v>
      </c>
      <c r="B624">
        <v>2025</v>
      </c>
      <c r="C624">
        <v>10</v>
      </c>
      <c r="D624">
        <v>121</v>
      </c>
      <c r="E624">
        <v>1</v>
      </c>
      <c r="F624" t="str">
        <v/>
      </c>
      <c r="G624" s="167">
        <v>8</v>
      </c>
      <c r="H624" t="str">
        <v/>
      </c>
      <c r="I624" t="str">
        <v/>
      </c>
      <c r="J624">
        <v>2</v>
      </c>
      <c r="K624" s="167">
        <f ca="1"/>
        <v>12.856999999999999</v>
      </c>
      <c r="L624" s="167">
        <f ca="1"/>
        <v>102.85599999999999</v>
      </c>
      <c r="AA624">
        <v>31</v>
      </c>
      <c r="AB624">
        <v>7</v>
      </c>
      <c r="AC624" t="str">
        <v>99EM163</v>
      </c>
      <c r="AD624">
        <v>1926</v>
      </c>
      <c r="AE624" t="str">
        <v>dist</v>
      </c>
    </row>
    <row r="625" spans="1:31" hidden="1" x14ac:dyDescent="0.25">
      <c r="A625">
        <v>624</v>
      </c>
      <c r="B625">
        <v>2025</v>
      </c>
      <c r="C625">
        <v>11</v>
      </c>
      <c r="D625">
        <v>11</v>
      </c>
      <c r="E625">
        <v>11</v>
      </c>
      <c r="F625" t="str">
        <v/>
      </c>
      <c r="G625" s="167">
        <v>1</v>
      </c>
      <c r="H625" t="str">
        <v/>
      </c>
      <c r="I625" t="str">
        <v/>
      </c>
      <c r="J625">
        <v>1</v>
      </c>
      <c r="K625" s="167">
        <f ca="1"/>
        <v>5500</v>
      </c>
      <c r="L625" s="167">
        <f ca="1"/>
        <v>5500</v>
      </c>
      <c r="AA625">
        <v>31</v>
      </c>
      <c r="AB625">
        <v>7</v>
      </c>
      <c r="AC625" t="str">
        <v>99HZ395</v>
      </c>
      <c r="AD625">
        <v>5269</v>
      </c>
      <c r="AE625" t="str">
        <v>dist</v>
      </c>
    </row>
    <row r="626" spans="1:31" hidden="1" x14ac:dyDescent="0.25">
      <c r="A626">
        <v>625</v>
      </c>
      <c r="B626">
        <v>2025</v>
      </c>
      <c r="C626">
        <v>11</v>
      </c>
      <c r="D626">
        <v>11</v>
      </c>
      <c r="E626">
        <v>11</v>
      </c>
      <c r="F626" t="str">
        <v/>
      </c>
      <c r="G626" s="167">
        <v>13.363636363636363</v>
      </c>
      <c r="H626" t="str">
        <v/>
      </c>
      <c r="I626" t="str">
        <v/>
      </c>
      <c r="J626">
        <v>2</v>
      </c>
      <c r="K626" s="167">
        <f ca="1"/>
        <v>200</v>
      </c>
      <c r="L626" s="167">
        <f ca="1"/>
        <v>2672.7272727272725</v>
      </c>
      <c r="AA626">
        <v>31</v>
      </c>
      <c r="AB626">
        <v>7</v>
      </c>
      <c r="AC626" t="str">
        <v>99KL663</v>
      </c>
      <c r="AD626">
        <v>2375</v>
      </c>
      <c r="AE626" t="str">
        <v>dist</v>
      </c>
    </row>
    <row r="627" spans="1:31" hidden="1" x14ac:dyDescent="0.25">
      <c r="A627">
        <v>626</v>
      </c>
      <c r="B627">
        <v>2025</v>
      </c>
      <c r="C627">
        <v>11</v>
      </c>
      <c r="D627">
        <v>11</v>
      </c>
      <c r="E627">
        <v>11</v>
      </c>
      <c r="F627" t="str">
        <v/>
      </c>
      <c r="G627" s="167">
        <v>2</v>
      </c>
      <c r="H627" t="str">
        <v/>
      </c>
      <c r="I627" t="str">
        <v/>
      </c>
      <c r="J627">
        <v>8</v>
      </c>
      <c r="K627" s="167">
        <f ca="1"/>
        <v>357</v>
      </c>
      <c r="L627" s="167">
        <f ca="1"/>
        <v>714</v>
      </c>
      <c r="AA627">
        <v>31</v>
      </c>
      <c r="AB627">
        <v>7</v>
      </c>
      <c r="AC627" t="str">
        <v>99LM412</v>
      </c>
      <c r="AD627">
        <v>522</v>
      </c>
      <c r="AE627" t="str">
        <v>dist</v>
      </c>
    </row>
    <row r="628" spans="1:31" hidden="1" x14ac:dyDescent="0.25">
      <c r="A628">
        <v>627</v>
      </c>
      <c r="B628">
        <v>2025</v>
      </c>
      <c r="C628">
        <v>11</v>
      </c>
      <c r="D628">
        <v>14</v>
      </c>
      <c r="E628">
        <v>8</v>
      </c>
      <c r="F628" t="str">
        <v/>
      </c>
      <c r="G628" s="167">
        <v>1</v>
      </c>
      <c r="H628" t="str">
        <v/>
      </c>
      <c r="I628" t="str">
        <v/>
      </c>
      <c r="J628">
        <v>15</v>
      </c>
      <c r="K628" s="167">
        <f ca="1"/>
        <v>4000</v>
      </c>
      <c r="L628" s="167">
        <f ca="1"/>
        <v>4000</v>
      </c>
      <c r="AA628">
        <v>31</v>
      </c>
      <c r="AB628">
        <v>7</v>
      </c>
      <c r="AC628" t="str">
        <v>99MN472</v>
      </c>
      <c r="AD628">
        <v>5842</v>
      </c>
      <c r="AE628" t="str">
        <v>dist</v>
      </c>
    </row>
    <row r="629" spans="1:31" hidden="1" x14ac:dyDescent="0.25">
      <c r="A629">
        <v>628</v>
      </c>
      <c r="B629">
        <v>2025</v>
      </c>
      <c r="C629">
        <v>11</v>
      </c>
      <c r="D629">
        <v>14</v>
      </c>
      <c r="E629">
        <v>8</v>
      </c>
      <c r="F629" t="str">
        <v/>
      </c>
      <c r="G629" s="167">
        <v>198</v>
      </c>
      <c r="H629" t="str">
        <v/>
      </c>
      <c r="I629" t="str">
        <v/>
      </c>
      <c r="J629">
        <v>16</v>
      </c>
      <c r="K629" s="167">
        <f ca="1"/>
        <v>3.5</v>
      </c>
      <c r="L629" s="167">
        <f ca="1"/>
        <v>693</v>
      </c>
      <c r="AA629">
        <v>31</v>
      </c>
      <c r="AB629">
        <v>8</v>
      </c>
      <c r="AC629" t="str">
        <v>10RN527</v>
      </c>
      <c r="AD629">
        <v>3670</v>
      </c>
      <c r="AE629" t="str">
        <v>dist</v>
      </c>
    </row>
    <row r="630" spans="1:31" hidden="1" x14ac:dyDescent="0.25">
      <c r="A630">
        <v>629</v>
      </c>
      <c r="B630">
        <v>2025</v>
      </c>
      <c r="C630">
        <v>11</v>
      </c>
      <c r="D630">
        <v>30</v>
      </c>
      <c r="E630">
        <v>11</v>
      </c>
      <c r="F630" t="str">
        <v/>
      </c>
      <c r="G630" s="167">
        <v>1</v>
      </c>
      <c r="H630" t="str">
        <v/>
      </c>
      <c r="I630" t="str">
        <v/>
      </c>
      <c r="J630">
        <v>4</v>
      </c>
      <c r="K630" s="167">
        <f ca="1"/>
        <v>5500</v>
      </c>
      <c r="L630" s="167">
        <f ca="1"/>
        <v>5500</v>
      </c>
      <c r="AA630">
        <v>31</v>
      </c>
      <c r="AB630">
        <v>8</v>
      </c>
      <c r="AC630" t="str">
        <v>50BD165</v>
      </c>
      <c r="AD630">
        <v>632</v>
      </c>
      <c r="AE630" t="str">
        <v>dist</v>
      </c>
    </row>
    <row r="631" spans="1:31" hidden="1" x14ac:dyDescent="0.25">
      <c r="A631">
        <v>630</v>
      </c>
      <c r="B631">
        <v>2025</v>
      </c>
      <c r="C631">
        <v>11</v>
      </c>
      <c r="D631">
        <v>31</v>
      </c>
      <c r="E631">
        <v>10</v>
      </c>
      <c r="F631" t="str">
        <v/>
      </c>
      <c r="G631" s="167">
        <v>29</v>
      </c>
      <c r="H631" t="str">
        <v/>
      </c>
      <c r="I631" t="str">
        <v/>
      </c>
      <c r="J631">
        <v>32</v>
      </c>
      <c r="K631" s="167">
        <f ca="1"/>
        <v>62.5</v>
      </c>
      <c r="L631" s="167">
        <f ca="1"/>
        <v>1812.5</v>
      </c>
      <c r="AA631">
        <v>31</v>
      </c>
      <c r="AB631">
        <v>8</v>
      </c>
      <c r="AC631" t="str">
        <v>50BN724</v>
      </c>
      <c r="AD631">
        <v>3689</v>
      </c>
      <c r="AE631" t="str">
        <v>dist</v>
      </c>
    </row>
    <row r="632" spans="1:31" hidden="1" x14ac:dyDescent="0.25">
      <c r="A632">
        <v>631</v>
      </c>
      <c r="B632">
        <v>2025</v>
      </c>
      <c r="C632">
        <v>11</v>
      </c>
      <c r="D632">
        <v>31</v>
      </c>
      <c r="E632">
        <v>10</v>
      </c>
      <c r="F632" t="str">
        <v/>
      </c>
      <c r="G632" s="167">
        <v>28</v>
      </c>
      <c r="H632" t="str">
        <v/>
      </c>
      <c r="I632" t="str">
        <v/>
      </c>
      <c r="J632">
        <v>39</v>
      </c>
      <c r="K632" s="167">
        <f ca="1"/>
        <v>55.36</v>
      </c>
      <c r="L632" s="167">
        <f ca="1"/>
        <v>1550.08</v>
      </c>
      <c r="AA632">
        <v>31</v>
      </c>
      <c r="AB632">
        <v>8</v>
      </c>
      <c r="AC632" t="str">
        <v>50CN929</v>
      </c>
      <c r="AD632">
        <v>1642</v>
      </c>
      <c r="AE632" t="str">
        <v>dist</v>
      </c>
    </row>
    <row r="633" spans="1:31" hidden="1" x14ac:dyDescent="0.25">
      <c r="A633">
        <v>632</v>
      </c>
      <c r="B633">
        <v>2025</v>
      </c>
      <c r="C633">
        <v>11</v>
      </c>
      <c r="D633">
        <v>31</v>
      </c>
      <c r="E633">
        <v>10</v>
      </c>
      <c r="F633" t="str">
        <v/>
      </c>
      <c r="G633" s="167">
        <v>12</v>
      </c>
      <c r="H633" t="str">
        <v/>
      </c>
      <c r="I633" t="str">
        <v/>
      </c>
      <c r="J633">
        <v>41</v>
      </c>
      <c r="K633" s="167">
        <f ca="1"/>
        <v>55.36</v>
      </c>
      <c r="L633" s="167">
        <f ca="1"/>
        <v>664.31999999999994</v>
      </c>
      <c r="AA633">
        <v>31</v>
      </c>
      <c r="AB633">
        <v>8</v>
      </c>
      <c r="AC633" t="str">
        <v>50DK730</v>
      </c>
      <c r="AD633">
        <v>5623</v>
      </c>
      <c r="AE633" t="str">
        <v>dist</v>
      </c>
    </row>
    <row r="634" spans="1:31" hidden="1" x14ac:dyDescent="0.25">
      <c r="A634">
        <v>633</v>
      </c>
      <c r="B634">
        <v>2025</v>
      </c>
      <c r="C634">
        <v>11</v>
      </c>
      <c r="D634">
        <v>31</v>
      </c>
      <c r="E634">
        <v>10</v>
      </c>
      <c r="F634" t="str">
        <v>50DK730</v>
      </c>
      <c r="G634" s="167">
        <v>29</v>
      </c>
      <c r="H634" t="str">
        <v/>
      </c>
      <c r="I634" t="str">
        <v/>
      </c>
      <c r="J634">
        <v>47</v>
      </c>
      <c r="K634" s="167">
        <f ca="1"/>
        <v>55.36</v>
      </c>
      <c r="L634" s="167">
        <f ca="1"/>
        <v>1605.44</v>
      </c>
      <c r="AA634">
        <v>31</v>
      </c>
      <c r="AB634">
        <v>8</v>
      </c>
      <c r="AC634" t="str">
        <v>50EF902</v>
      </c>
      <c r="AD634">
        <v>1166</v>
      </c>
      <c r="AE634" t="str">
        <v>dist</v>
      </c>
    </row>
    <row r="635" spans="1:31" hidden="1" x14ac:dyDescent="0.25">
      <c r="A635">
        <v>634</v>
      </c>
      <c r="B635">
        <v>2025</v>
      </c>
      <c r="C635">
        <v>11</v>
      </c>
      <c r="D635">
        <v>31</v>
      </c>
      <c r="E635">
        <v>10</v>
      </c>
      <c r="F635" t="str">
        <v>50EF902</v>
      </c>
      <c r="G635" s="167">
        <v>28</v>
      </c>
      <c r="H635" t="str">
        <v/>
      </c>
      <c r="I635" t="str">
        <v/>
      </c>
      <c r="J635">
        <v>49</v>
      </c>
      <c r="K635" s="167">
        <f ca="1"/>
        <v>62.5</v>
      </c>
      <c r="L635" s="167">
        <f ca="1"/>
        <v>1750</v>
      </c>
      <c r="AA635">
        <v>31</v>
      </c>
      <c r="AB635">
        <v>8</v>
      </c>
      <c r="AC635" t="str">
        <v>55CB633</v>
      </c>
      <c r="AD635">
        <v>2343</v>
      </c>
      <c r="AE635" t="str">
        <v>dist</v>
      </c>
    </row>
    <row r="636" spans="1:31" hidden="1" x14ac:dyDescent="0.25">
      <c r="A636">
        <v>635</v>
      </c>
      <c r="B636">
        <v>2025</v>
      </c>
      <c r="C636">
        <v>11</v>
      </c>
      <c r="D636">
        <v>31</v>
      </c>
      <c r="E636">
        <v>10</v>
      </c>
      <c r="F636" t="str">
        <v/>
      </c>
      <c r="G636" s="167">
        <v>29</v>
      </c>
      <c r="H636" t="str">
        <v/>
      </c>
      <c r="I636" t="str">
        <v/>
      </c>
      <c r="J636">
        <v>57</v>
      </c>
      <c r="K636" s="167">
        <f ca="1"/>
        <v>55.36</v>
      </c>
      <c r="L636" s="167">
        <f ca="1"/>
        <v>1605.44</v>
      </c>
      <c r="AA636">
        <v>31</v>
      </c>
      <c r="AB636">
        <v>8</v>
      </c>
      <c r="AC636" t="str">
        <v>77GR998</v>
      </c>
      <c r="AD636">
        <v>3659</v>
      </c>
      <c r="AE636" t="str">
        <v>dist</v>
      </c>
    </row>
    <row r="637" spans="1:31" hidden="1" x14ac:dyDescent="0.25">
      <c r="A637">
        <v>636</v>
      </c>
      <c r="B637">
        <v>2025</v>
      </c>
      <c r="C637">
        <v>11</v>
      </c>
      <c r="D637">
        <v>31</v>
      </c>
      <c r="E637">
        <v>10</v>
      </c>
      <c r="F637" t="str">
        <v/>
      </c>
      <c r="G637" s="167">
        <v>30</v>
      </c>
      <c r="H637" t="str">
        <v/>
      </c>
      <c r="I637" t="str">
        <v/>
      </c>
      <c r="J637">
        <v>73</v>
      </c>
      <c r="K637" s="167">
        <f ca="1"/>
        <v>73.33</v>
      </c>
      <c r="L637" s="167">
        <f ca="1"/>
        <v>2199.9</v>
      </c>
      <c r="AA637">
        <v>31</v>
      </c>
      <c r="AB637">
        <v>8</v>
      </c>
      <c r="AC637" t="str">
        <v>77QE133</v>
      </c>
      <c r="AD637">
        <v>1373</v>
      </c>
      <c r="AE637" t="str">
        <v>dist</v>
      </c>
    </row>
    <row r="638" spans="1:31" hidden="1" x14ac:dyDescent="0.25">
      <c r="A638">
        <v>637</v>
      </c>
      <c r="B638">
        <v>2025</v>
      </c>
      <c r="C638">
        <v>11</v>
      </c>
      <c r="D638">
        <v>31</v>
      </c>
      <c r="E638">
        <v>10</v>
      </c>
      <c r="F638" t="str">
        <v>77TG971</v>
      </c>
      <c r="G638" s="167">
        <v>29</v>
      </c>
      <c r="H638" t="str">
        <v>single</v>
      </c>
      <c r="I638" t="str">
        <v/>
      </c>
      <c r="J638">
        <v>75</v>
      </c>
      <c r="K638" s="167">
        <f ca="1"/>
        <v>55.36</v>
      </c>
      <c r="L638" s="167">
        <f ca="1"/>
        <v>1605.44</v>
      </c>
      <c r="AA638">
        <v>31</v>
      </c>
      <c r="AB638">
        <v>8</v>
      </c>
      <c r="AC638" t="str">
        <v>77SR538</v>
      </c>
      <c r="AD638">
        <v>5926</v>
      </c>
      <c r="AE638" t="str">
        <v>dist</v>
      </c>
    </row>
    <row r="639" spans="1:31" hidden="1" x14ac:dyDescent="0.25">
      <c r="A639">
        <v>638</v>
      </c>
      <c r="B639">
        <v>2025</v>
      </c>
      <c r="C639">
        <v>11</v>
      </c>
      <c r="D639">
        <v>31</v>
      </c>
      <c r="E639">
        <v>10</v>
      </c>
      <c r="F639" t="str">
        <v>77UR032</v>
      </c>
      <c r="G639" s="167">
        <v>28</v>
      </c>
      <c r="H639" t="str">
        <v>single</v>
      </c>
      <c r="I639" t="str">
        <v/>
      </c>
      <c r="J639">
        <v>77</v>
      </c>
      <c r="K639" s="167">
        <f ca="1"/>
        <v>55.36</v>
      </c>
      <c r="L639" s="167">
        <f ca="1"/>
        <v>1550.08</v>
      </c>
      <c r="AA639">
        <v>31</v>
      </c>
      <c r="AB639">
        <v>8</v>
      </c>
      <c r="AC639" t="str">
        <v>77TG971</v>
      </c>
      <c r="AD639">
        <v>1628</v>
      </c>
      <c r="AE639" t="str">
        <v>dist</v>
      </c>
    </row>
    <row r="640" spans="1:31" hidden="1" x14ac:dyDescent="0.25">
      <c r="A640">
        <v>639</v>
      </c>
      <c r="B640">
        <v>2025</v>
      </c>
      <c r="C640">
        <v>11</v>
      </c>
      <c r="D640">
        <v>31</v>
      </c>
      <c r="E640">
        <v>10</v>
      </c>
      <c r="F640" t="str">
        <v/>
      </c>
      <c r="G640" s="167">
        <v>29</v>
      </c>
      <c r="H640" t="str">
        <v/>
      </c>
      <c r="I640" t="str">
        <v/>
      </c>
      <c r="J640">
        <v>118</v>
      </c>
      <c r="K640" s="167">
        <f ca="1"/>
        <v>275</v>
      </c>
      <c r="L640" s="167">
        <f ca="1"/>
        <v>7975</v>
      </c>
      <c r="AA640">
        <v>31</v>
      </c>
      <c r="AB640">
        <v>8</v>
      </c>
      <c r="AC640" t="str">
        <v>77UR032</v>
      </c>
      <c r="AD640">
        <v>2273</v>
      </c>
      <c r="AE640" t="str">
        <v>dist</v>
      </c>
    </row>
    <row r="641" spans="1:31" hidden="1" x14ac:dyDescent="0.25">
      <c r="A641">
        <v>640</v>
      </c>
      <c r="B641">
        <v>2025</v>
      </c>
      <c r="C641">
        <v>11</v>
      </c>
      <c r="D641">
        <v>31</v>
      </c>
      <c r="E641">
        <v>10</v>
      </c>
      <c r="F641" t="str">
        <v/>
      </c>
      <c r="G641" s="167">
        <v>29</v>
      </c>
      <c r="H641" t="str">
        <v/>
      </c>
      <c r="I641" t="str">
        <v/>
      </c>
      <c r="J641">
        <v>79</v>
      </c>
      <c r="K641" s="167">
        <f ca="1"/>
        <v>62.5</v>
      </c>
      <c r="L641" s="167">
        <f ca="1"/>
        <v>1812.5</v>
      </c>
      <c r="AA641">
        <v>31</v>
      </c>
      <c r="AB641">
        <v>8</v>
      </c>
      <c r="AC641" t="str">
        <v>90LS143</v>
      </c>
      <c r="AD641">
        <v>3012</v>
      </c>
      <c r="AE641" t="str">
        <v>dist</v>
      </c>
    </row>
    <row r="642" spans="1:31" hidden="1" x14ac:dyDescent="0.25">
      <c r="A642">
        <v>641</v>
      </c>
      <c r="B642">
        <v>2025</v>
      </c>
      <c r="C642">
        <v>11</v>
      </c>
      <c r="D642">
        <v>31</v>
      </c>
      <c r="E642">
        <v>10</v>
      </c>
      <c r="F642" t="str">
        <v>90LS143</v>
      </c>
      <c r="G642" s="167">
        <v>29</v>
      </c>
      <c r="H642" t="str">
        <v>single</v>
      </c>
      <c r="I642" t="str">
        <v/>
      </c>
      <c r="J642">
        <v>81</v>
      </c>
      <c r="K642" s="167">
        <f ca="1"/>
        <v>55.36</v>
      </c>
      <c r="L642" s="167">
        <f ca="1"/>
        <v>1605.44</v>
      </c>
      <c r="AA642">
        <v>31</v>
      </c>
      <c r="AB642">
        <v>8</v>
      </c>
      <c r="AC642" t="str">
        <v>90OE402</v>
      </c>
      <c r="AD642">
        <v>5604</v>
      </c>
      <c r="AE642" t="str">
        <v>dist</v>
      </c>
    </row>
    <row r="643" spans="1:31" hidden="1" x14ac:dyDescent="0.25">
      <c r="A643">
        <v>642</v>
      </c>
      <c r="B643">
        <v>2025</v>
      </c>
      <c r="C643">
        <v>11</v>
      </c>
      <c r="D643">
        <v>31</v>
      </c>
      <c r="E643">
        <v>10</v>
      </c>
      <c r="F643" t="str">
        <v>90OE402</v>
      </c>
      <c r="G643" s="167">
        <v>30</v>
      </c>
      <c r="H643" t="str">
        <v>single</v>
      </c>
      <c r="I643" t="str">
        <v/>
      </c>
      <c r="J643">
        <v>83</v>
      </c>
      <c r="K643" s="167">
        <f ca="1"/>
        <v>73.33</v>
      </c>
      <c r="L643" s="167">
        <f ca="1"/>
        <v>2199.9</v>
      </c>
      <c r="AA643">
        <v>31</v>
      </c>
      <c r="AB643">
        <v>8</v>
      </c>
      <c r="AC643" t="str">
        <v>90SL686</v>
      </c>
      <c r="AD643">
        <v>4072</v>
      </c>
      <c r="AE643" t="str">
        <v>dist</v>
      </c>
    </row>
    <row r="644" spans="1:31" hidden="1" x14ac:dyDescent="0.25">
      <c r="A644">
        <v>643</v>
      </c>
      <c r="B644">
        <v>2025</v>
      </c>
      <c r="C644">
        <v>11</v>
      </c>
      <c r="D644">
        <v>31</v>
      </c>
      <c r="E644">
        <v>10</v>
      </c>
      <c r="F644" t="str">
        <v/>
      </c>
      <c r="G644" s="167">
        <v>13</v>
      </c>
      <c r="H644" t="str">
        <v/>
      </c>
      <c r="I644" t="str">
        <v/>
      </c>
      <c r="J644">
        <v>87</v>
      </c>
      <c r="K644" s="167">
        <f ca="1"/>
        <v>55.36</v>
      </c>
      <c r="L644" s="167">
        <f ca="1"/>
        <v>719.68</v>
      </c>
      <c r="AA644">
        <v>31</v>
      </c>
      <c r="AB644">
        <v>8</v>
      </c>
      <c r="AC644" t="str">
        <v>90VS316</v>
      </c>
      <c r="AD644">
        <v>2507</v>
      </c>
      <c r="AE644" t="str">
        <v>dist</v>
      </c>
    </row>
    <row r="645" spans="1:31" hidden="1" x14ac:dyDescent="0.25">
      <c r="A645">
        <v>644</v>
      </c>
      <c r="B645">
        <v>2025</v>
      </c>
      <c r="C645">
        <v>11</v>
      </c>
      <c r="D645">
        <v>31</v>
      </c>
      <c r="E645">
        <v>10</v>
      </c>
      <c r="F645" t="str">
        <v/>
      </c>
      <c r="G645" s="167">
        <v>29</v>
      </c>
      <c r="H645" t="str">
        <v/>
      </c>
      <c r="I645" t="str">
        <v/>
      </c>
      <c r="J645">
        <v>93</v>
      </c>
      <c r="K645" s="167">
        <f ca="1"/>
        <v>55.36</v>
      </c>
      <c r="L645" s="167">
        <f ca="1"/>
        <v>1605.44</v>
      </c>
      <c r="AA645">
        <v>31</v>
      </c>
      <c r="AB645">
        <v>8</v>
      </c>
      <c r="AC645" t="str">
        <v>99BT339</v>
      </c>
      <c r="AD645">
        <v>4049</v>
      </c>
      <c r="AE645" t="str">
        <v>dist</v>
      </c>
    </row>
    <row r="646" spans="1:31" hidden="1" x14ac:dyDescent="0.25">
      <c r="A646">
        <v>645</v>
      </c>
      <c r="B646">
        <v>2025</v>
      </c>
      <c r="C646">
        <v>11</v>
      </c>
      <c r="D646">
        <v>31</v>
      </c>
      <c r="E646">
        <v>10</v>
      </c>
      <c r="F646" t="str">
        <v/>
      </c>
      <c r="G646" s="167">
        <v>29</v>
      </c>
      <c r="H646" t="str">
        <v/>
      </c>
      <c r="I646" t="str">
        <v/>
      </c>
      <c r="J646">
        <v>94</v>
      </c>
      <c r="K646" s="167">
        <f ca="1"/>
        <v>55.36</v>
      </c>
      <c r="L646" s="167">
        <f ca="1"/>
        <v>1605.44</v>
      </c>
      <c r="AA646">
        <v>31</v>
      </c>
      <c r="AB646">
        <v>8</v>
      </c>
      <c r="AC646" t="str">
        <v>99CN447</v>
      </c>
      <c r="AD646">
        <v>1221</v>
      </c>
      <c r="AE646" t="str">
        <v>dist</v>
      </c>
    </row>
    <row r="647" spans="1:31" hidden="1" x14ac:dyDescent="0.25">
      <c r="A647">
        <v>646</v>
      </c>
      <c r="B647">
        <v>2025</v>
      </c>
      <c r="C647">
        <v>11</v>
      </c>
      <c r="D647">
        <v>31</v>
      </c>
      <c r="E647">
        <v>10</v>
      </c>
      <c r="F647" t="str">
        <v/>
      </c>
      <c r="G647" s="167">
        <v>1</v>
      </c>
      <c r="H647" t="str">
        <v/>
      </c>
      <c r="I647" t="str">
        <v/>
      </c>
      <c r="J647">
        <v>100</v>
      </c>
      <c r="K647" s="167">
        <f ca="1"/>
        <v>55.36</v>
      </c>
      <c r="L647" s="167">
        <f ca="1"/>
        <v>55.36</v>
      </c>
      <c r="AA647">
        <v>31</v>
      </c>
      <c r="AB647">
        <v>8</v>
      </c>
      <c r="AC647" t="str">
        <v>99EM163</v>
      </c>
      <c r="AD647">
        <v>1252</v>
      </c>
      <c r="AE647" t="str">
        <v>dist</v>
      </c>
    </row>
    <row r="648" spans="1:31" hidden="1" x14ac:dyDescent="0.25">
      <c r="A648">
        <v>647</v>
      </c>
      <c r="B648">
        <v>2025</v>
      </c>
      <c r="C648">
        <v>11</v>
      </c>
      <c r="D648">
        <v>31</v>
      </c>
      <c r="E648">
        <v>10</v>
      </c>
      <c r="F648" t="str">
        <v/>
      </c>
      <c r="G648" s="167">
        <v>28</v>
      </c>
      <c r="H648" t="str">
        <v/>
      </c>
      <c r="I648" t="str">
        <v/>
      </c>
      <c r="J648">
        <v>101</v>
      </c>
      <c r="K648" s="167">
        <f ca="1"/>
        <v>66.069999999999993</v>
      </c>
      <c r="L648" s="167">
        <f ca="1"/>
        <v>1849.9599999999998</v>
      </c>
      <c r="AA648">
        <v>31</v>
      </c>
      <c r="AB648">
        <v>8</v>
      </c>
      <c r="AC648" t="str">
        <v>99FO779</v>
      </c>
      <c r="AD648">
        <v>1006</v>
      </c>
      <c r="AE648" t="str">
        <v>dist</v>
      </c>
    </row>
    <row r="649" spans="1:31" hidden="1" x14ac:dyDescent="0.25">
      <c r="A649">
        <v>648</v>
      </c>
      <c r="B649">
        <v>2025</v>
      </c>
      <c r="C649">
        <v>11</v>
      </c>
      <c r="D649">
        <v>31</v>
      </c>
      <c r="E649">
        <v>10</v>
      </c>
      <c r="F649" t="str">
        <v/>
      </c>
      <c r="G649" s="167">
        <v>29</v>
      </c>
      <c r="H649" t="str">
        <v/>
      </c>
      <c r="I649" t="str">
        <v/>
      </c>
      <c r="J649">
        <v>106</v>
      </c>
      <c r="K649" s="167">
        <f ca="1"/>
        <v>55.36</v>
      </c>
      <c r="L649" s="167">
        <f ca="1"/>
        <v>1605.44</v>
      </c>
      <c r="AA649">
        <v>31</v>
      </c>
      <c r="AB649">
        <v>8</v>
      </c>
      <c r="AC649" t="str">
        <v>99HZ395</v>
      </c>
      <c r="AD649">
        <v>5003</v>
      </c>
      <c r="AE649" t="str">
        <v>dist</v>
      </c>
    </row>
    <row r="650" spans="1:31" hidden="1" x14ac:dyDescent="0.25">
      <c r="A650">
        <v>649</v>
      </c>
      <c r="B650">
        <v>2025</v>
      </c>
      <c r="C650">
        <v>11</v>
      </c>
      <c r="D650">
        <v>31</v>
      </c>
      <c r="E650">
        <v>10</v>
      </c>
      <c r="F650" t="str">
        <v/>
      </c>
      <c r="G650" s="167">
        <v>29</v>
      </c>
      <c r="H650" t="str">
        <v/>
      </c>
      <c r="I650" t="str">
        <v/>
      </c>
      <c r="J650">
        <v>116</v>
      </c>
      <c r="K650" s="167">
        <f ca="1"/>
        <v>55.36</v>
      </c>
      <c r="L650" s="167">
        <f ca="1"/>
        <v>1605.44</v>
      </c>
      <c r="AA650">
        <v>31</v>
      </c>
      <c r="AB650">
        <v>8</v>
      </c>
      <c r="AC650" t="str">
        <v>99KL663</v>
      </c>
      <c r="AD650">
        <v>1963</v>
      </c>
      <c r="AE650" t="str">
        <v>dist</v>
      </c>
    </row>
    <row r="651" spans="1:31" hidden="1" x14ac:dyDescent="0.25">
      <c r="A651">
        <v>650</v>
      </c>
      <c r="B651">
        <v>2025</v>
      </c>
      <c r="C651">
        <v>11</v>
      </c>
      <c r="D651">
        <v>31</v>
      </c>
      <c r="E651">
        <v>10</v>
      </c>
      <c r="F651" t="str">
        <v/>
      </c>
      <c r="G651" s="167">
        <v>29</v>
      </c>
      <c r="H651" t="str">
        <v/>
      </c>
      <c r="I651" t="str">
        <v/>
      </c>
      <c r="J651">
        <v>108</v>
      </c>
      <c r="K651" s="167">
        <f ca="1"/>
        <v>55.36</v>
      </c>
      <c r="L651" s="167">
        <f ca="1"/>
        <v>1605.44</v>
      </c>
      <c r="AA651">
        <v>31</v>
      </c>
      <c r="AB651">
        <v>8</v>
      </c>
      <c r="AC651" t="str">
        <v>99LM412</v>
      </c>
      <c r="AD651">
        <v>883</v>
      </c>
      <c r="AE651" t="str">
        <v>dist</v>
      </c>
    </row>
    <row r="652" spans="1:31" hidden="1" x14ac:dyDescent="0.25">
      <c r="A652">
        <v>651</v>
      </c>
      <c r="B652">
        <v>2025</v>
      </c>
      <c r="C652">
        <v>11</v>
      </c>
      <c r="D652">
        <v>31</v>
      </c>
      <c r="E652">
        <v>10</v>
      </c>
      <c r="F652" t="str">
        <v/>
      </c>
      <c r="G652" s="167">
        <v>29</v>
      </c>
      <c r="H652" t="str">
        <v/>
      </c>
      <c r="I652" t="str">
        <v/>
      </c>
      <c r="J652">
        <v>109</v>
      </c>
      <c r="K652" s="167">
        <f ca="1"/>
        <v>55.36</v>
      </c>
      <c r="L652" s="167">
        <f ca="1"/>
        <v>1605.44</v>
      </c>
      <c r="AA652">
        <v>31</v>
      </c>
      <c r="AB652">
        <v>8</v>
      </c>
      <c r="AC652" t="str">
        <v>99MN472</v>
      </c>
      <c r="AD652">
        <v>6127</v>
      </c>
      <c r="AE652" t="str">
        <v>dist</v>
      </c>
    </row>
    <row r="653" spans="1:31" hidden="1" x14ac:dyDescent="0.25">
      <c r="A653">
        <v>652</v>
      </c>
      <c r="B653">
        <v>2025</v>
      </c>
      <c r="C653">
        <v>11</v>
      </c>
      <c r="D653">
        <v>31</v>
      </c>
      <c r="E653">
        <v>10</v>
      </c>
      <c r="F653" t="str">
        <v/>
      </c>
      <c r="G653" s="167">
        <v>30</v>
      </c>
      <c r="H653" t="str">
        <v/>
      </c>
      <c r="I653" t="str">
        <v/>
      </c>
      <c r="J653">
        <v>114</v>
      </c>
      <c r="K653" s="167">
        <f ca="1"/>
        <v>58.93</v>
      </c>
      <c r="L653" s="167">
        <f ca="1"/>
        <v>1767.9</v>
      </c>
      <c r="AA653">
        <v>31</v>
      </c>
      <c r="AB653">
        <v>8</v>
      </c>
      <c r="AC653" t="str">
        <v>99OR961</v>
      </c>
      <c r="AD653">
        <v>755</v>
      </c>
      <c r="AE653" t="str">
        <v>dist</v>
      </c>
    </row>
    <row r="654" spans="1:31" hidden="1" x14ac:dyDescent="0.25">
      <c r="A654">
        <v>653</v>
      </c>
      <c r="B654">
        <v>2025</v>
      </c>
      <c r="C654">
        <v>11</v>
      </c>
      <c r="D654">
        <v>31</v>
      </c>
      <c r="E654">
        <v>10</v>
      </c>
      <c r="F654" t="str">
        <v/>
      </c>
      <c r="G654" s="167">
        <v>16</v>
      </c>
      <c r="H654" t="str">
        <v/>
      </c>
      <c r="I654" t="str">
        <v/>
      </c>
      <c r="J654">
        <v>28</v>
      </c>
      <c r="K654" s="167">
        <f ca="1"/>
        <v>55.36</v>
      </c>
      <c r="L654" s="167">
        <f ca="1"/>
        <v>885.76</v>
      </c>
      <c r="AA654">
        <v>31</v>
      </c>
      <c r="AB654">
        <v>8</v>
      </c>
      <c r="AC654" t="str">
        <v>99UK314</v>
      </c>
      <c r="AD654">
        <v>7971</v>
      </c>
      <c r="AE654" t="str">
        <v>dist</v>
      </c>
    </row>
    <row r="655" spans="1:31" hidden="1" x14ac:dyDescent="0.25">
      <c r="A655">
        <v>654</v>
      </c>
      <c r="B655">
        <v>2025</v>
      </c>
      <c r="C655">
        <v>11</v>
      </c>
      <c r="D655">
        <v>31</v>
      </c>
      <c r="E655">
        <v>10</v>
      </c>
      <c r="F655" t="str">
        <v/>
      </c>
      <c r="G655" s="167">
        <v>1</v>
      </c>
      <c r="H655" t="str">
        <v/>
      </c>
      <c r="I655" t="str">
        <v/>
      </c>
      <c r="J655">
        <v>33</v>
      </c>
      <c r="K655" s="167">
        <f ca="1"/>
        <v>66.67</v>
      </c>
      <c r="L655" s="167">
        <f ca="1"/>
        <v>66.67</v>
      </c>
      <c r="AA655">
        <v>31</v>
      </c>
      <c r="AB655">
        <v>9</v>
      </c>
      <c r="AC655" t="str">
        <v>10RN527</v>
      </c>
      <c r="AD655">
        <v>4081</v>
      </c>
      <c r="AE655" t="str">
        <v>dist</v>
      </c>
    </row>
    <row r="656" spans="1:31" hidden="1" x14ac:dyDescent="0.25">
      <c r="A656">
        <v>655</v>
      </c>
      <c r="B656">
        <v>2025</v>
      </c>
      <c r="C656">
        <v>11</v>
      </c>
      <c r="D656">
        <v>31</v>
      </c>
      <c r="E656">
        <v>10</v>
      </c>
      <c r="F656" t="str">
        <v/>
      </c>
      <c r="G656" s="167">
        <v>28</v>
      </c>
      <c r="H656" t="str">
        <v/>
      </c>
      <c r="I656" t="str">
        <v/>
      </c>
      <c r="J656">
        <v>23</v>
      </c>
      <c r="K656" s="167">
        <f ca="1"/>
        <v>66.069999999999993</v>
      </c>
      <c r="L656" s="167">
        <f ca="1"/>
        <v>1849.9599999999998</v>
      </c>
      <c r="AA656">
        <v>31</v>
      </c>
      <c r="AB656">
        <v>9</v>
      </c>
      <c r="AC656" t="str">
        <v>17BE358</v>
      </c>
      <c r="AD656">
        <v>5</v>
      </c>
      <c r="AE656" t="str">
        <v>dist</v>
      </c>
    </row>
    <row r="657" spans="1:31" hidden="1" x14ac:dyDescent="0.25">
      <c r="A657">
        <v>656</v>
      </c>
      <c r="B657">
        <v>2025</v>
      </c>
      <c r="C657">
        <v>11</v>
      </c>
      <c r="D657">
        <v>31</v>
      </c>
      <c r="E657">
        <v>10</v>
      </c>
      <c r="F657" t="str">
        <v/>
      </c>
      <c r="G657" s="167">
        <v>13</v>
      </c>
      <c r="H657" t="str">
        <v/>
      </c>
      <c r="I657" t="str">
        <v/>
      </c>
      <c r="J657">
        <v>119</v>
      </c>
      <c r="K657" s="167">
        <f ca="1"/>
        <v>62.5</v>
      </c>
      <c r="L657" s="167">
        <f ca="1"/>
        <v>812.5</v>
      </c>
      <c r="AA657">
        <v>31</v>
      </c>
      <c r="AB657">
        <v>9</v>
      </c>
      <c r="AC657" t="str">
        <v>21BF442</v>
      </c>
      <c r="AD657">
        <v>5394</v>
      </c>
      <c r="AE657" t="str">
        <v>dist</v>
      </c>
    </row>
    <row r="658" spans="1:31" hidden="1" x14ac:dyDescent="0.25">
      <c r="A658">
        <v>657</v>
      </c>
      <c r="B658">
        <v>2025</v>
      </c>
      <c r="C658">
        <v>11</v>
      </c>
      <c r="D658">
        <v>31</v>
      </c>
      <c r="E658">
        <v>10</v>
      </c>
      <c r="F658" t="str">
        <v/>
      </c>
      <c r="G658" s="167">
        <v>29</v>
      </c>
      <c r="H658" t="str">
        <v/>
      </c>
      <c r="I658" t="str">
        <v/>
      </c>
      <c r="J658">
        <v>21</v>
      </c>
      <c r="K658" s="167">
        <f ca="1"/>
        <v>96.43</v>
      </c>
      <c r="L658" s="167">
        <f ca="1"/>
        <v>2796.4700000000003</v>
      </c>
      <c r="AA658">
        <v>31</v>
      </c>
      <c r="AB658">
        <v>9</v>
      </c>
      <c r="AC658" t="str">
        <v>50BD165</v>
      </c>
      <c r="AD658">
        <v>903</v>
      </c>
      <c r="AE658" t="str">
        <v>dist</v>
      </c>
    </row>
    <row r="659" spans="1:31" hidden="1" x14ac:dyDescent="0.25">
      <c r="A659">
        <v>658</v>
      </c>
      <c r="B659">
        <v>2025</v>
      </c>
      <c r="C659">
        <v>11</v>
      </c>
      <c r="D659">
        <v>31</v>
      </c>
      <c r="E659">
        <v>10</v>
      </c>
      <c r="F659" t="str">
        <v/>
      </c>
      <c r="G659" s="167">
        <v>4</v>
      </c>
      <c r="H659" t="str">
        <v/>
      </c>
      <c r="I659" t="str">
        <v/>
      </c>
      <c r="J659">
        <v>125</v>
      </c>
      <c r="K659" s="167">
        <f ca="1"/>
        <v>96.43</v>
      </c>
      <c r="L659" s="167">
        <f ca="1"/>
        <v>385.72</v>
      </c>
      <c r="AA659">
        <v>31</v>
      </c>
      <c r="AB659">
        <v>9</v>
      </c>
      <c r="AC659" t="str">
        <v>50BN724</v>
      </c>
      <c r="AD659">
        <v>1896</v>
      </c>
      <c r="AE659" t="str">
        <v>dist</v>
      </c>
    </row>
    <row r="660" spans="1:31" hidden="1" x14ac:dyDescent="0.25">
      <c r="A660">
        <v>659</v>
      </c>
      <c r="B660">
        <v>2025</v>
      </c>
      <c r="C660">
        <v>11</v>
      </c>
      <c r="D660">
        <v>31</v>
      </c>
      <c r="E660">
        <v>10</v>
      </c>
      <c r="F660" t="str">
        <v/>
      </c>
      <c r="G660" s="167">
        <v>16</v>
      </c>
      <c r="H660" t="str">
        <v/>
      </c>
      <c r="I660" t="str">
        <v/>
      </c>
      <c r="J660">
        <v>121</v>
      </c>
      <c r="K660" s="167">
        <f ca="1"/>
        <v>62.5</v>
      </c>
      <c r="L660" s="167">
        <f ca="1"/>
        <v>1000</v>
      </c>
      <c r="AA660">
        <v>31</v>
      </c>
      <c r="AB660">
        <v>9</v>
      </c>
      <c r="AC660" t="str">
        <v>50CN929</v>
      </c>
      <c r="AD660">
        <v>2073</v>
      </c>
      <c r="AE660" t="str">
        <v>dist</v>
      </c>
    </row>
    <row r="661" spans="1:31" hidden="1" x14ac:dyDescent="0.25">
      <c r="A661">
        <v>660</v>
      </c>
      <c r="B661">
        <v>2025</v>
      </c>
      <c r="C661">
        <v>11</v>
      </c>
      <c r="D661">
        <v>31</v>
      </c>
      <c r="E661">
        <v>10</v>
      </c>
      <c r="F661" t="str">
        <v/>
      </c>
      <c r="G661" s="167">
        <v>21</v>
      </c>
      <c r="H661" t="str">
        <v/>
      </c>
      <c r="I661" t="str">
        <v/>
      </c>
      <c r="J661">
        <v>123</v>
      </c>
      <c r="K661" s="167">
        <f ca="1"/>
        <v>55.36</v>
      </c>
      <c r="L661" s="167">
        <f ca="1"/>
        <v>1162.56</v>
      </c>
      <c r="AA661">
        <v>31</v>
      </c>
      <c r="AB661">
        <v>9</v>
      </c>
      <c r="AC661" t="str">
        <v>50DK730</v>
      </c>
      <c r="AD661">
        <v>5921</v>
      </c>
      <c r="AE661" t="str">
        <v>dist</v>
      </c>
    </row>
    <row r="662" spans="1:31" hidden="1" x14ac:dyDescent="0.25">
      <c r="A662">
        <v>661</v>
      </c>
      <c r="B662">
        <v>2025</v>
      </c>
      <c r="C662">
        <v>11</v>
      </c>
      <c r="D662">
        <v>31</v>
      </c>
      <c r="E662">
        <v>10</v>
      </c>
      <c r="F662" t="str">
        <v/>
      </c>
      <c r="G662" s="167">
        <v>30</v>
      </c>
      <c r="H662" t="str">
        <v/>
      </c>
      <c r="I662" t="str">
        <v/>
      </c>
      <c r="J662">
        <v>13</v>
      </c>
      <c r="K662" s="167">
        <f ca="1"/>
        <v>46.67</v>
      </c>
      <c r="L662" s="167">
        <f ca="1"/>
        <v>1400.1000000000001</v>
      </c>
      <c r="AA662">
        <v>31</v>
      </c>
      <c r="AB662">
        <v>9</v>
      </c>
      <c r="AC662" t="str">
        <v>50EF902</v>
      </c>
      <c r="AD662">
        <v>1129</v>
      </c>
      <c r="AE662" t="str">
        <v>dist</v>
      </c>
    </row>
    <row r="663" spans="1:31" hidden="1" x14ac:dyDescent="0.25">
      <c r="A663">
        <v>662</v>
      </c>
      <c r="B663">
        <v>2025</v>
      </c>
      <c r="C663">
        <v>11</v>
      </c>
      <c r="D663">
        <v>31</v>
      </c>
      <c r="E663">
        <v>10</v>
      </c>
      <c r="F663" t="str">
        <v/>
      </c>
      <c r="G663" s="167">
        <v>30</v>
      </c>
      <c r="H663" t="str">
        <v/>
      </c>
      <c r="I663" t="str">
        <v/>
      </c>
      <c r="J663">
        <v>85</v>
      </c>
      <c r="K663" s="167">
        <f ca="1"/>
        <v>40</v>
      </c>
      <c r="L663" s="167">
        <f ca="1"/>
        <v>1200</v>
      </c>
      <c r="AA663">
        <v>31</v>
      </c>
      <c r="AB663">
        <v>9</v>
      </c>
      <c r="AC663" t="str">
        <v>50FB264</v>
      </c>
      <c r="AD663">
        <v>763</v>
      </c>
      <c r="AE663" t="str">
        <v>dist</v>
      </c>
    </row>
    <row r="664" spans="1:31" hidden="1" x14ac:dyDescent="0.25">
      <c r="A664">
        <v>663</v>
      </c>
      <c r="B664">
        <v>2025</v>
      </c>
      <c r="C664">
        <v>11</v>
      </c>
      <c r="D664">
        <v>31</v>
      </c>
      <c r="E664">
        <v>10</v>
      </c>
      <c r="F664" t="str">
        <v/>
      </c>
      <c r="G664" s="167">
        <v>30</v>
      </c>
      <c r="H664" t="str">
        <v/>
      </c>
      <c r="I664" t="str">
        <v/>
      </c>
      <c r="J664">
        <v>3</v>
      </c>
      <c r="K664" s="167">
        <f ca="1"/>
        <v>65</v>
      </c>
      <c r="L664" s="167">
        <f ca="1"/>
        <v>1950</v>
      </c>
      <c r="AA664">
        <v>31</v>
      </c>
      <c r="AB664">
        <v>9</v>
      </c>
      <c r="AC664" t="str">
        <v>53BD338</v>
      </c>
      <c r="AD664">
        <v>180</v>
      </c>
      <c r="AE664" t="str">
        <v>dist</v>
      </c>
    </row>
    <row r="665" spans="1:31" hidden="1" x14ac:dyDescent="0.25">
      <c r="A665">
        <v>664</v>
      </c>
      <c r="B665">
        <v>2025</v>
      </c>
      <c r="C665">
        <v>11</v>
      </c>
      <c r="D665">
        <v>31</v>
      </c>
      <c r="E665">
        <v>10</v>
      </c>
      <c r="F665" t="str">
        <v/>
      </c>
      <c r="G665" s="167">
        <v>29</v>
      </c>
      <c r="H665" t="str">
        <v/>
      </c>
      <c r="I665" t="str">
        <v/>
      </c>
      <c r="J665">
        <v>55</v>
      </c>
      <c r="K665" s="167">
        <f ca="1"/>
        <v>55.36</v>
      </c>
      <c r="L665" s="167">
        <f ca="1"/>
        <v>1605.44</v>
      </c>
      <c r="AA665">
        <v>31</v>
      </c>
      <c r="AB665">
        <v>9</v>
      </c>
      <c r="AC665" t="str">
        <v>55CB633</v>
      </c>
      <c r="AD665">
        <v>3062</v>
      </c>
      <c r="AE665" t="str">
        <v>dist</v>
      </c>
    </row>
    <row r="666" spans="1:31" hidden="1" x14ac:dyDescent="0.25">
      <c r="A666">
        <v>665</v>
      </c>
      <c r="B666">
        <v>2025</v>
      </c>
      <c r="C666">
        <v>11</v>
      </c>
      <c r="D666">
        <v>31</v>
      </c>
      <c r="E666">
        <v>10</v>
      </c>
      <c r="F666" t="str">
        <v/>
      </c>
      <c r="G666" s="167">
        <v>18</v>
      </c>
      <c r="H666" t="str">
        <v/>
      </c>
      <c r="I666" t="str">
        <v/>
      </c>
      <c r="J666">
        <v>37</v>
      </c>
      <c r="K666" s="167">
        <f ca="1"/>
        <v>55.36</v>
      </c>
      <c r="L666" s="167">
        <f ca="1"/>
        <v>996.48</v>
      </c>
      <c r="AA666">
        <v>31</v>
      </c>
      <c r="AB666">
        <v>9</v>
      </c>
      <c r="AC666" t="str">
        <v>77GR998</v>
      </c>
      <c r="AD666">
        <v>3034</v>
      </c>
      <c r="AE666" t="str">
        <v>dist</v>
      </c>
    </row>
    <row r="667" spans="1:31" hidden="1" x14ac:dyDescent="0.25">
      <c r="A667">
        <v>666</v>
      </c>
      <c r="B667">
        <v>2025</v>
      </c>
      <c r="C667">
        <v>11</v>
      </c>
      <c r="D667">
        <v>31</v>
      </c>
      <c r="E667">
        <v>10</v>
      </c>
      <c r="F667" t="str">
        <v/>
      </c>
      <c r="G667" s="167">
        <v>29</v>
      </c>
      <c r="H667" t="str">
        <v/>
      </c>
      <c r="I667" t="str">
        <v/>
      </c>
      <c r="J667">
        <v>104</v>
      </c>
      <c r="K667" s="167">
        <f ca="1"/>
        <v>62.5</v>
      </c>
      <c r="L667" s="167">
        <f ca="1"/>
        <v>1812.5</v>
      </c>
      <c r="AA667">
        <v>31</v>
      </c>
      <c r="AB667">
        <v>9</v>
      </c>
      <c r="AC667" t="str">
        <v>77SR538</v>
      </c>
      <c r="AD667">
        <v>6312</v>
      </c>
      <c r="AE667" t="str">
        <v>dist</v>
      </c>
    </row>
    <row r="668" spans="1:31" hidden="1" x14ac:dyDescent="0.25">
      <c r="A668">
        <v>667</v>
      </c>
      <c r="B668">
        <v>2025</v>
      </c>
      <c r="C668">
        <v>11</v>
      </c>
      <c r="D668">
        <v>31</v>
      </c>
      <c r="E668">
        <v>10</v>
      </c>
      <c r="F668" t="str">
        <v/>
      </c>
      <c r="G668" s="167">
        <v>30</v>
      </c>
      <c r="H668" t="str">
        <v/>
      </c>
      <c r="I668" t="str">
        <v/>
      </c>
      <c r="J668">
        <v>67</v>
      </c>
      <c r="K668" s="167">
        <f ca="1"/>
        <v>40</v>
      </c>
      <c r="L668" s="167">
        <f ca="1"/>
        <v>1200</v>
      </c>
      <c r="AA668">
        <v>31</v>
      </c>
      <c r="AB668">
        <v>9</v>
      </c>
      <c r="AC668" t="str">
        <v>77TG971</v>
      </c>
      <c r="AD668">
        <v>1903</v>
      </c>
      <c r="AE668" t="str">
        <v>dist</v>
      </c>
    </row>
    <row r="669" spans="1:31" hidden="1" x14ac:dyDescent="0.25">
      <c r="A669">
        <v>668</v>
      </c>
      <c r="B669">
        <v>2025</v>
      </c>
      <c r="C669">
        <v>11</v>
      </c>
      <c r="D669">
        <v>31</v>
      </c>
      <c r="E669">
        <v>10</v>
      </c>
      <c r="F669" t="str">
        <v/>
      </c>
      <c r="G669" s="167">
        <v>30</v>
      </c>
      <c r="H669" t="str">
        <v/>
      </c>
      <c r="I669" t="str">
        <v/>
      </c>
      <c r="J669">
        <v>63</v>
      </c>
      <c r="K669" s="167">
        <f ca="1"/>
        <v>99.65</v>
      </c>
      <c r="L669" s="167">
        <f ca="1"/>
        <v>2989.5</v>
      </c>
      <c r="AA669">
        <v>31</v>
      </c>
      <c r="AB669">
        <v>9</v>
      </c>
      <c r="AC669" t="str">
        <v>77UR032</v>
      </c>
      <c r="AD669">
        <v>2534</v>
      </c>
      <c r="AE669" t="str">
        <v>dist</v>
      </c>
    </row>
    <row r="670" spans="1:31" hidden="1" x14ac:dyDescent="0.25">
      <c r="A670">
        <v>669</v>
      </c>
      <c r="B670">
        <v>2025</v>
      </c>
      <c r="C670">
        <v>11</v>
      </c>
      <c r="D670">
        <v>31</v>
      </c>
      <c r="E670">
        <v>10</v>
      </c>
      <c r="F670" t="str">
        <v/>
      </c>
      <c r="G670" s="167">
        <v>26</v>
      </c>
      <c r="H670" t="str">
        <v/>
      </c>
      <c r="I670" t="str">
        <v/>
      </c>
      <c r="J670">
        <v>98</v>
      </c>
      <c r="K670" s="167">
        <f ca="1"/>
        <v>99.65</v>
      </c>
      <c r="L670" s="167">
        <f ca="1"/>
        <v>2590.9</v>
      </c>
      <c r="AA670">
        <v>31</v>
      </c>
      <c r="AB670">
        <v>9</v>
      </c>
      <c r="AC670" t="str">
        <v>90EC344</v>
      </c>
      <c r="AD670">
        <v>1819</v>
      </c>
      <c r="AE670" t="str">
        <v>dist</v>
      </c>
    </row>
    <row r="671" spans="1:31" hidden="1" x14ac:dyDescent="0.25">
      <c r="A671">
        <v>670</v>
      </c>
      <c r="B671">
        <v>2025</v>
      </c>
      <c r="C671">
        <v>11</v>
      </c>
      <c r="D671">
        <v>31</v>
      </c>
      <c r="E671">
        <v>10</v>
      </c>
      <c r="F671" t="str">
        <v/>
      </c>
      <c r="G671" s="167">
        <v>84</v>
      </c>
      <c r="H671" t="str">
        <v/>
      </c>
      <c r="I671" t="str">
        <v/>
      </c>
      <c r="J671">
        <v>30</v>
      </c>
      <c r="K671" s="167">
        <f ca="1"/>
        <v>6.25</v>
      </c>
      <c r="L671" s="167">
        <f ca="1"/>
        <v>525</v>
      </c>
      <c r="AA671">
        <v>31</v>
      </c>
      <c r="AB671">
        <v>9</v>
      </c>
      <c r="AC671" t="str">
        <v>90LS143</v>
      </c>
      <c r="AD671">
        <v>2953</v>
      </c>
      <c r="AE671" t="str">
        <v>dist</v>
      </c>
    </row>
    <row r="672" spans="1:31" hidden="1" x14ac:dyDescent="0.25">
      <c r="A672">
        <v>671</v>
      </c>
      <c r="B672">
        <v>2025</v>
      </c>
      <c r="C672">
        <v>11</v>
      </c>
      <c r="D672">
        <v>31</v>
      </c>
      <c r="E672">
        <v>10</v>
      </c>
      <c r="F672" t="str">
        <v/>
      </c>
      <c r="G672" s="167">
        <v>84</v>
      </c>
      <c r="H672" t="str">
        <v/>
      </c>
      <c r="I672" t="str">
        <v/>
      </c>
      <c r="J672">
        <v>38</v>
      </c>
      <c r="K672" s="167">
        <f ca="1"/>
        <v>5.5359999999999996</v>
      </c>
      <c r="L672" s="167">
        <f ca="1"/>
        <v>465.02399999999994</v>
      </c>
      <c r="AA672">
        <v>31</v>
      </c>
      <c r="AB672">
        <v>9</v>
      </c>
      <c r="AC672" t="str">
        <v>90OE402</v>
      </c>
      <c r="AD672">
        <v>4412</v>
      </c>
      <c r="AE672" t="str">
        <v>dist</v>
      </c>
    </row>
    <row r="673" spans="1:31" hidden="1" x14ac:dyDescent="0.25">
      <c r="A673">
        <v>672</v>
      </c>
      <c r="B673">
        <v>2025</v>
      </c>
      <c r="C673">
        <v>11</v>
      </c>
      <c r="D673">
        <v>31</v>
      </c>
      <c r="E673">
        <v>10</v>
      </c>
      <c r="F673" t="str">
        <v/>
      </c>
      <c r="G673" s="167">
        <v>87</v>
      </c>
      <c r="H673" t="str">
        <v/>
      </c>
      <c r="I673" t="str">
        <v/>
      </c>
      <c r="J673">
        <v>46</v>
      </c>
      <c r="K673" s="167">
        <f ca="1"/>
        <v>5.5359999999999996</v>
      </c>
      <c r="L673" s="167">
        <f ca="1"/>
        <v>481.63199999999995</v>
      </c>
      <c r="AA673">
        <v>31</v>
      </c>
      <c r="AB673">
        <v>9</v>
      </c>
      <c r="AC673" t="str">
        <v>90VS316</v>
      </c>
      <c r="AD673">
        <v>2664</v>
      </c>
      <c r="AE673" t="str">
        <v>dist</v>
      </c>
    </row>
    <row r="674" spans="1:31" hidden="1" x14ac:dyDescent="0.25">
      <c r="A674">
        <v>673</v>
      </c>
      <c r="B674">
        <v>2025</v>
      </c>
      <c r="C674">
        <v>11</v>
      </c>
      <c r="D674">
        <v>31</v>
      </c>
      <c r="E674">
        <v>10</v>
      </c>
      <c r="F674" t="str">
        <v/>
      </c>
      <c r="G674" s="167">
        <v>27.999999999999972</v>
      </c>
      <c r="H674" t="str">
        <v/>
      </c>
      <c r="I674" t="str">
        <v/>
      </c>
      <c r="J674">
        <v>48</v>
      </c>
      <c r="K674" s="167">
        <f ca="1"/>
        <v>6.25</v>
      </c>
      <c r="L674" s="167">
        <f ca="1"/>
        <v>174.99999999999983</v>
      </c>
      <c r="AA674">
        <v>31</v>
      </c>
      <c r="AB674">
        <v>9</v>
      </c>
      <c r="AC674" t="str">
        <v>99BT339</v>
      </c>
      <c r="AD674">
        <v>3685</v>
      </c>
      <c r="AE674" t="str">
        <v>dist</v>
      </c>
    </row>
    <row r="675" spans="1:31" hidden="1" x14ac:dyDescent="0.25">
      <c r="A675">
        <v>674</v>
      </c>
      <c r="B675">
        <v>2025</v>
      </c>
      <c r="C675">
        <v>11</v>
      </c>
      <c r="D675">
        <v>31</v>
      </c>
      <c r="E675">
        <v>10</v>
      </c>
      <c r="F675" t="str">
        <v/>
      </c>
      <c r="G675" s="167">
        <v>60.999999999999986</v>
      </c>
      <c r="H675" t="str">
        <v/>
      </c>
      <c r="I675" t="str">
        <v/>
      </c>
      <c r="J675">
        <v>56</v>
      </c>
      <c r="K675" s="167">
        <f ca="1"/>
        <v>5.5359999999999996</v>
      </c>
      <c r="L675" s="167">
        <f ca="1"/>
        <v>337.69599999999991</v>
      </c>
      <c r="AA675">
        <v>31</v>
      </c>
      <c r="AB675">
        <v>9</v>
      </c>
      <c r="AC675" t="str">
        <v>99CN447</v>
      </c>
      <c r="AD675">
        <v>2094</v>
      </c>
      <c r="AE675" t="str">
        <v>dist</v>
      </c>
    </row>
    <row r="676" spans="1:31" hidden="1" x14ac:dyDescent="0.25">
      <c r="A676">
        <v>675</v>
      </c>
      <c r="B676">
        <v>2025</v>
      </c>
      <c r="C676">
        <v>11</v>
      </c>
      <c r="D676">
        <v>31</v>
      </c>
      <c r="E676">
        <v>10</v>
      </c>
      <c r="F676" t="str">
        <v/>
      </c>
      <c r="G676" s="167">
        <v>108</v>
      </c>
      <c r="H676" t="str">
        <v/>
      </c>
      <c r="I676" t="str">
        <v/>
      </c>
      <c r="J676">
        <v>72</v>
      </c>
      <c r="K676" s="167">
        <f ca="1"/>
        <v>7.3330000000000002</v>
      </c>
      <c r="L676" s="167">
        <f ca="1"/>
        <v>791.96400000000006</v>
      </c>
      <c r="AA676">
        <v>31</v>
      </c>
      <c r="AB676">
        <v>9</v>
      </c>
      <c r="AC676" t="str">
        <v>99EM163</v>
      </c>
      <c r="AD676">
        <v>1558</v>
      </c>
      <c r="AE676" t="str">
        <v>dist</v>
      </c>
    </row>
    <row r="677" spans="1:31" hidden="1" x14ac:dyDescent="0.25">
      <c r="A677">
        <v>676</v>
      </c>
      <c r="B677">
        <v>2025</v>
      </c>
      <c r="C677">
        <v>11</v>
      </c>
      <c r="D677">
        <v>31</v>
      </c>
      <c r="E677">
        <v>10</v>
      </c>
      <c r="F677" t="str">
        <v/>
      </c>
      <c r="G677" s="167">
        <v>39.999999999999972</v>
      </c>
      <c r="H677" t="str">
        <v/>
      </c>
      <c r="I677" t="str">
        <v/>
      </c>
      <c r="J677">
        <v>78</v>
      </c>
      <c r="K677" s="167">
        <f ca="1"/>
        <v>6.25</v>
      </c>
      <c r="L677" s="167">
        <f ca="1"/>
        <v>249.99999999999983</v>
      </c>
      <c r="AA677">
        <v>31</v>
      </c>
      <c r="AB677">
        <v>9</v>
      </c>
      <c r="AC677" t="str">
        <v>99FO779</v>
      </c>
      <c r="AD677">
        <v>1517</v>
      </c>
      <c r="AE677" t="str">
        <v>dist</v>
      </c>
    </row>
    <row r="678" spans="1:31" hidden="1" x14ac:dyDescent="0.25">
      <c r="A678">
        <v>677</v>
      </c>
      <c r="B678">
        <v>2025</v>
      </c>
      <c r="C678">
        <v>11</v>
      </c>
      <c r="D678">
        <v>31</v>
      </c>
      <c r="E678">
        <v>10</v>
      </c>
      <c r="F678" t="str">
        <v/>
      </c>
      <c r="G678" s="167">
        <v>47</v>
      </c>
      <c r="H678" t="str">
        <v/>
      </c>
      <c r="I678" t="str">
        <v/>
      </c>
      <c r="J678">
        <v>80</v>
      </c>
      <c r="K678" s="167">
        <f ca="1"/>
        <v>5.5359999999999996</v>
      </c>
      <c r="L678" s="167">
        <f ca="1"/>
        <v>260.19200000000001</v>
      </c>
      <c r="AA678">
        <v>31</v>
      </c>
      <c r="AB678">
        <v>9</v>
      </c>
      <c r="AC678" t="str">
        <v>99GZ612</v>
      </c>
      <c r="AD678">
        <v>455</v>
      </c>
      <c r="AE678" t="str">
        <v>dist</v>
      </c>
    </row>
    <row r="679" spans="1:31" hidden="1" x14ac:dyDescent="0.25">
      <c r="A679">
        <v>678</v>
      </c>
      <c r="B679">
        <v>2025</v>
      </c>
      <c r="C679">
        <v>11</v>
      </c>
      <c r="D679">
        <v>31</v>
      </c>
      <c r="E679">
        <v>10</v>
      </c>
      <c r="F679" t="str">
        <v/>
      </c>
      <c r="G679" s="167">
        <v>59.999999999999943</v>
      </c>
      <c r="H679" t="str">
        <v/>
      </c>
      <c r="I679" t="str">
        <v/>
      </c>
      <c r="J679">
        <v>82</v>
      </c>
      <c r="K679" s="167">
        <f ca="1"/>
        <v>7.3330000000000002</v>
      </c>
      <c r="L679" s="167">
        <f ca="1"/>
        <v>439.97999999999962</v>
      </c>
      <c r="AA679">
        <v>31</v>
      </c>
      <c r="AB679">
        <v>9</v>
      </c>
      <c r="AC679" t="str">
        <v>99HZ395</v>
      </c>
      <c r="AD679">
        <v>4700</v>
      </c>
      <c r="AE679" t="str">
        <v>dist</v>
      </c>
    </row>
    <row r="680" spans="1:31" hidden="1" x14ac:dyDescent="0.25">
      <c r="A680">
        <v>679</v>
      </c>
      <c r="B680">
        <v>2025</v>
      </c>
      <c r="C680">
        <v>11</v>
      </c>
      <c r="D680">
        <v>31</v>
      </c>
      <c r="E680">
        <v>10</v>
      </c>
      <c r="F680" t="str">
        <v/>
      </c>
      <c r="G680" s="167">
        <v>20.999999999999993</v>
      </c>
      <c r="H680" t="str">
        <v/>
      </c>
      <c r="I680" t="str">
        <v/>
      </c>
      <c r="J680">
        <v>86</v>
      </c>
      <c r="K680" s="167">
        <f ca="1"/>
        <v>5.5359999999999996</v>
      </c>
      <c r="L680" s="167">
        <f ca="1"/>
        <v>116.25599999999996</v>
      </c>
      <c r="AA680">
        <v>31</v>
      </c>
      <c r="AB680">
        <v>9</v>
      </c>
      <c r="AC680" t="str">
        <v>99KL663</v>
      </c>
      <c r="AD680">
        <v>2124</v>
      </c>
      <c r="AE680" t="str">
        <v>dist</v>
      </c>
    </row>
    <row r="681" spans="1:31" hidden="1" x14ac:dyDescent="0.25">
      <c r="A681">
        <v>680</v>
      </c>
      <c r="B681">
        <v>2025</v>
      </c>
      <c r="C681">
        <v>11</v>
      </c>
      <c r="D681">
        <v>31</v>
      </c>
      <c r="E681">
        <v>10</v>
      </c>
      <c r="F681" t="str">
        <v/>
      </c>
      <c r="G681" s="167">
        <v>46</v>
      </c>
      <c r="H681" t="str">
        <v/>
      </c>
      <c r="I681" t="str">
        <v/>
      </c>
      <c r="J681">
        <v>92</v>
      </c>
      <c r="K681" s="167">
        <f ca="1"/>
        <v>5.5359999999999996</v>
      </c>
      <c r="L681" s="167">
        <f ca="1"/>
        <v>254.65599999999998</v>
      </c>
      <c r="AA681">
        <v>31</v>
      </c>
      <c r="AB681">
        <v>9</v>
      </c>
      <c r="AC681" t="str">
        <v>99LM412</v>
      </c>
      <c r="AD681">
        <v>1613</v>
      </c>
      <c r="AE681" t="str">
        <v>dist</v>
      </c>
    </row>
    <row r="682" spans="1:31" hidden="1" x14ac:dyDescent="0.25">
      <c r="A682">
        <v>681</v>
      </c>
      <c r="B682">
        <v>2025</v>
      </c>
      <c r="C682">
        <v>11</v>
      </c>
      <c r="D682">
        <v>31</v>
      </c>
      <c r="E682">
        <v>10</v>
      </c>
      <c r="F682" t="str">
        <v/>
      </c>
      <c r="G682" s="167">
        <v>30</v>
      </c>
      <c r="H682" t="str">
        <v/>
      </c>
      <c r="I682" t="str">
        <v/>
      </c>
      <c r="J682">
        <v>95</v>
      </c>
      <c r="K682" s="167">
        <f ca="1"/>
        <v>5.5359999999999996</v>
      </c>
      <c r="L682" s="167">
        <f ca="1"/>
        <v>166.07999999999998</v>
      </c>
      <c r="AA682">
        <v>31</v>
      </c>
      <c r="AB682">
        <v>9</v>
      </c>
      <c r="AC682" t="str">
        <v>99MN472</v>
      </c>
      <c r="AD682">
        <v>5720</v>
      </c>
      <c r="AE682" t="str">
        <v>dist</v>
      </c>
    </row>
    <row r="683" spans="1:31" hidden="1" x14ac:dyDescent="0.25">
      <c r="A683">
        <v>682</v>
      </c>
      <c r="B683">
        <v>2025</v>
      </c>
      <c r="C683">
        <v>11</v>
      </c>
      <c r="D683">
        <v>31</v>
      </c>
      <c r="E683">
        <v>10</v>
      </c>
      <c r="F683" t="str">
        <v/>
      </c>
      <c r="G683" s="167">
        <v>65</v>
      </c>
      <c r="H683" t="str">
        <v/>
      </c>
      <c r="I683" t="str">
        <v/>
      </c>
      <c r="J683">
        <v>102</v>
      </c>
      <c r="K683" s="167">
        <f ca="1"/>
        <v>6.6070000000000002</v>
      </c>
      <c r="L683" s="167">
        <f ca="1"/>
        <v>429.45500000000004</v>
      </c>
      <c r="AA683">
        <v>31</v>
      </c>
      <c r="AB683">
        <v>9</v>
      </c>
      <c r="AC683" t="str">
        <v>99OR961</v>
      </c>
      <c r="AD683">
        <v>1509</v>
      </c>
      <c r="AE683" t="str">
        <v>dist</v>
      </c>
    </row>
    <row r="684" spans="1:31" hidden="1" x14ac:dyDescent="0.25">
      <c r="A684">
        <v>683</v>
      </c>
      <c r="B684">
        <v>2025</v>
      </c>
      <c r="C684">
        <v>11</v>
      </c>
      <c r="D684">
        <v>31</v>
      </c>
      <c r="E684">
        <v>10</v>
      </c>
      <c r="F684" t="str">
        <v/>
      </c>
      <c r="G684" s="167">
        <v>70.999999999999986</v>
      </c>
      <c r="H684" t="str">
        <v/>
      </c>
      <c r="I684" t="str">
        <v/>
      </c>
      <c r="J684">
        <v>105</v>
      </c>
      <c r="K684" s="167">
        <f ca="1"/>
        <v>5.5359999999999996</v>
      </c>
      <c r="L684" s="167">
        <f ca="1"/>
        <v>393.05599999999987</v>
      </c>
      <c r="AA684">
        <v>31</v>
      </c>
      <c r="AB684">
        <v>9</v>
      </c>
      <c r="AC684" t="str">
        <v>99UK314</v>
      </c>
      <c r="AD684">
        <v>10485</v>
      </c>
      <c r="AE684" t="str">
        <v>dist</v>
      </c>
    </row>
    <row r="685" spans="1:31" hidden="1" x14ac:dyDescent="0.25">
      <c r="A685">
        <v>684</v>
      </c>
      <c r="B685">
        <v>2025</v>
      </c>
      <c r="C685">
        <v>11</v>
      </c>
      <c r="D685">
        <v>31</v>
      </c>
      <c r="E685">
        <v>10</v>
      </c>
      <c r="F685" t="str">
        <v/>
      </c>
      <c r="G685" s="167">
        <v>59.999999999999943</v>
      </c>
      <c r="H685" t="str">
        <v/>
      </c>
      <c r="I685" t="str">
        <v/>
      </c>
      <c r="J685">
        <v>115</v>
      </c>
      <c r="K685" s="167">
        <f ca="1"/>
        <v>5.5359999999999996</v>
      </c>
      <c r="L685" s="167">
        <f ca="1"/>
        <v>332.15999999999968</v>
      </c>
      <c r="AA685">
        <v>31</v>
      </c>
      <c r="AB685">
        <v>10</v>
      </c>
      <c r="AC685" t="str">
        <v>10NS184</v>
      </c>
      <c r="AD685">
        <v>856</v>
      </c>
      <c r="AE685" t="str">
        <v>dist</v>
      </c>
    </row>
    <row r="686" spans="1:31" hidden="1" x14ac:dyDescent="0.25">
      <c r="A686">
        <v>685</v>
      </c>
      <c r="B686">
        <v>2025</v>
      </c>
      <c r="C686">
        <v>11</v>
      </c>
      <c r="D686">
        <v>31</v>
      </c>
      <c r="E686">
        <v>10</v>
      </c>
      <c r="F686" t="str">
        <v/>
      </c>
      <c r="G686" s="167">
        <v>86.999999999999986</v>
      </c>
      <c r="H686" t="str">
        <v/>
      </c>
      <c r="I686" t="str">
        <v/>
      </c>
      <c r="J686">
        <v>107</v>
      </c>
      <c r="K686" s="167">
        <f ca="1"/>
        <v>5.5359999999999996</v>
      </c>
      <c r="L686" s="167">
        <f ca="1"/>
        <v>481.63199999999989</v>
      </c>
      <c r="AA686">
        <v>31</v>
      </c>
      <c r="AB686">
        <v>10</v>
      </c>
      <c r="AC686" t="str">
        <v>10RN527</v>
      </c>
      <c r="AD686">
        <v>4421</v>
      </c>
      <c r="AE686" t="str">
        <v>dist</v>
      </c>
    </row>
    <row r="687" spans="1:31" hidden="1" x14ac:dyDescent="0.25">
      <c r="A687">
        <v>686</v>
      </c>
      <c r="B687">
        <v>2025</v>
      </c>
      <c r="C687">
        <v>11</v>
      </c>
      <c r="D687">
        <v>31</v>
      </c>
      <c r="E687">
        <v>10</v>
      </c>
      <c r="F687" t="str">
        <v/>
      </c>
      <c r="G687" s="167">
        <v>36.999999999999993</v>
      </c>
      <c r="H687" t="str">
        <v/>
      </c>
      <c r="I687" t="str">
        <v/>
      </c>
      <c r="J687">
        <v>110</v>
      </c>
      <c r="K687" s="167">
        <f ca="1"/>
        <v>5.5359999999999996</v>
      </c>
      <c r="L687" s="167">
        <f ca="1"/>
        <v>204.83199999999994</v>
      </c>
      <c r="AA687">
        <v>31</v>
      </c>
      <c r="AB687">
        <v>10</v>
      </c>
      <c r="AC687" t="str">
        <v>10ZS260</v>
      </c>
      <c r="AD687">
        <v>130</v>
      </c>
      <c r="AE687" t="str">
        <v>dist</v>
      </c>
    </row>
    <row r="688" spans="1:31" hidden="1" x14ac:dyDescent="0.25">
      <c r="A688">
        <v>687</v>
      </c>
      <c r="B688">
        <v>2025</v>
      </c>
      <c r="C688">
        <v>11</v>
      </c>
      <c r="D688">
        <v>31</v>
      </c>
      <c r="E688">
        <v>10</v>
      </c>
      <c r="F688" t="str">
        <v/>
      </c>
      <c r="G688" s="167">
        <v>98</v>
      </c>
      <c r="H688" t="str">
        <v/>
      </c>
      <c r="I688" t="str">
        <v/>
      </c>
      <c r="J688">
        <v>113</v>
      </c>
      <c r="K688" s="167">
        <f ca="1"/>
        <v>5.8929999999999998</v>
      </c>
      <c r="L688" s="167">
        <f ca="1"/>
        <v>577.51400000000001</v>
      </c>
      <c r="AA688">
        <v>31</v>
      </c>
      <c r="AB688">
        <v>10</v>
      </c>
      <c r="AC688" t="str">
        <v>17BE358</v>
      </c>
      <c r="AD688">
        <v>996</v>
      </c>
      <c r="AE688" t="str">
        <v>dist</v>
      </c>
    </row>
    <row r="689" spans="1:31" hidden="1" x14ac:dyDescent="0.25">
      <c r="A689">
        <v>688</v>
      </c>
      <c r="B689">
        <v>2025</v>
      </c>
      <c r="C689">
        <v>11</v>
      </c>
      <c r="D689">
        <v>31</v>
      </c>
      <c r="E689">
        <v>10</v>
      </c>
      <c r="F689" t="str">
        <v/>
      </c>
      <c r="G689" s="167">
        <v>3</v>
      </c>
      <c r="H689" t="str">
        <v/>
      </c>
      <c r="I689" t="str">
        <v/>
      </c>
      <c r="J689">
        <v>27</v>
      </c>
      <c r="K689" s="167">
        <f ca="1"/>
        <v>5.5359999999999996</v>
      </c>
      <c r="L689" s="167">
        <f ca="1"/>
        <v>16.607999999999997</v>
      </c>
      <c r="AA689">
        <v>31</v>
      </c>
      <c r="AB689">
        <v>10</v>
      </c>
      <c r="AC689" t="str">
        <v>21BF442</v>
      </c>
      <c r="AD689">
        <v>4403</v>
      </c>
      <c r="AE689" t="str">
        <v>dist</v>
      </c>
    </row>
    <row r="690" spans="1:31" hidden="1" x14ac:dyDescent="0.25">
      <c r="A690">
        <v>689</v>
      </c>
      <c r="B690">
        <v>2025</v>
      </c>
      <c r="C690">
        <v>11</v>
      </c>
      <c r="D690">
        <v>31</v>
      </c>
      <c r="E690">
        <v>10</v>
      </c>
      <c r="F690" t="str">
        <v/>
      </c>
      <c r="G690" s="167">
        <v>79.999999999999986</v>
      </c>
      <c r="H690" t="str">
        <v/>
      </c>
      <c r="I690" t="str">
        <v/>
      </c>
      <c r="J690">
        <v>24</v>
      </c>
      <c r="K690" s="167">
        <f ca="1"/>
        <v>6.6070000000000002</v>
      </c>
      <c r="L690" s="167">
        <f ca="1"/>
        <v>528.55999999999995</v>
      </c>
      <c r="AA690">
        <v>31</v>
      </c>
      <c r="AB690">
        <v>10</v>
      </c>
      <c r="AC690" t="str">
        <v>50BD165</v>
      </c>
      <c r="AD690">
        <v>665</v>
      </c>
      <c r="AE690" t="str">
        <v>dist</v>
      </c>
    </row>
    <row r="691" spans="1:31" hidden="1" x14ac:dyDescent="0.25">
      <c r="A691">
        <v>690</v>
      </c>
      <c r="B691">
        <v>2025</v>
      </c>
      <c r="C691">
        <v>11</v>
      </c>
      <c r="D691">
        <v>31</v>
      </c>
      <c r="E691">
        <v>10</v>
      </c>
      <c r="F691" t="str">
        <v/>
      </c>
      <c r="G691" s="167">
        <v>22.999999999999993</v>
      </c>
      <c r="H691" t="str">
        <v/>
      </c>
      <c r="I691" t="str">
        <v/>
      </c>
      <c r="J691">
        <v>120</v>
      </c>
      <c r="K691" s="167">
        <f ca="1"/>
        <v>6.25</v>
      </c>
      <c r="L691" s="167">
        <f ca="1"/>
        <v>143.74999999999994</v>
      </c>
      <c r="AA691">
        <v>31</v>
      </c>
      <c r="AB691">
        <v>10</v>
      </c>
      <c r="AC691" t="str">
        <v>50DK730</v>
      </c>
      <c r="AD691">
        <v>6111</v>
      </c>
      <c r="AE691" t="str">
        <v>dist</v>
      </c>
    </row>
    <row r="692" spans="1:31" hidden="1" x14ac:dyDescent="0.25">
      <c r="A692">
        <v>691</v>
      </c>
      <c r="B692">
        <v>2025</v>
      </c>
      <c r="C692">
        <v>11</v>
      </c>
      <c r="D692">
        <v>31</v>
      </c>
      <c r="E692">
        <v>10</v>
      </c>
      <c r="F692" t="str">
        <v/>
      </c>
      <c r="G692" s="167">
        <v>94.999999999999986</v>
      </c>
      <c r="H692" t="str">
        <v/>
      </c>
      <c r="I692" t="str">
        <v/>
      </c>
      <c r="J692">
        <v>22</v>
      </c>
      <c r="K692" s="167">
        <f ca="1"/>
        <v>9.6430000000000007</v>
      </c>
      <c r="L692" s="167">
        <f ca="1"/>
        <v>916.08499999999992</v>
      </c>
      <c r="AA692">
        <v>31</v>
      </c>
      <c r="AB692">
        <v>10</v>
      </c>
      <c r="AC692" t="str">
        <v>50EF902</v>
      </c>
      <c r="AD692">
        <v>1070</v>
      </c>
      <c r="AE692" t="str">
        <v>dist</v>
      </c>
    </row>
    <row r="693" spans="1:31" hidden="1" x14ac:dyDescent="0.25">
      <c r="A693">
        <v>692</v>
      </c>
      <c r="B693">
        <v>2025</v>
      </c>
      <c r="C693">
        <v>11</v>
      </c>
      <c r="D693">
        <v>31</v>
      </c>
      <c r="E693">
        <v>10</v>
      </c>
      <c r="F693" t="str">
        <v/>
      </c>
      <c r="G693" s="167">
        <v>21.999999999999986</v>
      </c>
      <c r="H693" t="str">
        <v/>
      </c>
      <c r="I693" t="str">
        <v/>
      </c>
      <c r="J693">
        <v>122</v>
      </c>
      <c r="K693" s="167">
        <f ca="1"/>
        <v>6.25</v>
      </c>
      <c r="L693" s="167">
        <f ca="1"/>
        <v>137.49999999999991</v>
      </c>
      <c r="AA693">
        <v>31</v>
      </c>
      <c r="AB693">
        <v>10</v>
      </c>
      <c r="AC693" t="str">
        <v>50FB264</v>
      </c>
      <c r="AD693">
        <v>1408</v>
      </c>
      <c r="AE693" t="str">
        <v>dist</v>
      </c>
    </row>
    <row r="694" spans="1:31" hidden="1" x14ac:dyDescent="0.25">
      <c r="A694">
        <v>693</v>
      </c>
      <c r="B694">
        <v>2025</v>
      </c>
      <c r="C694">
        <v>11</v>
      </c>
      <c r="D694">
        <v>31</v>
      </c>
      <c r="E694">
        <v>10</v>
      </c>
      <c r="F694" t="str">
        <v/>
      </c>
      <c r="G694" s="167">
        <v>7.9999999999999982</v>
      </c>
      <c r="H694" t="str">
        <v/>
      </c>
      <c r="I694" t="str">
        <v/>
      </c>
      <c r="J694">
        <v>124</v>
      </c>
      <c r="K694" s="167">
        <f ca="1"/>
        <v>5.5359999999999996</v>
      </c>
      <c r="L694" s="167">
        <f ca="1"/>
        <v>44.28799999999999</v>
      </c>
      <c r="AA694">
        <v>31</v>
      </c>
      <c r="AB694">
        <v>10</v>
      </c>
      <c r="AC694" t="str">
        <v>53BD338</v>
      </c>
      <c r="AD694">
        <v>1847</v>
      </c>
      <c r="AE694" t="str">
        <v>dist</v>
      </c>
    </row>
    <row r="695" spans="1:31" hidden="1" x14ac:dyDescent="0.25">
      <c r="A695">
        <v>694</v>
      </c>
      <c r="B695">
        <v>2025</v>
      </c>
      <c r="C695">
        <v>11</v>
      </c>
      <c r="D695">
        <v>31</v>
      </c>
      <c r="E695">
        <v>10</v>
      </c>
      <c r="F695" t="str">
        <v/>
      </c>
      <c r="G695" s="167">
        <v>84</v>
      </c>
      <c r="H695" t="str">
        <v/>
      </c>
      <c r="I695" t="str">
        <v/>
      </c>
      <c r="J695">
        <v>4</v>
      </c>
      <c r="K695" s="167">
        <f ca="1"/>
        <v>6.5</v>
      </c>
      <c r="L695" s="167">
        <f ca="1"/>
        <v>546</v>
      </c>
      <c r="AA695">
        <v>31</v>
      </c>
      <c r="AB695">
        <v>10</v>
      </c>
      <c r="AC695" t="str">
        <v>55CB633</v>
      </c>
      <c r="AD695">
        <v>2663</v>
      </c>
      <c r="AE695" t="str">
        <v>dist</v>
      </c>
    </row>
    <row r="696" spans="1:31" hidden="1" x14ac:dyDescent="0.25">
      <c r="A696">
        <v>695</v>
      </c>
      <c r="B696">
        <v>2025</v>
      </c>
      <c r="C696">
        <v>11</v>
      </c>
      <c r="D696">
        <v>31</v>
      </c>
      <c r="E696">
        <v>10</v>
      </c>
      <c r="F696" t="str">
        <v/>
      </c>
      <c r="G696" s="167">
        <v>37.999999999999979</v>
      </c>
      <c r="H696" t="str">
        <v/>
      </c>
      <c r="I696" t="str">
        <v/>
      </c>
      <c r="J696">
        <v>54</v>
      </c>
      <c r="K696" s="167">
        <f ca="1"/>
        <v>5.5359999999999996</v>
      </c>
      <c r="L696" s="167">
        <f ca="1"/>
        <v>210.36799999999985</v>
      </c>
      <c r="AA696">
        <v>31</v>
      </c>
      <c r="AB696">
        <v>10</v>
      </c>
      <c r="AC696" t="str">
        <v>57BV285</v>
      </c>
      <c r="AD696">
        <v>1108</v>
      </c>
      <c r="AE696" t="str">
        <v>dist</v>
      </c>
    </row>
    <row r="697" spans="1:31" hidden="1" x14ac:dyDescent="0.25">
      <c r="A697">
        <v>696</v>
      </c>
      <c r="B697">
        <v>2025</v>
      </c>
      <c r="C697">
        <v>11</v>
      </c>
      <c r="D697">
        <v>31</v>
      </c>
      <c r="E697">
        <v>10</v>
      </c>
      <c r="F697" t="str">
        <v/>
      </c>
      <c r="G697" s="167">
        <v>20</v>
      </c>
      <c r="H697" t="str">
        <v/>
      </c>
      <c r="I697" t="str">
        <v/>
      </c>
      <c r="J697">
        <v>103</v>
      </c>
      <c r="K697" s="167">
        <f ca="1"/>
        <v>6.25</v>
      </c>
      <c r="L697" s="167">
        <f ca="1"/>
        <v>125</v>
      </c>
      <c r="AA697">
        <v>31</v>
      </c>
      <c r="AB697">
        <v>10</v>
      </c>
      <c r="AC697" t="str">
        <v>77GR998</v>
      </c>
      <c r="AD697">
        <v>1858</v>
      </c>
      <c r="AE697" t="str">
        <v>dist</v>
      </c>
    </row>
    <row r="698" spans="1:31" hidden="1" x14ac:dyDescent="0.25">
      <c r="A698">
        <v>697</v>
      </c>
      <c r="B698">
        <v>2025</v>
      </c>
      <c r="C698">
        <v>11</v>
      </c>
      <c r="D698">
        <v>31</v>
      </c>
      <c r="E698">
        <v>10</v>
      </c>
      <c r="F698" t="str">
        <v/>
      </c>
      <c r="G698" s="167">
        <v>12886.4409977</v>
      </c>
      <c r="H698" t="str">
        <v/>
      </c>
      <c r="I698" t="str">
        <v/>
      </c>
      <c r="J698" t="str">
        <v>M-1</v>
      </c>
      <c r="K698" s="167">
        <f ca="1"/>
        <v>1</v>
      </c>
      <c r="L698" s="167">
        <f ca="1"/>
        <v>12886.4409977</v>
      </c>
      <c r="AA698">
        <v>31</v>
      </c>
      <c r="AB698">
        <v>10</v>
      </c>
      <c r="AC698" t="str">
        <v>77SR538</v>
      </c>
      <c r="AD698">
        <v>5618</v>
      </c>
      <c r="AE698" t="str">
        <v>dist</v>
      </c>
    </row>
    <row r="699" spans="1:31" hidden="1" x14ac:dyDescent="0.25">
      <c r="A699">
        <v>698</v>
      </c>
      <c r="B699">
        <v>2025</v>
      </c>
      <c r="C699">
        <v>11</v>
      </c>
      <c r="D699">
        <v>31</v>
      </c>
      <c r="E699">
        <v>10</v>
      </c>
      <c r="F699" t="str">
        <v/>
      </c>
      <c r="G699" s="167">
        <v>11358</v>
      </c>
      <c r="H699" t="str">
        <v/>
      </c>
      <c r="I699" t="str">
        <v/>
      </c>
      <c r="J699" t="str">
        <v>R-1</v>
      </c>
      <c r="K699" s="167">
        <f ca="1"/>
        <v>-1</v>
      </c>
      <c r="L699" s="167">
        <f ca="1"/>
        <v>-11358</v>
      </c>
      <c r="AA699">
        <v>31</v>
      </c>
      <c r="AB699">
        <v>10</v>
      </c>
      <c r="AC699" t="str">
        <v>77TG971</v>
      </c>
      <c r="AD699">
        <v>2098</v>
      </c>
      <c r="AE699" t="str">
        <v>dist</v>
      </c>
    </row>
    <row r="700" spans="1:31" hidden="1" x14ac:dyDescent="0.25">
      <c r="A700">
        <v>699</v>
      </c>
      <c r="B700">
        <v>2025</v>
      </c>
      <c r="C700">
        <v>11</v>
      </c>
      <c r="D700">
        <v>31</v>
      </c>
      <c r="E700">
        <v>10</v>
      </c>
      <c r="F700" t="str">
        <v/>
      </c>
      <c r="G700" s="167">
        <v>58</v>
      </c>
      <c r="H700" t="str">
        <v/>
      </c>
      <c r="I700" t="str">
        <v/>
      </c>
      <c r="J700" t="str">
        <v>R-3</v>
      </c>
      <c r="K700" s="167">
        <f ca="1"/>
        <v>-55.36</v>
      </c>
      <c r="L700" s="167">
        <f ca="1"/>
        <v>-3210.88</v>
      </c>
      <c r="AA700">
        <v>31</v>
      </c>
      <c r="AB700">
        <v>10</v>
      </c>
      <c r="AC700" t="str">
        <v>77UR032</v>
      </c>
      <c r="AD700">
        <v>2635</v>
      </c>
      <c r="AE700" t="str">
        <v>dist</v>
      </c>
    </row>
    <row r="701" spans="1:31" hidden="1" x14ac:dyDescent="0.25">
      <c r="A701">
        <v>700</v>
      </c>
      <c r="B701">
        <v>2025</v>
      </c>
      <c r="C701">
        <v>11</v>
      </c>
      <c r="D701">
        <v>31</v>
      </c>
      <c r="E701">
        <v>10</v>
      </c>
      <c r="F701" t="str">
        <v/>
      </c>
      <c r="G701" s="167">
        <v>150.999</v>
      </c>
      <c r="H701" t="str">
        <v/>
      </c>
      <c r="I701" t="str">
        <v/>
      </c>
      <c r="J701" t="str">
        <v>R-4</v>
      </c>
      <c r="K701" s="167">
        <f ca="1"/>
        <v>-5.5359999999999996</v>
      </c>
      <c r="L701" s="167">
        <f ca="1"/>
        <v>-835.93046399999992</v>
      </c>
      <c r="AA701">
        <v>31</v>
      </c>
      <c r="AB701">
        <v>10</v>
      </c>
      <c r="AC701" t="str">
        <v>90EC344</v>
      </c>
      <c r="AD701">
        <v>2503</v>
      </c>
      <c r="AE701" t="str">
        <v>dist</v>
      </c>
    </row>
    <row r="702" spans="1:31" hidden="1" x14ac:dyDescent="0.25">
      <c r="A702">
        <v>701</v>
      </c>
      <c r="B702">
        <v>2025</v>
      </c>
      <c r="C702">
        <v>11</v>
      </c>
      <c r="D702">
        <v>33</v>
      </c>
      <c r="E702">
        <v>15</v>
      </c>
      <c r="F702" t="str">
        <v/>
      </c>
      <c r="G702" s="167">
        <v>49730</v>
      </c>
      <c r="H702" t="str">
        <v/>
      </c>
      <c r="I702" t="str">
        <v/>
      </c>
      <c r="J702">
        <v>12</v>
      </c>
      <c r="K702" s="167">
        <f ca="1"/>
        <v>1.56</v>
      </c>
      <c r="L702" s="167">
        <f ca="1"/>
        <v>77578.8</v>
      </c>
      <c r="AA702">
        <v>31</v>
      </c>
      <c r="AB702">
        <v>10</v>
      </c>
      <c r="AC702" t="str">
        <v>90LS143</v>
      </c>
      <c r="AD702">
        <v>2964</v>
      </c>
      <c r="AE702" t="str">
        <v>dist</v>
      </c>
    </row>
    <row r="703" spans="1:31" hidden="1" x14ac:dyDescent="0.25">
      <c r="A703">
        <v>702</v>
      </c>
      <c r="B703">
        <v>2025</v>
      </c>
      <c r="C703">
        <v>11</v>
      </c>
      <c r="D703">
        <v>33</v>
      </c>
      <c r="E703">
        <v>15</v>
      </c>
      <c r="F703" t="str">
        <v/>
      </c>
      <c r="G703" s="167">
        <v>56306</v>
      </c>
      <c r="H703" t="str">
        <v/>
      </c>
      <c r="I703" t="str">
        <v/>
      </c>
      <c r="J703">
        <v>13</v>
      </c>
      <c r="K703" s="167">
        <f ca="1"/>
        <v>4.53</v>
      </c>
      <c r="L703" s="167">
        <f ca="1"/>
        <v>255066.18000000002</v>
      </c>
      <c r="AA703">
        <v>31</v>
      </c>
      <c r="AB703">
        <v>10</v>
      </c>
      <c r="AC703" t="str">
        <v>90OE402</v>
      </c>
      <c r="AD703">
        <v>4070</v>
      </c>
      <c r="AE703" t="str">
        <v>dist</v>
      </c>
    </row>
    <row r="704" spans="1:31" hidden="1" x14ac:dyDescent="0.25">
      <c r="A704">
        <v>703</v>
      </c>
      <c r="B704">
        <v>2025</v>
      </c>
      <c r="C704">
        <v>11</v>
      </c>
      <c r="D704">
        <v>33</v>
      </c>
      <c r="E704">
        <v>15</v>
      </c>
      <c r="F704" t="str">
        <v/>
      </c>
      <c r="G704" s="167">
        <v>52246</v>
      </c>
      <c r="H704" t="str">
        <v/>
      </c>
      <c r="I704" t="str">
        <v/>
      </c>
      <c r="J704">
        <v>14</v>
      </c>
      <c r="K704" s="167">
        <f ca="1"/>
        <v>4.53</v>
      </c>
      <c r="L704" s="167">
        <f ca="1"/>
        <v>236674.38</v>
      </c>
      <c r="AA704">
        <v>31</v>
      </c>
      <c r="AB704">
        <v>10</v>
      </c>
      <c r="AC704" t="str">
        <v>90RC631</v>
      </c>
      <c r="AD704">
        <v>113</v>
      </c>
      <c r="AE704" t="str">
        <v>dist</v>
      </c>
    </row>
    <row r="705" spans="1:31" hidden="1" x14ac:dyDescent="0.25">
      <c r="A705">
        <v>704</v>
      </c>
      <c r="B705">
        <v>2025</v>
      </c>
      <c r="C705">
        <v>11</v>
      </c>
      <c r="D705">
        <v>33</v>
      </c>
      <c r="E705">
        <v>15</v>
      </c>
      <c r="F705" t="str">
        <v/>
      </c>
      <c r="G705" s="167">
        <v>3707</v>
      </c>
      <c r="H705" t="str">
        <v/>
      </c>
      <c r="I705" t="str">
        <v/>
      </c>
      <c r="J705">
        <v>15</v>
      </c>
      <c r="K705" s="167">
        <f ca="1"/>
        <v>4.53</v>
      </c>
      <c r="L705" s="167">
        <f ca="1"/>
        <v>16792.71</v>
      </c>
      <c r="AA705">
        <v>31</v>
      </c>
      <c r="AB705">
        <v>10</v>
      </c>
      <c r="AC705" t="str">
        <v>90UX686</v>
      </c>
      <c r="AD705">
        <v>1308</v>
      </c>
      <c r="AE705" t="str">
        <v>dist</v>
      </c>
    </row>
    <row r="706" spans="1:31" hidden="1" x14ac:dyDescent="0.25">
      <c r="A706">
        <v>705</v>
      </c>
      <c r="B706">
        <v>2025</v>
      </c>
      <c r="C706">
        <v>11</v>
      </c>
      <c r="D706">
        <v>33</v>
      </c>
      <c r="E706">
        <v>15</v>
      </c>
      <c r="F706" t="str">
        <v/>
      </c>
      <c r="G706" s="167">
        <v>3149</v>
      </c>
      <c r="H706" t="str">
        <v/>
      </c>
      <c r="I706" t="str">
        <v/>
      </c>
      <c r="J706">
        <v>16</v>
      </c>
      <c r="K706" s="167">
        <f ca="1"/>
        <v>3.77</v>
      </c>
      <c r="L706" s="167">
        <f ca="1"/>
        <v>11871.73</v>
      </c>
      <c r="AA706">
        <v>31</v>
      </c>
      <c r="AB706">
        <v>10</v>
      </c>
      <c r="AC706" t="str">
        <v>90VS316</v>
      </c>
      <c r="AD706">
        <v>1339</v>
      </c>
      <c r="AE706" t="str">
        <v>dist</v>
      </c>
    </row>
    <row r="707" spans="1:31" hidden="1" x14ac:dyDescent="0.25">
      <c r="A707">
        <v>706</v>
      </c>
      <c r="B707">
        <v>2025</v>
      </c>
      <c r="C707">
        <v>11</v>
      </c>
      <c r="D707">
        <v>46</v>
      </c>
      <c r="E707">
        <v>7</v>
      </c>
      <c r="F707" t="str">
        <v/>
      </c>
      <c r="G707" s="167">
        <v>28</v>
      </c>
      <c r="H707" t="str">
        <v/>
      </c>
      <c r="I707" t="str">
        <v/>
      </c>
      <c r="J707">
        <v>1</v>
      </c>
      <c r="K707" s="167">
        <f ca="1"/>
        <v>214.28571428571428</v>
      </c>
      <c r="L707" s="167">
        <f ca="1"/>
        <v>6000</v>
      </c>
      <c r="AA707">
        <v>31</v>
      </c>
      <c r="AB707">
        <v>10</v>
      </c>
      <c r="AC707" t="str">
        <v>99BT339</v>
      </c>
      <c r="AD707">
        <v>2661</v>
      </c>
      <c r="AE707" t="str">
        <v>dist</v>
      </c>
    </row>
    <row r="708" spans="1:31" hidden="1" x14ac:dyDescent="0.25">
      <c r="A708">
        <v>707</v>
      </c>
      <c r="B708">
        <v>2025</v>
      </c>
      <c r="C708">
        <v>11</v>
      </c>
      <c r="D708">
        <v>46</v>
      </c>
      <c r="E708">
        <v>7</v>
      </c>
      <c r="F708" t="str">
        <v/>
      </c>
      <c r="G708" s="167">
        <v>19</v>
      </c>
      <c r="H708" t="str">
        <v/>
      </c>
      <c r="I708" t="str">
        <v/>
      </c>
      <c r="J708">
        <v>4</v>
      </c>
      <c r="K708" s="167">
        <f ca="1"/>
        <v>446.42857142857144</v>
      </c>
      <c r="L708" s="167">
        <f ca="1"/>
        <v>8482.1428571428569</v>
      </c>
      <c r="AA708">
        <v>31</v>
      </c>
      <c r="AB708">
        <v>10</v>
      </c>
      <c r="AC708" t="str">
        <v>99CN447</v>
      </c>
      <c r="AD708">
        <v>1639</v>
      </c>
      <c r="AE708" t="str">
        <v>dist</v>
      </c>
    </row>
    <row r="709" spans="1:31" x14ac:dyDescent="0.25">
      <c r="A709">
        <v>708</v>
      </c>
      <c r="B709">
        <v>2025</v>
      </c>
      <c r="C709">
        <v>11</v>
      </c>
      <c r="D709">
        <v>50</v>
      </c>
      <c r="E709">
        <v>6</v>
      </c>
      <c r="F709" t="str">
        <v/>
      </c>
      <c r="G709" s="167">
        <v>28</v>
      </c>
      <c r="H709" t="str">
        <v/>
      </c>
      <c r="I709" t="str">
        <v/>
      </c>
      <c r="J709">
        <v>1</v>
      </c>
      <c r="K709" s="167">
        <f ca="1"/>
        <v>357.1429</v>
      </c>
      <c r="L709" s="167">
        <f ca="1"/>
        <v>10000.001200000001</v>
      </c>
      <c r="AA709">
        <v>31</v>
      </c>
      <c r="AB709">
        <v>10</v>
      </c>
      <c r="AC709" t="str">
        <v>99DT131</v>
      </c>
      <c r="AD709">
        <v>715</v>
      </c>
      <c r="AE709" t="str">
        <v>dist</v>
      </c>
    </row>
    <row r="710" spans="1:31" hidden="1" x14ac:dyDescent="0.25">
      <c r="A710">
        <v>709</v>
      </c>
      <c r="B710">
        <v>2025</v>
      </c>
      <c r="C710">
        <v>11</v>
      </c>
      <c r="D710">
        <v>51</v>
      </c>
      <c r="E710">
        <v>4</v>
      </c>
      <c r="F710" t="str">
        <v/>
      </c>
      <c r="G710" s="167">
        <v>29</v>
      </c>
      <c r="H710" t="str">
        <v/>
      </c>
      <c r="I710" t="str">
        <v/>
      </c>
      <c r="J710">
        <v>3</v>
      </c>
      <c r="K710" s="167">
        <f ca="1"/>
        <v>235.71</v>
      </c>
      <c r="L710" s="167">
        <f ca="1"/>
        <v>6835.59</v>
      </c>
      <c r="AA710">
        <v>31</v>
      </c>
      <c r="AB710">
        <v>10</v>
      </c>
      <c r="AC710" t="str">
        <v>99EM163</v>
      </c>
      <c r="AD710">
        <v>1164</v>
      </c>
      <c r="AE710" t="str">
        <v>dist</v>
      </c>
    </row>
    <row r="711" spans="1:31" hidden="1" x14ac:dyDescent="0.25">
      <c r="A711">
        <v>710</v>
      </c>
      <c r="B711">
        <v>2025</v>
      </c>
      <c r="C711">
        <v>11</v>
      </c>
      <c r="D711">
        <v>51</v>
      </c>
      <c r="E711">
        <v>4</v>
      </c>
      <c r="F711" t="str">
        <v/>
      </c>
      <c r="G711" s="167">
        <v>46.999999999999972</v>
      </c>
      <c r="H711" t="str">
        <v/>
      </c>
      <c r="I711" t="str">
        <v/>
      </c>
      <c r="J711">
        <v>4</v>
      </c>
      <c r="K711" s="167">
        <f ca="1"/>
        <v>26.071000000000002</v>
      </c>
      <c r="L711" s="167">
        <f ca="1"/>
        <v>1225.3369999999993</v>
      </c>
      <c r="AA711">
        <v>31</v>
      </c>
      <c r="AB711">
        <v>10</v>
      </c>
      <c r="AC711" t="str">
        <v>99FO779</v>
      </c>
      <c r="AD711">
        <v>1574</v>
      </c>
      <c r="AE711" t="str">
        <v>dist</v>
      </c>
    </row>
    <row r="712" spans="1:31" hidden="1" x14ac:dyDescent="0.25">
      <c r="A712">
        <v>711</v>
      </c>
      <c r="B712">
        <v>2025</v>
      </c>
      <c r="C712">
        <v>11</v>
      </c>
      <c r="D712">
        <v>65</v>
      </c>
      <c r="E712">
        <v>7</v>
      </c>
      <c r="F712" t="str">
        <v/>
      </c>
      <c r="G712" s="167">
        <v>27</v>
      </c>
      <c r="H712" t="str">
        <v/>
      </c>
      <c r="I712" t="str">
        <v/>
      </c>
      <c r="J712">
        <v>1</v>
      </c>
      <c r="K712" s="167">
        <f ca="1"/>
        <v>196.42857142857142</v>
      </c>
      <c r="L712" s="167">
        <f ca="1"/>
        <v>5303.5714285714284</v>
      </c>
      <c r="AA712">
        <v>31</v>
      </c>
      <c r="AB712">
        <v>10</v>
      </c>
      <c r="AC712" t="str">
        <v>99GZ612</v>
      </c>
      <c r="AD712">
        <v>2540</v>
      </c>
      <c r="AE712" t="str">
        <v>dist</v>
      </c>
    </row>
    <row r="713" spans="1:31" hidden="1" x14ac:dyDescent="0.25">
      <c r="A713">
        <v>712</v>
      </c>
      <c r="B713">
        <v>2025</v>
      </c>
      <c r="C713">
        <v>11</v>
      </c>
      <c r="D713">
        <v>65</v>
      </c>
      <c r="E713">
        <v>7</v>
      </c>
      <c r="F713" t="str">
        <v/>
      </c>
      <c r="G713" s="167">
        <v>28</v>
      </c>
      <c r="H713" t="str">
        <v/>
      </c>
      <c r="I713" t="str">
        <v/>
      </c>
      <c r="J713">
        <v>2</v>
      </c>
      <c r="K713" s="167">
        <f ca="1"/>
        <v>160.71</v>
      </c>
      <c r="L713" s="167">
        <f ca="1"/>
        <v>4499.88</v>
      </c>
      <c r="AA713">
        <v>31</v>
      </c>
      <c r="AB713">
        <v>10</v>
      </c>
      <c r="AC713" t="str">
        <v>99HZ395</v>
      </c>
      <c r="AD713">
        <v>4474</v>
      </c>
      <c r="AE713" t="str">
        <v>dist</v>
      </c>
    </row>
    <row r="714" spans="1:31" hidden="1" x14ac:dyDescent="0.25">
      <c r="A714">
        <v>713</v>
      </c>
      <c r="B714">
        <v>2025</v>
      </c>
      <c r="C714">
        <v>11</v>
      </c>
      <c r="D714">
        <v>85</v>
      </c>
      <c r="E714">
        <v>6</v>
      </c>
      <c r="F714" t="str">
        <v/>
      </c>
      <c r="G714" s="167">
        <v>29</v>
      </c>
      <c r="H714" t="str">
        <v/>
      </c>
      <c r="I714" t="str">
        <v/>
      </c>
      <c r="J714">
        <v>1</v>
      </c>
      <c r="K714" s="167">
        <f ca="1"/>
        <v>446.43</v>
      </c>
      <c r="L714" s="167">
        <f ca="1"/>
        <v>12946.47</v>
      </c>
      <c r="AA714">
        <v>31</v>
      </c>
      <c r="AB714">
        <v>10</v>
      </c>
      <c r="AC714" t="str">
        <v>99KL663</v>
      </c>
      <c r="AD714">
        <v>1877</v>
      </c>
      <c r="AE714" t="str">
        <v>dist</v>
      </c>
    </row>
    <row r="715" spans="1:31" hidden="1" x14ac:dyDescent="0.25">
      <c r="A715">
        <v>714</v>
      </c>
      <c r="B715">
        <v>2025</v>
      </c>
      <c r="C715">
        <v>11</v>
      </c>
      <c r="D715">
        <v>85</v>
      </c>
      <c r="E715">
        <v>6</v>
      </c>
      <c r="F715" t="str">
        <v/>
      </c>
      <c r="G715" s="167">
        <v>51.999999999999972</v>
      </c>
      <c r="H715" t="str">
        <v/>
      </c>
      <c r="I715" t="str">
        <v/>
      </c>
      <c r="J715">
        <v>2</v>
      </c>
      <c r="K715" s="167">
        <f ca="1"/>
        <v>44.643000000000001</v>
      </c>
      <c r="L715" s="167">
        <f ca="1"/>
        <v>2321.4359999999988</v>
      </c>
      <c r="AA715">
        <v>31</v>
      </c>
      <c r="AB715">
        <v>10</v>
      </c>
      <c r="AC715" t="str">
        <v>99LM412</v>
      </c>
      <c r="AD715">
        <v>1195</v>
      </c>
      <c r="AE715" t="str">
        <v>dist</v>
      </c>
    </row>
    <row r="716" spans="1:31" hidden="1" x14ac:dyDescent="0.25">
      <c r="A716">
        <v>715</v>
      </c>
      <c r="B716">
        <v>2025</v>
      </c>
      <c r="C716">
        <v>11</v>
      </c>
      <c r="D716">
        <v>91</v>
      </c>
      <c r="E716">
        <v>5</v>
      </c>
      <c r="F716" t="str">
        <v/>
      </c>
      <c r="G716" s="167">
        <v>1</v>
      </c>
      <c r="H716" t="str">
        <v/>
      </c>
      <c r="I716" t="str">
        <v/>
      </c>
      <c r="J716">
        <v>1</v>
      </c>
      <c r="K716" s="167">
        <f ca="1"/>
        <v>3500</v>
      </c>
      <c r="L716" s="167">
        <f ca="1"/>
        <v>3500</v>
      </c>
      <c r="AA716">
        <v>31</v>
      </c>
      <c r="AB716">
        <v>10</v>
      </c>
      <c r="AC716" t="str">
        <v>99MN472</v>
      </c>
      <c r="AD716">
        <v>6645</v>
      </c>
      <c r="AE716" t="str">
        <v>dist</v>
      </c>
    </row>
    <row r="717" spans="1:31" hidden="1" x14ac:dyDescent="0.25">
      <c r="A717">
        <v>716</v>
      </c>
      <c r="B717">
        <v>2025</v>
      </c>
      <c r="C717">
        <v>11</v>
      </c>
      <c r="D717">
        <v>98</v>
      </c>
      <c r="E717">
        <v>5</v>
      </c>
      <c r="F717" t="str">
        <v/>
      </c>
      <c r="G717" s="167">
        <v>27</v>
      </c>
      <c r="H717" t="str">
        <v/>
      </c>
      <c r="I717" t="str">
        <v/>
      </c>
      <c r="J717">
        <v>1</v>
      </c>
      <c r="K717" s="167">
        <f ca="1"/>
        <v>107.14</v>
      </c>
      <c r="L717" s="167">
        <f ca="1"/>
        <v>2892.78</v>
      </c>
      <c r="AA717">
        <v>31</v>
      </c>
      <c r="AB717">
        <v>10</v>
      </c>
      <c r="AC717" t="str">
        <v>99OR961</v>
      </c>
      <c r="AD717">
        <v>1262</v>
      </c>
      <c r="AE717" t="str">
        <v>dist</v>
      </c>
    </row>
    <row r="718" spans="1:31" hidden="1" x14ac:dyDescent="0.25">
      <c r="A718">
        <v>717</v>
      </c>
      <c r="B718">
        <v>2025</v>
      </c>
      <c r="C718">
        <v>11</v>
      </c>
      <c r="D718">
        <v>98</v>
      </c>
      <c r="E718">
        <v>5</v>
      </c>
      <c r="F718" t="str">
        <v/>
      </c>
      <c r="G718" s="167">
        <v>7.9999999999999911</v>
      </c>
      <c r="H718" t="str">
        <v/>
      </c>
      <c r="I718" t="str">
        <v/>
      </c>
      <c r="J718">
        <v>2</v>
      </c>
      <c r="K718" s="167">
        <f ca="1"/>
        <v>10.714</v>
      </c>
      <c r="L718" s="167">
        <f ca="1"/>
        <v>85.711999999999904</v>
      </c>
      <c r="AA718">
        <v>31</v>
      </c>
      <c r="AB718">
        <v>10</v>
      </c>
      <c r="AC718" t="str">
        <v>99UK314</v>
      </c>
      <c r="AD718">
        <v>10617</v>
      </c>
      <c r="AE718" t="str">
        <v>dist</v>
      </c>
    </row>
    <row r="719" spans="1:31" hidden="1" x14ac:dyDescent="0.25">
      <c r="A719">
        <v>718</v>
      </c>
      <c r="B719">
        <v>2025</v>
      </c>
      <c r="C719">
        <v>11</v>
      </c>
      <c r="D719">
        <v>100</v>
      </c>
      <c r="E719">
        <v>5</v>
      </c>
      <c r="F719" t="str">
        <v/>
      </c>
      <c r="G719" s="167">
        <v>28</v>
      </c>
      <c r="H719" t="str">
        <v/>
      </c>
      <c r="I719" t="str">
        <v/>
      </c>
      <c r="J719">
        <v>1</v>
      </c>
      <c r="K719" s="167">
        <f ca="1"/>
        <v>196.43</v>
      </c>
      <c r="L719" s="167">
        <f ca="1"/>
        <v>5500.04</v>
      </c>
      <c r="AA719">
        <v>31</v>
      </c>
      <c r="AB719">
        <v>10</v>
      </c>
      <c r="AC719" t="str">
        <v>77GR998</v>
      </c>
      <c r="AD719">
        <v>1357</v>
      </c>
      <c r="AE719" t="str">
        <v>dist</v>
      </c>
    </row>
    <row r="720" spans="1:31" hidden="1" x14ac:dyDescent="0.25">
      <c r="A720">
        <v>719</v>
      </c>
      <c r="B720">
        <v>2025</v>
      </c>
      <c r="C720">
        <v>11</v>
      </c>
      <c r="D720">
        <v>102</v>
      </c>
      <c r="E720">
        <v>4</v>
      </c>
      <c r="F720" t="str">
        <v/>
      </c>
      <c r="G720" s="167">
        <v>19</v>
      </c>
      <c r="H720" t="str">
        <v/>
      </c>
      <c r="I720" t="str">
        <v/>
      </c>
      <c r="J720">
        <v>1</v>
      </c>
      <c r="K720" s="167">
        <f ca="1"/>
        <v>125</v>
      </c>
      <c r="L720" s="167">
        <f ca="1"/>
        <v>2375</v>
      </c>
    </row>
    <row r="721" spans="1:12" hidden="1" x14ac:dyDescent="0.25">
      <c r="A721">
        <v>720</v>
      </c>
      <c r="B721">
        <v>2025</v>
      </c>
      <c r="C721">
        <v>11</v>
      </c>
      <c r="D721">
        <v>102</v>
      </c>
      <c r="E721">
        <v>4</v>
      </c>
      <c r="F721" t="str">
        <v/>
      </c>
      <c r="G721" s="167">
        <v>29</v>
      </c>
      <c r="H721" t="str">
        <v/>
      </c>
      <c r="I721" t="str">
        <v/>
      </c>
      <c r="J721">
        <v>3</v>
      </c>
      <c r="K721" s="167">
        <f ca="1"/>
        <v>125</v>
      </c>
      <c r="L721" s="167">
        <f ca="1"/>
        <v>3625</v>
      </c>
    </row>
    <row r="722" spans="1:12" hidden="1" x14ac:dyDescent="0.25">
      <c r="A722">
        <v>721</v>
      </c>
      <c r="B722">
        <v>2025</v>
      </c>
      <c r="C722">
        <v>11</v>
      </c>
      <c r="D722">
        <v>102</v>
      </c>
      <c r="E722">
        <v>4</v>
      </c>
      <c r="F722" t="str">
        <v>54BM823</v>
      </c>
      <c r="G722" s="167">
        <v>28</v>
      </c>
      <c r="H722" t="str">
        <v/>
      </c>
      <c r="I722" t="str">
        <v/>
      </c>
      <c r="J722">
        <v>5</v>
      </c>
      <c r="K722" s="167">
        <f ca="1"/>
        <v>125</v>
      </c>
      <c r="L722" s="167">
        <f ca="1"/>
        <v>3500</v>
      </c>
    </row>
    <row r="723" spans="1:12" hidden="1" x14ac:dyDescent="0.25">
      <c r="A723">
        <v>722</v>
      </c>
      <c r="B723">
        <v>2025</v>
      </c>
      <c r="C723">
        <v>11</v>
      </c>
      <c r="D723">
        <v>102</v>
      </c>
      <c r="E723">
        <v>4</v>
      </c>
      <c r="F723" t="str">
        <v>01BT754</v>
      </c>
      <c r="G723" s="167">
        <v>26</v>
      </c>
      <c r="H723" t="str">
        <v/>
      </c>
      <c r="I723" t="str">
        <v/>
      </c>
      <c r="J723">
        <v>6</v>
      </c>
      <c r="K723" s="167">
        <f ca="1"/>
        <v>125</v>
      </c>
      <c r="L723" s="167">
        <f ca="1"/>
        <v>3250</v>
      </c>
    </row>
    <row r="724" spans="1:12" hidden="1" x14ac:dyDescent="0.25">
      <c r="A724">
        <v>723</v>
      </c>
      <c r="B724">
        <v>2025</v>
      </c>
      <c r="C724">
        <v>11</v>
      </c>
      <c r="D724">
        <v>102</v>
      </c>
      <c r="E724">
        <v>4</v>
      </c>
      <c r="F724" t="str">
        <v>10MF640</v>
      </c>
      <c r="G724" s="167">
        <v>28</v>
      </c>
      <c r="H724" t="str">
        <v/>
      </c>
      <c r="I724" t="str">
        <v/>
      </c>
      <c r="J724">
        <v>4</v>
      </c>
      <c r="K724" s="167">
        <f ca="1"/>
        <v>12.5</v>
      </c>
      <c r="L724" s="167">
        <f ca="1"/>
        <v>350</v>
      </c>
    </row>
    <row r="725" spans="1:12" hidden="1" x14ac:dyDescent="0.25">
      <c r="A725">
        <v>724</v>
      </c>
      <c r="B725">
        <v>2025</v>
      </c>
      <c r="C725">
        <v>11</v>
      </c>
      <c r="D725">
        <v>110</v>
      </c>
      <c r="E725">
        <v>4</v>
      </c>
      <c r="F725" t="str">
        <v>99XC106</v>
      </c>
      <c r="G725" s="167">
        <v>29</v>
      </c>
      <c r="H725" t="str">
        <v/>
      </c>
      <c r="I725" t="str">
        <v/>
      </c>
      <c r="J725">
        <v>1</v>
      </c>
      <c r="K725" s="167">
        <f ca="1"/>
        <v>221.42857142857142</v>
      </c>
      <c r="L725" s="167">
        <f ca="1"/>
        <v>6421.4285714285706</v>
      </c>
    </row>
    <row r="726" spans="1:12" hidden="1" x14ac:dyDescent="0.25">
      <c r="A726">
        <v>725</v>
      </c>
      <c r="B726">
        <v>2025</v>
      </c>
      <c r="C726">
        <v>11</v>
      </c>
      <c r="D726">
        <v>121</v>
      </c>
      <c r="E726">
        <v>2</v>
      </c>
      <c r="F726" t="str">
        <v>11BC843</v>
      </c>
      <c r="G726" s="167">
        <v>29</v>
      </c>
      <c r="H726" t="str">
        <v/>
      </c>
      <c r="I726" t="str">
        <v/>
      </c>
      <c r="J726">
        <v>1</v>
      </c>
      <c r="K726" s="167">
        <f ca="1"/>
        <v>128.57</v>
      </c>
      <c r="L726" s="167">
        <f ca="1"/>
        <v>3728.5299999999997</v>
      </c>
    </row>
    <row r="727" spans="1:12" hidden="1" x14ac:dyDescent="0.25">
      <c r="A727">
        <v>726</v>
      </c>
      <c r="B727">
        <v>2025</v>
      </c>
      <c r="C727">
        <v>11</v>
      </c>
      <c r="D727">
        <v>121</v>
      </c>
      <c r="E727">
        <v>2</v>
      </c>
      <c r="F727" t="str">
        <v>11BC843</v>
      </c>
      <c r="G727" s="167">
        <v>8</v>
      </c>
      <c r="H727" t="str">
        <v/>
      </c>
      <c r="I727" t="str">
        <v/>
      </c>
      <c r="J727">
        <v>2</v>
      </c>
      <c r="K727" s="167">
        <f ca="1"/>
        <v>12.856999999999999</v>
      </c>
      <c r="L727" s="167">
        <f ca="1"/>
        <v>102.85599999999999</v>
      </c>
    </row>
    <row r="728" spans="1:12" hidden="1" x14ac:dyDescent="0.25">
      <c r="A728">
        <v>727</v>
      </c>
      <c r="B728">
        <v>2025</v>
      </c>
      <c r="C728">
        <v>11</v>
      </c>
      <c r="D728">
        <v>141</v>
      </c>
      <c r="E728">
        <v>1</v>
      </c>
      <c r="F728" t="str">
        <v>10V288</v>
      </c>
      <c r="G728" s="167">
        <v>24</v>
      </c>
      <c r="H728" t="str">
        <v/>
      </c>
      <c r="I728" t="str">
        <v/>
      </c>
      <c r="J728">
        <v>1</v>
      </c>
      <c r="K728" s="167">
        <f ca="1"/>
        <v>214.28571428571428</v>
      </c>
      <c r="L728" s="167">
        <f ca="1"/>
        <v>5142.8571428571431</v>
      </c>
    </row>
    <row r="729" spans="1:12" hidden="1" x14ac:dyDescent="0.25">
      <c r="A729">
        <v>728</v>
      </c>
      <c r="B729">
        <v>2025</v>
      </c>
      <c r="C729">
        <v>11</v>
      </c>
      <c r="D729">
        <v>141</v>
      </c>
      <c r="E729">
        <v>1</v>
      </c>
      <c r="F729" t="str">
        <v/>
      </c>
      <c r="G729" s="167">
        <v>24</v>
      </c>
      <c r="H729" t="str">
        <v/>
      </c>
      <c r="I729" t="str">
        <v/>
      </c>
      <c r="J729">
        <v>2</v>
      </c>
      <c r="K729" s="167">
        <f ca="1"/>
        <v>21.428571428571427</v>
      </c>
      <c r="L729" s="167">
        <f ca="1"/>
        <v>514.28571428571422</v>
      </c>
    </row>
    <row r="730" spans="1:12" hidden="1" x14ac:dyDescent="0.25">
      <c r="A730">
        <v>729</v>
      </c>
      <c r="B730">
        <v>2025</v>
      </c>
      <c r="C730">
        <v>11</v>
      </c>
      <c r="D730">
        <v>150</v>
      </c>
      <c r="E730">
        <v>1</v>
      </c>
      <c r="F730" t="str">
        <v/>
      </c>
      <c r="G730" s="167">
        <v>10</v>
      </c>
      <c r="H730" t="str">
        <v/>
      </c>
      <c r="I730" t="str">
        <v/>
      </c>
      <c r="J730">
        <v>1</v>
      </c>
      <c r="K730" s="167">
        <f ca="1"/>
        <v>220</v>
      </c>
      <c r="L730" s="167">
        <f ca="1"/>
        <v>2200</v>
      </c>
    </row>
    <row r="731" spans="1:12" hidden="1" x14ac:dyDescent="0.25">
      <c r="A731">
        <v>730</v>
      </c>
      <c r="B731">
        <v>2025</v>
      </c>
      <c r="C731">
        <v>12</v>
      </c>
      <c r="D731">
        <v>11</v>
      </c>
      <c r="E731">
        <v>12</v>
      </c>
      <c r="F731" t="str">
        <v/>
      </c>
      <c r="G731" s="167">
        <v>1</v>
      </c>
      <c r="H731" t="str">
        <v/>
      </c>
      <c r="I731" t="str">
        <v/>
      </c>
      <c r="J731">
        <v>1</v>
      </c>
      <c r="K731" s="167">
        <f ca="1"/>
        <v>5500</v>
      </c>
      <c r="L731" s="167">
        <f ca="1"/>
        <v>5500</v>
      </c>
    </row>
    <row r="732" spans="1:12" hidden="1" x14ac:dyDescent="0.25">
      <c r="A732">
        <v>731</v>
      </c>
      <c r="B732">
        <v>2025</v>
      </c>
      <c r="C732">
        <v>12</v>
      </c>
      <c r="D732">
        <v>11</v>
      </c>
      <c r="E732">
        <v>12</v>
      </c>
      <c r="F732" t="str">
        <v/>
      </c>
      <c r="G732" s="167">
        <v>10</v>
      </c>
      <c r="H732" t="str">
        <v/>
      </c>
      <c r="I732" t="str">
        <v/>
      </c>
      <c r="J732">
        <v>2</v>
      </c>
      <c r="K732" s="167">
        <f ca="1"/>
        <v>200</v>
      </c>
      <c r="L732" s="167">
        <f ca="1"/>
        <v>2000</v>
      </c>
    </row>
    <row r="733" spans="1:12" hidden="1" x14ac:dyDescent="0.25">
      <c r="A733">
        <v>732</v>
      </c>
      <c r="B733">
        <v>2025</v>
      </c>
      <c r="C733">
        <v>12</v>
      </c>
      <c r="D733">
        <v>11</v>
      </c>
      <c r="E733">
        <v>12</v>
      </c>
      <c r="F733" t="str">
        <v/>
      </c>
      <c r="G733" s="167">
        <v>7</v>
      </c>
      <c r="H733" t="str">
        <v/>
      </c>
      <c r="I733" t="str">
        <v/>
      </c>
      <c r="J733">
        <v>3</v>
      </c>
      <c r="K733" s="167">
        <f ca="1"/>
        <v>100</v>
      </c>
      <c r="L733" s="167">
        <f ca="1"/>
        <v>700</v>
      </c>
    </row>
    <row r="734" spans="1:12" hidden="1" x14ac:dyDescent="0.25">
      <c r="A734">
        <v>733</v>
      </c>
      <c r="B734">
        <v>2025</v>
      </c>
      <c r="C734">
        <v>12</v>
      </c>
      <c r="D734">
        <v>14</v>
      </c>
      <c r="E734">
        <v>9</v>
      </c>
      <c r="F734" t="str">
        <v/>
      </c>
      <c r="G734" s="167">
        <v>1</v>
      </c>
      <c r="H734" t="str">
        <v/>
      </c>
      <c r="I734" t="str">
        <v/>
      </c>
      <c r="J734">
        <v>15</v>
      </c>
      <c r="K734" s="167">
        <f ca="1"/>
        <v>4000</v>
      </c>
      <c r="L734" s="167">
        <f ca="1"/>
        <v>4000</v>
      </c>
    </row>
    <row r="735" spans="1:12" hidden="1" x14ac:dyDescent="0.25">
      <c r="A735">
        <v>734</v>
      </c>
      <c r="B735">
        <v>2025</v>
      </c>
      <c r="C735">
        <v>12</v>
      </c>
      <c r="D735">
        <v>30</v>
      </c>
      <c r="E735">
        <v>12</v>
      </c>
      <c r="F735" t="str">
        <v/>
      </c>
      <c r="G735" s="167">
        <v>1</v>
      </c>
      <c r="H735" t="str">
        <v/>
      </c>
      <c r="I735" t="str">
        <v/>
      </c>
      <c r="J735">
        <v>4</v>
      </c>
      <c r="K735" s="167">
        <f ca="1"/>
        <v>5500</v>
      </c>
      <c r="L735" s="167">
        <f ca="1"/>
        <v>5500</v>
      </c>
    </row>
    <row r="736" spans="1:12" hidden="1" x14ac:dyDescent="0.25">
      <c r="A736">
        <v>735</v>
      </c>
      <c r="B736">
        <v>2025</v>
      </c>
      <c r="C736">
        <v>12</v>
      </c>
      <c r="D736">
        <v>33</v>
      </c>
      <c r="E736">
        <v>16</v>
      </c>
      <c r="F736" t="str">
        <v/>
      </c>
      <c r="G736" s="167">
        <v>55775</v>
      </c>
      <c r="H736" t="str">
        <v/>
      </c>
      <c r="I736" t="str">
        <v/>
      </c>
      <c r="J736">
        <v>12</v>
      </c>
      <c r="K736" s="167">
        <f ca="1"/>
        <v>1.56</v>
      </c>
      <c r="L736" s="167">
        <f ca="1"/>
        <v>87009</v>
      </c>
    </row>
    <row r="737" spans="1:12" hidden="1" x14ac:dyDescent="0.25">
      <c r="A737">
        <v>736</v>
      </c>
      <c r="B737">
        <v>2025</v>
      </c>
      <c r="C737">
        <v>12</v>
      </c>
      <c r="D737">
        <v>33</v>
      </c>
      <c r="E737">
        <v>16</v>
      </c>
      <c r="F737" t="str">
        <v/>
      </c>
      <c r="G737" s="167">
        <v>61064</v>
      </c>
      <c r="H737" t="str">
        <v/>
      </c>
      <c r="I737" t="str">
        <v/>
      </c>
      <c r="J737">
        <v>13</v>
      </c>
      <c r="K737" s="167">
        <f ca="1"/>
        <v>4.53</v>
      </c>
      <c r="L737" s="167">
        <f ca="1"/>
        <v>276619.92000000004</v>
      </c>
    </row>
    <row r="738" spans="1:12" hidden="1" x14ac:dyDescent="0.25">
      <c r="A738">
        <v>737</v>
      </c>
      <c r="B738">
        <v>2025</v>
      </c>
      <c r="C738">
        <v>12</v>
      </c>
      <c r="D738">
        <v>33</v>
      </c>
      <c r="E738">
        <v>16</v>
      </c>
      <c r="F738" t="str">
        <v/>
      </c>
      <c r="G738" s="167">
        <v>55562</v>
      </c>
      <c r="H738" t="str">
        <v/>
      </c>
      <c r="I738" t="str">
        <v/>
      </c>
      <c r="J738">
        <v>14</v>
      </c>
      <c r="K738" s="167">
        <f ca="1"/>
        <v>4.53</v>
      </c>
      <c r="L738" s="167">
        <f ca="1"/>
        <v>251695.86000000002</v>
      </c>
    </row>
    <row r="739" spans="1:12" hidden="1" x14ac:dyDescent="0.25">
      <c r="A739">
        <v>738</v>
      </c>
      <c r="B739">
        <v>2025</v>
      </c>
      <c r="C739">
        <v>12</v>
      </c>
      <c r="D739">
        <v>33</v>
      </c>
      <c r="E739">
        <v>16</v>
      </c>
      <c r="F739" t="str">
        <v/>
      </c>
      <c r="G739" s="167">
        <v>5444</v>
      </c>
      <c r="H739" t="str">
        <v/>
      </c>
      <c r="I739" t="str">
        <v/>
      </c>
      <c r="J739">
        <v>15</v>
      </c>
      <c r="K739" s="167">
        <f ca="1"/>
        <v>4.53</v>
      </c>
      <c r="L739" s="167">
        <f ca="1"/>
        <v>24661.32</v>
      </c>
    </row>
    <row r="740" spans="1:12" hidden="1" x14ac:dyDescent="0.25">
      <c r="A740">
        <v>739</v>
      </c>
      <c r="B740">
        <v>2025</v>
      </c>
      <c r="C740">
        <v>12</v>
      </c>
      <c r="D740">
        <v>33</v>
      </c>
      <c r="E740">
        <v>16</v>
      </c>
      <c r="F740" t="str">
        <v/>
      </c>
      <c r="G740" s="167">
        <v>2806</v>
      </c>
      <c r="H740" t="str">
        <v/>
      </c>
      <c r="I740" t="str">
        <v/>
      </c>
      <c r="J740">
        <v>16</v>
      </c>
      <c r="K740" s="167">
        <f ca="1"/>
        <v>3.77</v>
      </c>
      <c r="L740" s="167">
        <f ca="1"/>
        <v>10578.62</v>
      </c>
    </row>
    <row r="741" spans="1:12" hidden="1" x14ac:dyDescent="0.25">
      <c r="A741">
        <v>740</v>
      </c>
      <c r="B741">
        <v>2025</v>
      </c>
      <c r="C741">
        <v>12</v>
      </c>
      <c r="D741">
        <v>46</v>
      </c>
      <c r="E741">
        <v>8</v>
      </c>
      <c r="F741" t="str">
        <v/>
      </c>
      <c r="G741" s="167">
        <v>9</v>
      </c>
      <c r="H741" t="str">
        <v/>
      </c>
      <c r="I741" t="str">
        <v/>
      </c>
      <c r="J741">
        <v>1</v>
      </c>
      <c r="K741" s="167">
        <f ca="1"/>
        <v>214.28571428571428</v>
      </c>
      <c r="L741" s="167">
        <f ca="1"/>
        <v>1928.5714285714284</v>
      </c>
    </row>
    <row r="742" spans="1:12" x14ac:dyDescent="0.25">
      <c r="A742">
        <v>741</v>
      </c>
      <c r="B742">
        <v>2025</v>
      </c>
      <c r="C742">
        <v>12</v>
      </c>
      <c r="D742">
        <v>50</v>
      </c>
      <c r="E742">
        <v>7</v>
      </c>
      <c r="F742" t="str">
        <v/>
      </c>
      <c r="G742" s="167">
        <v>28</v>
      </c>
      <c r="H742" t="str">
        <v/>
      </c>
      <c r="I742" t="str">
        <v/>
      </c>
      <c r="J742">
        <v>1</v>
      </c>
      <c r="K742" s="167">
        <f ca="1"/>
        <v>357.1429</v>
      </c>
      <c r="L742" s="167">
        <f ca="1"/>
        <v>10000.001200000001</v>
      </c>
    </row>
    <row r="743" spans="1:12" hidden="1" x14ac:dyDescent="0.25">
      <c r="A743">
        <v>742</v>
      </c>
      <c r="B743">
        <v>2025</v>
      </c>
      <c r="C743">
        <v>12</v>
      </c>
      <c r="D743">
        <v>65</v>
      </c>
      <c r="E743">
        <v>8</v>
      </c>
      <c r="F743" t="str">
        <v/>
      </c>
      <c r="G743" s="167">
        <v>28</v>
      </c>
      <c r="H743" t="str">
        <v/>
      </c>
      <c r="I743" t="str">
        <v/>
      </c>
      <c r="J743">
        <v>1</v>
      </c>
      <c r="K743" s="167">
        <f ca="1"/>
        <v>196.42857142857142</v>
      </c>
      <c r="L743" s="167">
        <f ca="1"/>
        <v>5500</v>
      </c>
    </row>
    <row r="744" spans="1:12" hidden="1" x14ac:dyDescent="0.25">
      <c r="A744">
        <v>743</v>
      </c>
      <c r="B744">
        <v>2025</v>
      </c>
      <c r="C744">
        <v>12</v>
      </c>
      <c r="D744">
        <v>98</v>
      </c>
      <c r="E744">
        <v>6</v>
      </c>
      <c r="F744" t="str">
        <v/>
      </c>
      <c r="G744" s="167">
        <v>27</v>
      </c>
      <c r="H744" t="str">
        <v/>
      </c>
      <c r="I744" t="str">
        <v/>
      </c>
      <c r="J744">
        <v>1</v>
      </c>
      <c r="K744" s="167">
        <f ca="1"/>
        <v>107.14</v>
      </c>
      <c r="L744" s="167">
        <f ca="1"/>
        <v>2892.78</v>
      </c>
    </row>
    <row r="745" spans="1:12" hidden="1" x14ac:dyDescent="0.25">
      <c r="A745">
        <v>744</v>
      </c>
      <c r="B745">
        <v>2025</v>
      </c>
      <c r="C745">
        <v>12</v>
      </c>
      <c r="D745">
        <v>98</v>
      </c>
      <c r="E745">
        <v>6</v>
      </c>
      <c r="F745" t="str">
        <v/>
      </c>
      <c r="G745" s="167">
        <v>250</v>
      </c>
      <c r="H745" t="str">
        <v/>
      </c>
      <c r="I745" t="str">
        <v/>
      </c>
      <c r="J745" t="str">
        <v>R-1</v>
      </c>
      <c r="K745" s="167">
        <f ca="1"/>
        <v>-1</v>
      </c>
      <c r="L745" s="167">
        <f ca="1"/>
        <v>-250</v>
      </c>
    </row>
    <row r="746" spans="1:12" hidden="1" x14ac:dyDescent="0.25">
      <c r="A746">
        <v>745</v>
      </c>
      <c r="B746">
        <v>2025</v>
      </c>
      <c r="C746">
        <v>12</v>
      </c>
      <c r="D746">
        <v>107</v>
      </c>
      <c r="E746">
        <v>3</v>
      </c>
      <c r="F746" t="str">
        <v/>
      </c>
      <c r="G746" s="167">
        <v>22</v>
      </c>
      <c r="H746" t="str">
        <v/>
      </c>
      <c r="I746" t="str">
        <v/>
      </c>
      <c r="J746">
        <v>6</v>
      </c>
      <c r="K746" s="167">
        <f ca="1"/>
        <v>350</v>
      </c>
      <c r="L746" s="167">
        <f ca="1"/>
        <v>7700</v>
      </c>
    </row>
    <row r="747" spans="1:12" hidden="1" x14ac:dyDescent="0.25">
      <c r="A747">
        <v>746</v>
      </c>
      <c r="B747">
        <v>2025</v>
      </c>
      <c r="C747">
        <v>12</v>
      </c>
      <c r="D747">
        <v>110</v>
      </c>
      <c r="E747">
        <v>5</v>
      </c>
      <c r="F747" t="str">
        <v/>
      </c>
      <c r="G747" s="167">
        <v>25</v>
      </c>
      <c r="H747" t="str">
        <v/>
      </c>
      <c r="I747" t="str">
        <v/>
      </c>
      <c r="J747">
        <v>1</v>
      </c>
      <c r="K747" s="167">
        <f ca="1"/>
        <v>221.42857142857142</v>
      </c>
      <c r="L747" s="167">
        <f ca="1"/>
        <v>5535.7142857142853</v>
      </c>
    </row>
    <row r="748" spans="1:12" hidden="1" x14ac:dyDescent="0.25">
      <c r="A748">
        <v>747</v>
      </c>
      <c r="B748">
        <v>2025</v>
      </c>
      <c r="C748">
        <v>12</v>
      </c>
      <c r="D748">
        <v>121</v>
      </c>
      <c r="E748">
        <v>3</v>
      </c>
      <c r="F748" t="str">
        <v/>
      </c>
      <c r="G748" s="167">
        <v>28</v>
      </c>
      <c r="H748" t="str">
        <v/>
      </c>
      <c r="I748" t="str">
        <v/>
      </c>
      <c r="J748">
        <v>1</v>
      </c>
      <c r="K748" s="167">
        <f ca="1"/>
        <v>128.57</v>
      </c>
      <c r="L748" s="167">
        <f ca="1"/>
        <v>3599.96</v>
      </c>
    </row>
    <row r="749" spans="1:12" hidden="1" x14ac:dyDescent="0.25">
      <c r="A749">
        <v>748</v>
      </c>
      <c r="B749">
        <v>2025</v>
      </c>
      <c r="C749">
        <v>12</v>
      </c>
      <c r="D749">
        <v>141</v>
      </c>
      <c r="E749">
        <v>2</v>
      </c>
      <c r="F749" t="str">
        <v/>
      </c>
      <c r="G749" s="167">
        <v>28</v>
      </c>
      <c r="H749" t="str">
        <v/>
      </c>
      <c r="I749" t="str">
        <v/>
      </c>
      <c r="J749">
        <v>1</v>
      </c>
      <c r="K749" s="167">
        <f ca="1"/>
        <v>214.28571428571428</v>
      </c>
      <c r="L749" s="167">
        <f ca="1"/>
        <v>6000</v>
      </c>
    </row>
    <row r="750" spans="1:12" hidden="1" x14ac:dyDescent="0.25">
      <c r="A750">
        <v>749</v>
      </c>
      <c r="B750">
        <v>2025</v>
      </c>
      <c r="C750">
        <v>12</v>
      </c>
      <c r="D750">
        <v>141</v>
      </c>
      <c r="E750">
        <v>2</v>
      </c>
      <c r="F750" t="str">
        <v/>
      </c>
      <c r="G750" s="167">
        <v>10</v>
      </c>
      <c r="H750" t="str">
        <v/>
      </c>
      <c r="I750" t="str">
        <v/>
      </c>
      <c r="J750">
        <v>2</v>
      </c>
      <c r="K750" s="167">
        <f ca="1"/>
        <v>21.428571428571427</v>
      </c>
      <c r="L750" s="167">
        <f ca="1"/>
        <v>214.28571428571428</v>
      </c>
    </row>
    <row r="756" spans="15:15" x14ac:dyDescent="0.25">
      <c r="O756" s="167"/>
    </row>
    <row r="757" spans="15:15" x14ac:dyDescent="0.25">
      <c r="O757" s="167"/>
    </row>
    <row r="758" spans="15:15" x14ac:dyDescent="0.25">
      <c r="O758" s="167"/>
    </row>
    <row r="759" spans="15:15" x14ac:dyDescent="0.25">
      <c r="O759" s="167"/>
    </row>
    <row r="760" spans="15:15" x14ac:dyDescent="0.25">
      <c r="O760" s="167"/>
    </row>
  </sheetData>
  <autoFilter ref="A1:L750" xr:uid="{998134DB-1F0F-4961-ABA7-AEB12E872399}">
    <filterColumn colId="3">
      <filters>
        <filter val="50"/>
      </filters>
    </filterColumn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62AAB-7FDA-4332-B2B3-45345956D28A}">
  <sheetPr filterMode="1"/>
  <dimension ref="A1:P522"/>
  <sheetViews>
    <sheetView workbookViewId="0">
      <pane ySplit="1" topLeftCell="A433" activePane="bottomLeft" state="frozen"/>
      <selection activeCell="F742" sqref="F742"/>
      <selection pane="bottomLeft" activeCell="H447" sqref="H447"/>
    </sheetView>
  </sheetViews>
  <sheetFormatPr defaultRowHeight="15" x14ac:dyDescent="0.25"/>
  <cols>
    <col min="8" max="8" width="9.85546875" bestFit="1" customWidth="1"/>
    <col min="11" max="11" width="9.140625" style="123"/>
    <col min="12" max="12" width="14.7109375" bestFit="1" customWidth="1"/>
  </cols>
  <sheetData>
    <row r="1" spans="1:11" x14ac:dyDescent="0.25">
      <c r="A1" t="s">
        <v>168</v>
      </c>
      <c r="B1" t="s">
        <v>291</v>
      </c>
      <c r="C1" t="s">
        <v>183</v>
      </c>
      <c r="D1" t="s">
        <v>175</v>
      </c>
      <c r="E1" t="s">
        <v>181</v>
      </c>
      <c r="F1" t="s">
        <v>185</v>
      </c>
      <c r="G1" t="s">
        <v>184</v>
      </c>
      <c r="H1" t="s">
        <v>710</v>
      </c>
      <c r="I1" t="s">
        <v>448</v>
      </c>
      <c r="J1" t="s">
        <v>707</v>
      </c>
      <c r="K1" s="123" t="s">
        <v>716</v>
      </c>
    </row>
    <row r="2" spans="1:11" hidden="1" x14ac:dyDescent="0.25">
      <c r="A2" cm="1">
        <f t="array" ref="A2:A522">_xlfn.SEQUENCE(ROWS(_xlfn.ANCHORARRAY(B2)))</f>
        <v>1</v>
      </c>
      <c r="B2" cm="1">
        <f t="array" ref="B2:H522">_xlfn._xlws.SORT(_xlfn._xlws.SORT(_xlfn.LET(_xlpm.getData,_xlfn.LAMBDA(_xlpm.type,_xlfn.LET(
  _xlpm.t, TRIM(CLEAN(_xlpm.type)),
  _xlpm.quantityCol, _xlfn.SWITCH(_xlpm.t,
    "single",  log_daily_records!AM:AM,
    "double",  log_daily_records!AN:AN,
    "hour",    log_daily_records!AO:AO
  ),
  _xlpm.cond, (IFERROR(_xlpm.quantityCol,"")&lt;&gt;"") * (IFERROR(_xlpm.quantityCol,0)&lt;&gt;0),
  _xlfn.IFNA(
    _xlfn.DROP(_xlfn._xlws.FILTER(
      _xlfn.HSTACK(log_daily_records!B:C, log_daily_records!E:F, log_daily_records!D:D, _xlpm.quantityCol, ""),
      _xlpm.cond
    ),1),
    _xlpm.t
  )
)),_xlfn.VSTACK(_xlpm.getData("single"),_xlpm.getData("double"),_xlpm.getData("hour"))),2),1)</f>
        <v>2025</v>
      </c>
      <c r="C2">
        <v>1</v>
      </c>
      <c r="D2">
        <v>30</v>
      </c>
      <c r="E2">
        <v>1</v>
      </c>
      <c r="F2" t="str">
        <v>99AS882</v>
      </c>
      <c r="G2">
        <v>10</v>
      </c>
      <c r="H2" t="str">
        <v>single</v>
      </c>
      <c r="J2" cm="1">
        <f t="array" ref="J2:J522">_xlfn.MAKEARRAY(ROWS(_xlfn.ANCHORARRAY(B2)),1,_xlfn.LAMBDA(_xlpm.r,_xlpm.c,_xlfn.XLOOKUP(1,(_xlfn._TRO_TRAILING(log_prices!C:C)=INDEX(_xlfn.ANCHORARRAY(B2),_xlpm.r,3))*(_xlfn._TRO_TRAILING(log_prices!G:G)=INDEX(_xlfn.ANCHORARRAY(B2),_xlpm.r,7))*(_xlfn._TRO_TRAILING(log_prices!M:M)=INDEX(_xlfn.ANCHORARRAY(B2),_xlpm.r,5))*(_xlfn._TRO_TRAILING(log_prices!N:N)&lt;=INDEX(_xlfn.ANCHORARRAY(K2),_xlpm.r)),_xlfn._TRO_TRAILING(log_prices!E:E),,0,-1)))</f>
        <v>1</v>
      </c>
      <c r="K2" s="123" cm="1">
        <f t="array" ref="K2:K522">DATE(INDEX(_xlfn.ANCHORARRAY(B2),,1),INDEX(_xlfn.ANCHORARRAY(B2),,2),1)</f>
        <v>45658</v>
      </c>
    </row>
    <row r="3" spans="1:11" hidden="1" x14ac:dyDescent="0.25">
      <c r="A3">
        <v>2</v>
      </c>
      <c r="B3">
        <v>2025</v>
      </c>
      <c r="C3">
        <v>1</v>
      </c>
      <c r="D3">
        <v>31</v>
      </c>
      <c r="E3">
        <v>1</v>
      </c>
      <c r="F3" t="str">
        <v>99LT168</v>
      </c>
      <c r="G3">
        <v>8</v>
      </c>
      <c r="H3" t="str">
        <v>single</v>
      </c>
      <c r="J3">
        <v>1</v>
      </c>
      <c r="K3" s="123">
        <v>45658</v>
      </c>
    </row>
    <row r="4" spans="1:11" hidden="1" x14ac:dyDescent="0.25">
      <c r="A4">
        <v>3</v>
      </c>
      <c r="B4">
        <v>2025</v>
      </c>
      <c r="C4">
        <v>1</v>
      </c>
      <c r="D4">
        <v>31</v>
      </c>
      <c r="E4">
        <v>1</v>
      </c>
      <c r="F4" t="str">
        <v>99HZ395</v>
      </c>
      <c r="G4">
        <v>3</v>
      </c>
      <c r="H4" t="str">
        <v>single</v>
      </c>
      <c r="J4">
        <v>3</v>
      </c>
      <c r="K4" s="123">
        <v>45658</v>
      </c>
    </row>
    <row r="5" spans="1:11" hidden="1" x14ac:dyDescent="0.25">
      <c r="A5">
        <v>4</v>
      </c>
      <c r="B5">
        <v>2025</v>
      </c>
      <c r="C5">
        <v>2</v>
      </c>
      <c r="D5">
        <v>30</v>
      </c>
      <c r="E5">
        <v>2</v>
      </c>
      <c r="F5" t="str">
        <v>99AS882</v>
      </c>
      <c r="G5">
        <v>30</v>
      </c>
      <c r="H5" t="str">
        <v>single</v>
      </c>
      <c r="J5">
        <v>1</v>
      </c>
      <c r="K5" s="123">
        <v>45689</v>
      </c>
    </row>
    <row r="6" spans="1:11" hidden="1" x14ac:dyDescent="0.25">
      <c r="A6">
        <v>5</v>
      </c>
      <c r="B6">
        <v>2025</v>
      </c>
      <c r="C6">
        <v>2</v>
      </c>
      <c r="D6">
        <v>30</v>
      </c>
      <c r="E6">
        <v>2</v>
      </c>
      <c r="F6" t="str">
        <v>99JE233</v>
      </c>
      <c r="G6">
        <v>30</v>
      </c>
      <c r="H6" t="str">
        <v>single</v>
      </c>
      <c r="J6">
        <v>2</v>
      </c>
      <c r="K6" s="123">
        <v>45689</v>
      </c>
    </row>
    <row r="7" spans="1:11" hidden="1" x14ac:dyDescent="0.25">
      <c r="A7">
        <v>6</v>
      </c>
      <c r="B7">
        <v>2025</v>
      </c>
      <c r="C7">
        <v>2</v>
      </c>
      <c r="D7">
        <v>31</v>
      </c>
      <c r="E7">
        <v>1</v>
      </c>
      <c r="F7" t="str">
        <v>99LT168</v>
      </c>
      <c r="G7">
        <v>28</v>
      </c>
      <c r="H7" t="str">
        <v>single</v>
      </c>
      <c r="J7">
        <v>1</v>
      </c>
      <c r="K7" s="123">
        <v>45689</v>
      </c>
    </row>
    <row r="8" spans="1:11" hidden="1" x14ac:dyDescent="0.25">
      <c r="A8">
        <v>7</v>
      </c>
      <c r="B8">
        <v>2025</v>
      </c>
      <c r="C8">
        <v>2</v>
      </c>
      <c r="D8">
        <v>31</v>
      </c>
      <c r="E8">
        <v>1</v>
      </c>
      <c r="F8" t="str">
        <v>99HZ395</v>
      </c>
      <c r="G8">
        <v>28</v>
      </c>
      <c r="H8" t="str">
        <v>single</v>
      </c>
      <c r="J8">
        <v>3</v>
      </c>
      <c r="K8" s="123">
        <v>45689</v>
      </c>
    </row>
    <row r="9" spans="1:11" hidden="1" x14ac:dyDescent="0.25">
      <c r="A9">
        <v>8</v>
      </c>
      <c r="B9">
        <v>2025</v>
      </c>
      <c r="C9">
        <v>2</v>
      </c>
      <c r="D9">
        <v>31</v>
      </c>
      <c r="E9">
        <v>1</v>
      </c>
      <c r="F9" t="str">
        <v>99FB123</v>
      </c>
      <c r="G9">
        <v>6</v>
      </c>
      <c r="H9" t="str">
        <v>single</v>
      </c>
      <c r="J9">
        <v>9</v>
      </c>
      <c r="K9" s="123">
        <v>45689</v>
      </c>
    </row>
    <row r="10" spans="1:11" hidden="1" x14ac:dyDescent="0.25">
      <c r="A10">
        <v>9</v>
      </c>
      <c r="B10">
        <v>2025</v>
      </c>
      <c r="C10">
        <v>2</v>
      </c>
      <c r="D10">
        <v>31</v>
      </c>
      <c r="E10">
        <v>1</v>
      </c>
      <c r="F10" t="str">
        <v>90OV187</v>
      </c>
      <c r="G10">
        <v>17</v>
      </c>
      <c r="H10" t="str">
        <v>single</v>
      </c>
      <c r="J10">
        <v>5</v>
      </c>
      <c r="K10" s="123">
        <v>45689</v>
      </c>
    </row>
    <row r="11" spans="1:11" hidden="1" x14ac:dyDescent="0.25">
      <c r="A11">
        <v>10</v>
      </c>
      <c r="B11">
        <v>2025</v>
      </c>
      <c r="C11">
        <v>2</v>
      </c>
      <c r="D11">
        <v>31</v>
      </c>
      <c r="E11">
        <v>1</v>
      </c>
      <c r="F11" t="str">
        <v>77UG347</v>
      </c>
      <c r="G11">
        <v>6</v>
      </c>
      <c r="H11" t="str">
        <v>single</v>
      </c>
      <c r="J11">
        <v>7</v>
      </c>
      <c r="K11" s="123">
        <v>45689</v>
      </c>
    </row>
    <row r="12" spans="1:11" hidden="1" x14ac:dyDescent="0.25">
      <c r="A12">
        <v>11</v>
      </c>
      <c r="B12">
        <v>2025</v>
      </c>
      <c r="C12">
        <v>2</v>
      </c>
      <c r="D12">
        <v>31</v>
      </c>
      <c r="E12">
        <v>1</v>
      </c>
      <c r="F12" t="str">
        <v>90ZP408</v>
      </c>
      <c r="G12">
        <v>17</v>
      </c>
      <c r="H12" t="str">
        <v>single</v>
      </c>
      <c r="J12">
        <v>11</v>
      </c>
      <c r="K12" s="123">
        <v>45689</v>
      </c>
    </row>
    <row r="13" spans="1:11" hidden="1" x14ac:dyDescent="0.25">
      <c r="A13">
        <v>12</v>
      </c>
      <c r="B13">
        <v>2025</v>
      </c>
      <c r="C13">
        <v>2</v>
      </c>
      <c r="D13">
        <v>31</v>
      </c>
      <c r="E13">
        <v>1</v>
      </c>
      <c r="F13" t="str">
        <v>66CC029</v>
      </c>
      <c r="G13">
        <v>19</v>
      </c>
      <c r="H13" t="str">
        <v>single</v>
      </c>
      <c r="J13">
        <v>15</v>
      </c>
      <c r="K13" s="123">
        <v>45689</v>
      </c>
    </row>
    <row r="14" spans="1:11" hidden="1" x14ac:dyDescent="0.25">
      <c r="A14">
        <v>13</v>
      </c>
      <c r="B14">
        <v>2025</v>
      </c>
      <c r="C14">
        <v>2</v>
      </c>
      <c r="D14">
        <v>31</v>
      </c>
      <c r="E14">
        <v>1</v>
      </c>
      <c r="F14" t="str">
        <v>77QK725</v>
      </c>
      <c r="G14">
        <v>7</v>
      </c>
      <c r="H14" t="str">
        <v>single</v>
      </c>
      <c r="J14">
        <v>17</v>
      </c>
      <c r="K14" s="123">
        <v>45689</v>
      </c>
    </row>
    <row r="15" spans="1:11" hidden="1" x14ac:dyDescent="0.25">
      <c r="A15">
        <v>14</v>
      </c>
      <c r="B15">
        <v>2025</v>
      </c>
      <c r="C15">
        <v>2</v>
      </c>
      <c r="D15">
        <v>31</v>
      </c>
      <c r="E15">
        <v>1</v>
      </c>
      <c r="F15" t="str">
        <v>77AT386</v>
      </c>
      <c r="G15">
        <v>9</v>
      </c>
      <c r="H15" t="str">
        <v>single</v>
      </c>
      <c r="J15">
        <v>13</v>
      </c>
      <c r="K15" s="123">
        <v>45689</v>
      </c>
    </row>
    <row r="16" spans="1:11" hidden="1" x14ac:dyDescent="0.25">
      <c r="A16">
        <v>15</v>
      </c>
      <c r="B16">
        <v>2025</v>
      </c>
      <c r="C16">
        <v>2</v>
      </c>
      <c r="D16">
        <v>31</v>
      </c>
      <c r="E16">
        <v>1</v>
      </c>
      <c r="F16" t="str">
        <v>99LT168</v>
      </c>
      <c r="G16">
        <v>1.9999999999999964</v>
      </c>
      <c r="H16" t="str">
        <v>hour</v>
      </c>
      <c r="J16">
        <v>2</v>
      </c>
      <c r="K16" s="123">
        <v>45689</v>
      </c>
    </row>
    <row r="17" spans="1:11" hidden="1" x14ac:dyDescent="0.25">
      <c r="A17">
        <v>16</v>
      </c>
      <c r="B17">
        <v>2025</v>
      </c>
      <c r="C17">
        <v>2</v>
      </c>
      <c r="D17">
        <v>31</v>
      </c>
      <c r="E17">
        <v>1</v>
      </c>
      <c r="F17" t="str">
        <v>90ZP408</v>
      </c>
      <c r="G17">
        <v>16.999999999999972</v>
      </c>
      <c r="H17" t="str">
        <v>hour</v>
      </c>
      <c r="J17">
        <v>12</v>
      </c>
      <c r="K17" s="123">
        <v>45689</v>
      </c>
    </row>
    <row r="18" spans="1:11" hidden="1" x14ac:dyDescent="0.25">
      <c r="A18">
        <v>17</v>
      </c>
      <c r="B18">
        <v>2025</v>
      </c>
      <c r="C18">
        <v>2</v>
      </c>
      <c r="D18">
        <v>31</v>
      </c>
      <c r="E18">
        <v>1</v>
      </c>
      <c r="F18" t="str">
        <v>66CC029</v>
      </c>
      <c r="G18">
        <v>18.999999999999972</v>
      </c>
      <c r="H18" t="str">
        <v>hour</v>
      </c>
      <c r="J18">
        <v>16</v>
      </c>
      <c r="K18" s="123">
        <v>45689</v>
      </c>
    </row>
    <row r="19" spans="1:11" hidden="1" x14ac:dyDescent="0.25">
      <c r="A19">
        <v>18</v>
      </c>
      <c r="B19">
        <v>2025</v>
      </c>
      <c r="C19">
        <v>3</v>
      </c>
      <c r="D19">
        <v>31</v>
      </c>
      <c r="E19">
        <v>2</v>
      </c>
      <c r="F19" t="str">
        <v>99LT168</v>
      </c>
      <c r="G19">
        <v>21</v>
      </c>
      <c r="H19" t="str">
        <v>single</v>
      </c>
      <c r="J19">
        <v>1</v>
      </c>
      <c r="K19" s="123">
        <v>45717</v>
      </c>
    </row>
    <row r="20" spans="1:11" hidden="1" x14ac:dyDescent="0.25">
      <c r="A20">
        <v>19</v>
      </c>
      <c r="B20">
        <v>2025</v>
      </c>
      <c r="C20">
        <v>3</v>
      </c>
      <c r="D20">
        <v>31</v>
      </c>
      <c r="E20">
        <v>2</v>
      </c>
      <c r="F20" t="str">
        <v>90OV187</v>
      </c>
      <c r="G20">
        <v>30</v>
      </c>
      <c r="H20" t="str">
        <v>single</v>
      </c>
      <c r="J20">
        <v>5</v>
      </c>
      <c r="K20" s="123">
        <v>45717</v>
      </c>
    </row>
    <row r="21" spans="1:11" hidden="1" x14ac:dyDescent="0.25">
      <c r="A21">
        <v>20</v>
      </c>
      <c r="B21">
        <v>2025</v>
      </c>
      <c r="C21">
        <v>3</v>
      </c>
      <c r="D21">
        <v>31</v>
      </c>
      <c r="E21">
        <v>2</v>
      </c>
      <c r="F21" t="str">
        <v>99HZ395</v>
      </c>
      <c r="G21">
        <v>25</v>
      </c>
      <c r="H21" t="str">
        <v>single</v>
      </c>
      <c r="J21">
        <v>3</v>
      </c>
      <c r="K21" s="123">
        <v>45717</v>
      </c>
    </row>
    <row r="22" spans="1:11" hidden="1" x14ac:dyDescent="0.25">
      <c r="A22">
        <v>21</v>
      </c>
      <c r="B22">
        <v>2025</v>
      </c>
      <c r="C22">
        <v>3</v>
      </c>
      <c r="D22">
        <v>31</v>
      </c>
      <c r="E22">
        <v>2</v>
      </c>
      <c r="F22" t="str">
        <v>90ZP408</v>
      </c>
      <c r="G22">
        <v>24</v>
      </c>
      <c r="H22" t="str">
        <v>single</v>
      </c>
      <c r="J22">
        <v>11</v>
      </c>
      <c r="K22" s="123">
        <v>45717</v>
      </c>
    </row>
    <row r="23" spans="1:11" hidden="1" x14ac:dyDescent="0.25">
      <c r="A23">
        <v>22</v>
      </c>
      <c r="B23">
        <v>2025</v>
      </c>
      <c r="C23">
        <v>3</v>
      </c>
      <c r="D23">
        <v>31</v>
      </c>
      <c r="E23">
        <v>2</v>
      </c>
      <c r="F23" t="str">
        <v>66CC029</v>
      </c>
      <c r="G23">
        <v>25</v>
      </c>
      <c r="H23" t="str">
        <v>single</v>
      </c>
      <c r="J23">
        <v>15</v>
      </c>
      <c r="K23" s="123">
        <v>45717</v>
      </c>
    </row>
    <row r="24" spans="1:11" hidden="1" x14ac:dyDescent="0.25">
      <c r="A24">
        <v>23</v>
      </c>
      <c r="B24">
        <v>2025</v>
      </c>
      <c r="C24">
        <v>3</v>
      </c>
      <c r="D24">
        <v>31</v>
      </c>
      <c r="E24">
        <v>2</v>
      </c>
      <c r="F24" t="str">
        <v>77QK725</v>
      </c>
      <c r="G24">
        <v>24</v>
      </c>
      <c r="H24" t="str">
        <v>single</v>
      </c>
      <c r="J24">
        <v>17</v>
      </c>
      <c r="K24" s="123">
        <v>45717</v>
      </c>
    </row>
    <row r="25" spans="1:11" hidden="1" x14ac:dyDescent="0.25">
      <c r="A25">
        <v>24</v>
      </c>
      <c r="B25">
        <v>2025</v>
      </c>
      <c r="C25">
        <v>3</v>
      </c>
      <c r="D25">
        <v>31</v>
      </c>
      <c r="E25">
        <v>2</v>
      </c>
      <c r="F25" t="str">
        <v>77AT386</v>
      </c>
      <c r="G25">
        <v>31</v>
      </c>
      <c r="H25" t="str">
        <v>single</v>
      </c>
      <c r="J25">
        <v>13</v>
      </c>
      <c r="K25" s="123">
        <v>45717</v>
      </c>
    </row>
    <row r="26" spans="1:11" hidden="1" x14ac:dyDescent="0.25">
      <c r="A26">
        <v>25</v>
      </c>
      <c r="B26">
        <v>2025</v>
      </c>
      <c r="C26">
        <v>3</v>
      </c>
      <c r="D26">
        <v>31</v>
      </c>
      <c r="E26">
        <v>2</v>
      </c>
      <c r="F26" t="str">
        <v>90SL686</v>
      </c>
      <c r="G26">
        <v>30</v>
      </c>
      <c r="H26" t="str">
        <v>single</v>
      </c>
      <c r="J26">
        <v>19</v>
      </c>
      <c r="K26" s="123">
        <v>45717</v>
      </c>
    </row>
    <row r="27" spans="1:11" hidden="1" x14ac:dyDescent="0.25">
      <c r="A27">
        <v>26</v>
      </c>
      <c r="B27">
        <v>2025</v>
      </c>
      <c r="C27">
        <v>3</v>
      </c>
      <c r="D27">
        <v>31</v>
      </c>
      <c r="E27">
        <v>2</v>
      </c>
      <c r="F27" t="str">
        <v>55CB633</v>
      </c>
      <c r="G27">
        <v>25</v>
      </c>
      <c r="H27" t="str">
        <v>single</v>
      </c>
      <c r="J27">
        <v>57</v>
      </c>
      <c r="K27" s="123">
        <v>45717</v>
      </c>
    </row>
    <row r="28" spans="1:11" hidden="1" x14ac:dyDescent="0.25">
      <c r="A28">
        <v>27</v>
      </c>
      <c r="B28">
        <v>2025</v>
      </c>
      <c r="C28">
        <v>3</v>
      </c>
      <c r="D28">
        <v>31</v>
      </c>
      <c r="E28">
        <v>2</v>
      </c>
      <c r="F28" t="str">
        <v>77GM723</v>
      </c>
      <c r="G28">
        <v>28</v>
      </c>
      <c r="H28" t="str">
        <v>single</v>
      </c>
      <c r="J28">
        <v>61</v>
      </c>
      <c r="K28" s="123">
        <v>45717</v>
      </c>
    </row>
    <row r="29" spans="1:11" hidden="1" x14ac:dyDescent="0.25">
      <c r="A29">
        <v>28</v>
      </c>
      <c r="B29">
        <v>2025</v>
      </c>
      <c r="C29">
        <v>3</v>
      </c>
      <c r="D29">
        <v>31</v>
      </c>
      <c r="E29">
        <v>2</v>
      </c>
      <c r="F29" t="str">
        <v>99DX531</v>
      </c>
      <c r="G29">
        <v>27</v>
      </c>
      <c r="H29" t="str">
        <v>single</v>
      </c>
      <c r="J29">
        <v>97</v>
      </c>
      <c r="K29" s="123">
        <v>45717</v>
      </c>
    </row>
    <row r="30" spans="1:11" hidden="1" x14ac:dyDescent="0.25">
      <c r="A30">
        <v>29</v>
      </c>
      <c r="B30">
        <v>2025</v>
      </c>
      <c r="C30">
        <v>3</v>
      </c>
      <c r="D30">
        <v>31</v>
      </c>
      <c r="E30">
        <v>2</v>
      </c>
      <c r="F30" t="str">
        <v>15BZ942</v>
      </c>
      <c r="G30">
        <v>29</v>
      </c>
      <c r="H30" t="str">
        <v>single</v>
      </c>
      <c r="J30">
        <v>35</v>
      </c>
      <c r="K30" s="123">
        <v>45717</v>
      </c>
    </row>
    <row r="31" spans="1:11" hidden="1" x14ac:dyDescent="0.25">
      <c r="A31">
        <v>30</v>
      </c>
      <c r="B31">
        <v>2025</v>
      </c>
      <c r="C31">
        <v>3</v>
      </c>
      <c r="D31">
        <v>31</v>
      </c>
      <c r="E31">
        <v>2</v>
      </c>
      <c r="F31" t="str">
        <v>99BT339</v>
      </c>
      <c r="G31">
        <v>26</v>
      </c>
      <c r="H31" t="str">
        <v>single</v>
      </c>
      <c r="J31">
        <v>93</v>
      </c>
      <c r="K31" s="123">
        <v>45717</v>
      </c>
    </row>
    <row r="32" spans="1:11" hidden="1" x14ac:dyDescent="0.25">
      <c r="A32">
        <v>31</v>
      </c>
      <c r="B32">
        <v>2025</v>
      </c>
      <c r="C32">
        <v>3</v>
      </c>
      <c r="D32">
        <v>31</v>
      </c>
      <c r="E32">
        <v>2</v>
      </c>
      <c r="F32" t="str">
        <v>77ET143</v>
      </c>
      <c r="G32">
        <v>25</v>
      </c>
      <c r="H32" t="str">
        <v>single</v>
      </c>
      <c r="J32">
        <v>59</v>
      </c>
      <c r="K32" s="123">
        <v>45717</v>
      </c>
    </row>
    <row r="33" spans="1:11" hidden="1" x14ac:dyDescent="0.25">
      <c r="A33">
        <v>32</v>
      </c>
      <c r="B33">
        <v>2025</v>
      </c>
      <c r="C33">
        <v>3</v>
      </c>
      <c r="D33">
        <v>31</v>
      </c>
      <c r="E33">
        <v>2</v>
      </c>
      <c r="F33" t="str">
        <v>50DK730</v>
      </c>
      <c r="G33">
        <v>28</v>
      </c>
      <c r="H33" t="str">
        <v>single</v>
      </c>
      <c r="J33">
        <v>47</v>
      </c>
      <c r="K33" s="123">
        <v>45717</v>
      </c>
    </row>
    <row r="34" spans="1:11" hidden="1" x14ac:dyDescent="0.25">
      <c r="A34">
        <v>33</v>
      </c>
      <c r="B34">
        <v>2025</v>
      </c>
      <c r="C34">
        <v>3</v>
      </c>
      <c r="D34">
        <v>31</v>
      </c>
      <c r="E34">
        <v>2</v>
      </c>
      <c r="F34" t="str">
        <v>99MN472</v>
      </c>
      <c r="G34">
        <v>29</v>
      </c>
      <c r="H34" t="str">
        <v>single</v>
      </c>
      <c r="J34">
        <v>108</v>
      </c>
      <c r="K34" s="123">
        <v>45717</v>
      </c>
    </row>
    <row r="35" spans="1:11" hidden="1" x14ac:dyDescent="0.25">
      <c r="A35">
        <v>34</v>
      </c>
      <c r="B35">
        <v>2025</v>
      </c>
      <c r="C35">
        <v>3</v>
      </c>
      <c r="D35">
        <v>31</v>
      </c>
      <c r="E35">
        <v>2</v>
      </c>
      <c r="F35" t="str">
        <v>52BK688</v>
      </c>
      <c r="G35">
        <v>25</v>
      </c>
      <c r="H35" t="str">
        <v>single</v>
      </c>
      <c r="J35">
        <v>51</v>
      </c>
      <c r="K35" s="123">
        <v>45717</v>
      </c>
    </row>
    <row r="36" spans="1:11" hidden="1" x14ac:dyDescent="0.25">
      <c r="A36">
        <v>35</v>
      </c>
      <c r="B36">
        <v>2025</v>
      </c>
      <c r="C36">
        <v>3</v>
      </c>
      <c r="D36">
        <v>31</v>
      </c>
      <c r="E36">
        <v>2</v>
      </c>
      <c r="F36" t="str">
        <v>10RN527</v>
      </c>
      <c r="G36">
        <v>18</v>
      </c>
      <c r="H36" t="str">
        <v>single</v>
      </c>
      <c r="J36">
        <v>31</v>
      </c>
      <c r="K36" s="123">
        <v>45717</v>
      </c>
    </row>
    <row r="37" spans="1:11" hidden="1" x14ac:dyDescent="0.25">
      <c r="A37">
        <v>36</v>
      </c>
      <c r="B37">
        <v>2025</v>
      </c>
      <c r="C37">
        <v>3</v>
      </c>
      <c r="D37">
        <v>31</v>
      </c>
      <c r="E37">
        <v>2</v>
      </c>
      <c r="F37" t="str">
        <v>77RN868</v>
      </c>
      <c r="G37">
        <v>10</v>
      </c>
      <c r="H37" t="str">
        <v>single</v>
      </c>
      <c r="J37">
        <v>71</v>
      </c>
      <c r="K37" s="123">
        <v>45717</v>
      </c>
    </row>
    <row r="38" spans="1:11" hidden="1" x14ac:dyDescent="0.25">
      <c r="A38">
        <v>37</v>
      </c>
      <c r="B38">
        <v>2025</v>
      </c>
      <c r="C38">
        <v>3</v>
      </c>
      <c r="D38">
        <v>31</v>
      </c>
      <c r="E38">
        <v>2</v>
      </c>
      <c r="F38" t="str">
        <v>99LM412</v>
      </c>
      <c r="G38">
        <v>4</v>
      </c>
      <c r="H38" t="str">
        <v>single</v>
      </c>
      <c r="J38">
        <v>116</v>
      </c>
      <c r="K38" s="123">
        <v>45717</v>
      </c>
    </row>
    <row r="39" spans="1:11" hidden="1" x14ac:dyDescent="0.25">
      <c r="A39">
        <v>38</v>
      </c>
      <c r="B39">
        <v>2025</v>
      </c>
      <c r="C39">
        <v>3</v>
      </c>
      <c r="D39">
        <v>31</v>
      </c>
      <c r="E39">
        <v>2</v>
      </c>
      <c r="F39" t="str">
        <v>99TV366</v>
      </c>
      <c r="G39">
        <v>14</v>
      </c>
      <c r="H39" t="str">
        <v>single</v>
      </c>
      <c r="J39">
        <v>112</v>
      </c>
      <c r="K39" s="123">
        <v>45717</v>
      </c>
    </row>
    <row r="40" spans="1:11" hidden="1" x14ac:dyDescent="0.25">
      <c r="A40">
        <v>39</v>
      </c>
      <c r="B40">
        <v>2025</v>
      </c>
      <c r="C40">
        <v>3</v>
      </c>
      <c r="D40">
        <v>31</v>
      </c>
      <c r="E40">
        <v>2</v>
      </c>
      <c r="F40" t="str">
        <v>90OV187</v>
      </c>
      <c r="G40">
        <v>48.999999999999986</v>
      </c>
      <c r="H40" t="str">
        <v>hour</v>
      </c>
      <c r="J40">
        <v>6</v>
      </c>
      <c r="K40" s="123">
        <v>45717</v>
      </c>
    </row>
    <row r="41" spans="1:11" hidden="1" x14ac:dyDescent="0.25">
      <c r="A41">
        <v>40</v>
      </c>
      <c r="B41">
        <v>2025</v>
      </c>
      <c r="C41">
        <v>3</v>
      </c>
      <c r="D41">
        <v>31</v>
      </c>
      <c r="E41">
        <v>2</v>
      </c>
      <c r="F41" t="str">
        <v>90SL686</v>
      </c>
      <c r="G41">
        <v>104</v>
      </c>
      <c r="H41" t="str">
        <v>hour</v>
      </c>
      <c r="J41">
        <v>20</v>
      </c>
      <c r="K41" s="123">
        <v>45717</v>
      </c>
    </row>
    <row r="42" spans="1:11" hidden="1" x14ac:dyDescent="0.25">
      <c r="A42">
        <v>41</v>
      </c>
      <c r="B42">
        <v>2025</v>
      </c>
      <c r="C42">
        <v>3</v>
      </c>
      <c r="D42">
        <v>31</v>
      </c>
      <c r="E42">
        <v>2</v>
      </c>
      <c r="F42" t="str">
        <v>55CB633</v>
      </c>
      <c r="G42">
        <v>35.999999999999964</v>
      </c>
      <c r="H42" t="str">
        <v>hour</v>
      </c>
      <c r="J42">
        <v>56</v>
      </c>
      <c r="K42" s="123">
        <v>45717</v>
      </c>
    </row>
    <row r="43" spans="1:11" hidden="1" x14ac:dyDescent="0.25">
      <c r="A43">
        <v>42</v>
      </c>
      <c r="B43">
        <v>2025</v>
      </c>
      <c r="C43">
        <v>3</v>
      </c>
      <c r="D43">
        <v>31</v>
      </c>
      <c r="E43">
        <v>2</v>
      </c>
      <c r="F43" t="str">
        <v>77GM723</v>
      </c>
      <c r="G43">
        <v>80.999999999999986</v>
      </c>
      <c r="H43" t="str">
        <v>hour</v>
      </c>
      <c r="J43">
        <v>60</v>
      </c>
      <c r="K43" s="123">
        <v>45717</v>
      </c>
    </row>
    <row r="44" spans="1:11" hidden="1" x14ac:dyDescent="0.25">
      <c r="A44">
        <v>43</v>
      </c>
      <c r="B44">
        <v>2025</v>
      </c>
      <c r="C44">
        <v>3</v>
      </c>
      <c r="D44">
        <v>31</v>
      </c>
      <c r="E44">
        <v>2</v>
      </c>
      <c r="F44" t="str">
        <v>99DX531</v>
      </c>
      <c r="G44">
        <v>34.999999999999986</v>
      </c>
      <c r="H44" t="str">
        <v>hour</v>
      </c>
      <c r="J44">
        <v>96</v>
      </c>
      <c r="K44" s="123">
        <v>45717</v>
      </c>
    </row>
    <row r="45" spans="1:11" hidden="1" x14ac:dyDescent="0.25">
      <c r="A45">
        <v>44</v>
      </c>
      <c r="B45">
        <v>2025</v>
      </c>
      <c r="C45">
        <v>3</v>
      </c>
      <c r="D45">
        <v>31</v>
      </c>
      <c r="E45">
        <v>2</v>
      </c>
      <c r="F45" t="str">
        <v>15BZ942</v>
      </c>
      <c r="G45">
        <v>26.999999999999993</v>
      </c>
      <c r="H45" t="str">
        <v>hour</v>
      </c>
      <c r="J45">
        <v>34</v>
      </c>
      <c r="K45" s="123">
        <v>45717</v>
      </c>
    </row>
    <row r="46" spans="1:11" hidden="1" x14ac:dyDescent="0.25">
      <c r="A46">
        <v>45</v>
      </c>
      <c r="B46">
        <v>2025</v>
      </c>
      <c r="C46">
        <v>3</v>
      </c>
      <c r="D46">
        <v>31</v>
      </c>
      <c r="E46">
        <v>2</v>
      </c>
      <c r="F46" t="str">
        <v>99BT339</v>
      </c>
      <c r="G46">
        <v>27.99999999999995</v>
      </c>
      <c r="H46" t="str">
        <v>hour</v>
      </c>
      <c r="J46">
        <v>92</v>
      </c>
      <c r="K46" s="123">
        <v>45717</v>
      </c>
    </row>
    <row r="47" spans="1:11" hidden="1" x14ac:dyDescent="0.25">
      <c r="A47">
        <v>46</v>
      </c>
      <c r="B47">
        <v>2025</v>
      </c>
      <c r="C47">
        <v>3</v>
      </c>
      <c r="D47">
        <v>31</v>
      </c>
      <c r="E47">
        <v>2</v>
      </c>
      <c r="F47" t="str">
        <v>50DK730</v>
      </c>
      <c r="G47">
        <v>81.999999999999986</v>
      </c>
      <c r="H47" t="str">
        <v>hour</v>
      </c>
      <c r="J47">
        <v>46</v>
      </c>
      <c r="K47" s="123">
        <v>45717</v>
      </c>
    </row>
    <row r="48" spans="1:11" hidden="1" x14ac:dyDescent="0.25">
      <c r="A48">
        <v>47</v>
      </c>
      <c r="B48">
        <v>2025</v>
      </c>
      <c r="C48">
        <v>3</v>
      </c>
      <c r="D48">
        <v>31</v>
      </c>
      <c r="E48">
        <v>2</v>
      </c>
      <c r="F48" t="str">
        <v>99MN472</v>
      </c>
      <c r="G48">
        <v>54.999999999999943</v>
      </c>
      <c r="H48" t="str">
        <v>hour</v>
      </c>
      <c r="J48">
        <v>107</v>
      </c>
      <c r="K48" s="123">
        <v>45717</v>
      </c>
    </row>
    <row r="49" spans="1:11" hidden="1" x14ac:dyDescent="0.25">
      <c r="A49">
        <v>48</v>
      </c>
      <c r="B49">
        <v>2025</v>
      </c>
      <c r="C49">
        <v>3</v>
      </c>
      <c r="D49">
        <v>31</v>
      </c>
      <c r="E49">
        <v>2</v>
      </c>
      <c r="F49" t="str">
        <v>10RN527</v>
      </c>
      <c r="G49">
        <v>33.999999999999986</v>
      </c>
      <c r="H49" t="str">
        <v>hour</v>
      </c>
      <c r="J49">
        <v>29</v>
      </c>
      <c r="K49" s="123">
        <v>45717</v>
      </c>
    </row>
    <row r="50" spans="1:11" hidden="1" x14ac:dyDescent="0.25">
      <c r="A50">
        <v>49</v>
      </c>
      <c r="B50">
        <v>2025</v>
      </c>
      <c r="C50">
        <v>3</v>
      </c>
      <c r="D50">
        <v>31</v>
      </c>
      <c r="E50">
        <v>2</v>
      </c>
      <c r="F50" t="str">
        <v>99LM412</v>
      </c>
      <c r="G50">
        <v>4.9999999999999964</v>
      </c>
      <c r="H50" t="str">
        <v>hour</v>
      </c>
      <c r="J50">
        <v>115</v>
      </c>
      <c r="K50" s="123">
        <v>45717</v>
      </c>
    </row>
    <row r="51" spans="1:11" hidden="1" x14ac:dyDescent="0.25">
      <c r="A51">
        <v>50</v>
      </c>
      <c r="B51">
        <v>2025</v>
      </c>
      <c r="C51">
        <v>3</v>
      </c>
      <c r="D51">
        <v>31</v>
      </c>
      <c r="E51">
        <v>2</v>
      </c>
      <c r="F51" t="str">
        <v>99TV366</v>
      </c>
      <c r="G51">
        <v>20.999999999999986</v>
      </c>
      <c r="H51" t="str">
        <v>hour</v>
      </c>
      <c r="J51">
        <v>111</v>
      </c>
      <c r="K51" s="123">
        <v>45717</v>
      </c>
    </row>
    <row r="52" spans="1:11" hidden="1" x14ac:dyDescent="0.25">
      <c r="A52">
        <v>51</v>
      </c>
      <c r="B52">
        <v>2025</v>
      </c>
      <c r="C52">
        <v>4</v>
      </c>
      <c r="D52">
        <v>31</v>
      </c>
      <c r="E52">
        <v>3</v>
      </c>
      <c r="F52" t="str">
        <v>99HZ395</v>
      </c>
      <c r="G52">
        <v>33</v>
      </c>
      <c r="H52" t="str">
        <v>single</v>
      </c>
      <c r="J52">
        <v>3</v>
      </c>
      <c r="K52" s="123">
        <v>45748</v>
      </c>
    </row>
    <row r="53" spans="1:11" hidden="1" x14ac:dyDescent="0.25">
      <c r="A53">
        <v>52</v>
      </c>
      <c r="B53">
        <v>2025</v>
      </c>
      <c r="C53">
        <v>4</v>
      </c>
      <c r="D53">
        <v>31</v>
      </c>
      <c r="E53">
        <v>3</v>
      </c>
      <c r="F53" t="str">
        <v>90ZP408</v>
      </c>
      <c r="G53">
        <v>30</v>
      </c>
      <c r="H53" t="str">
        <v>single</v>
      </c>
      <c r="J53">
        <v>11</v>
      </c>
      <c r="K53" s="123">
        <v>45748</v>
      </c>
    </row>
    <row r="54" spans="1:11" hidden="1" x14ac:dyDescent="0.25">
      <c r="A54">
        <v>53</v>
      </c>
      <c r="B54">
        <v>2025</v>
      </c>
      <c r="C54">
        <v>4</v>
      </c>
      <c r="D54">
        <v>31</v>
      </c>
      <c r="E54">
        <v>3</v>
      </c>
      <c r="F54" t="str">
        <v>66CC029</v>
      </c>
      <c r="G54">
        <v>30</v>
      </c>
      <c r="H54" t="str">
        <v>single</v>
      </c>
      <c r="J54">
        <v>15</v>
      </c>
      <c r="K54" s="123">
        <v>45748</v>
      </c>
    </row>
    <row r="55" spans="1:11" hidden="1" x14ac:dyDescent="0.25">
      <c r="A55">
        <v>54</v>
      </c>
      <c r="B55">
        <v>2025</v>
      </c>
      <c r="C55">
        <v>4</v>
      </c>
      <c r="D55">
        <v>31</v>
      </c>
      <c r="E55">
        <v>3</v>
      </c>
      <c r="F55" t="str">
        <v>77QK725</v>
      </c>
      <c r="G55">
        <v>20</v>
      </c>
      <c r="H55" t="str">
        <v>single</v>
      </c>
      <c r="J55">
        <v>17</v>
      </c>
      <c r="K55" s="123">
        <v>45748</v>
      </c>
    </row>
    <row r="56" spans="1:11" hidden="1" x14ac:dyDescent="0.25">
      <c r="A56">
        <v>55</v>
      </c>
      <c r="B56">
        <v>2025</v>
      </c>
      <c r="C56">
        <v>4</v>
      </c>
      <c r="D56">
        <v>31</v>
      </c>
      <c r="E56">
        <v>3</v>
      </c>
      <c r="F56" t="str">
        <v>77AT386</v>
      </c>
      <c r="G56">
        <v>30</v>
      </c>
      <c r="H56" t="str">
        <v>single</v>
      </c>
      <c r="J56">
        <v>13</v>
      </c>
      <c r="K56" s="123">
        <v>45748</v>
      </c>
    </row>
    <row r="57" spans="1:11" hidden="1" x14ac:dyDescent="0.25">
      <c r="A57">
        <v>56</v>
      </c>
      <c r="B57">
        <v>2025</v>
      </c>
      <c r="C57">
        <v>4</v>
      </c>
      <c r="D57">
        <v>31</v>
      </c>
      <c r="E57">
        <v>3</v>
      </c>
      <c r="F57" t="str">
        <v>90SL686</v>
      </c>
      <c r="G57">
        <v>31</v>
      </c>
      <c r="H57" t="str">
        <v>single</v>
      </c>
      <c r="J57">
        <v>19</v>
      </c>
      <c r="K57" s="123">
        <v>45748</v>
      </c>
    </row>
    <row r="58" spans="1:11" hidden="1" x14ac:dyDescent="0.25">
      <c r="A58">
        <v>57</v>
      </c>
      <c r="B58">
        <v>2025</v>
      </c>
      <c r="C58">
        <v>4</v>
      </c>
      <c r="D58">
        <v>31</v>
      </c>
      <c r="E58">
        <v>3</v>
      </c>
      <c r="F58" t="str">
        <v>55CB633</v>
      </c>
      <c r="G58">
        <v>30</v>
      </c>
      <c r="H58" t="str">
        <v>single</v>
      </c>
      <c r="J58">
        <v>57</v>
      </c>
      <c r="K58" s="123">
        <v>45748</v>
      </c>
    </row>
    <row r="59" spans="1:11" hidden="1" x14ac:dyDescent="0.25">
      <c r="A59">
        <v>58</v>
      </c>
      <c r="B59">
        <v>2025</v>
      </c>
      <c r="C59">
        <v>4</v>
      </c>
      <c r="D59">
        <v>31</v>
      </c>
      <c r="E59">
        <v>3</v>
      </c>
      <c r="F59" t="str">
        <v>99BT339</v>
      </c>
      <c r="G59">
        <v>30</v>
      </c>
      <c r="H59" t="str">
        <v>single</v>
      </c>
      <c r="J59">
        <v>93</v>
      </c>
      <c r="K59" s="123">
        <v>45748</v>
      </c>
    </row>
    <row r="60" spans="1:11" hidden="1" x14ac:dyDescent="0.25">
      <c r="A60">
        <v>59</v>
      </c>
      <c r="B60">
        <v>2025</v>
      </c>
      <c r="C60">
        <v>4</v>
      </c>
      <c r="D60">
        <v>31</v>
      </c>
      <c r="E60">
        <v>3</v>
      </c>
      <c r="F60" t="str">
        <v>77ET143</v>
      </c>
      <c r="G60">
        <v>30</v>
      </c>
      <c r="H60" t="str">
        <v>single</v>
      </c>
      <c r="J60">
        <v>59</v>
      </c>
      <c r="K60" s="123">
        <v>45748</v>
      </c>
    </row>
    <row r="61" spans="1:11" hidden="1" x14ac:dyDescent="0.25">
      <c r="A61">
        <v>60</v>
      </c>
      <c r="B61">
        <v>2025</v>
      </c>
      <c r="C61">
        <v>4</v>
      </c>
      <c r="D61">
        <v>31</v>
      </c>
      <c r="E61">
        <v>3</v>
      </c>
      <c r="F61" t="str">
        <v>50DK730</v>
      </c>
      <c r="G61">
        <v>30</v>
      </c>
      <c r="H61" t="str">
        <v>single</v>
      </c>
      <c r="J61">
        <v>47</v>
      </c>
      <c r="K61" s="123">
        <v>45748</v>
      </c>
    </row>
    <row r="62" spans="1:11" hidden="1" x14ac:dyDescent="0.25">
      <c r="A62">
        <v>61</v>
      </c>
      <c r="B62">
        <v>2025</v>
      </c>
      <c r="C62">
        <v>4</v>
      </c>
      <c r="D62">
        <v>31</v>
      </c>
      <c r="E62">
        <v>3</v>
      </c>
      <c r="F62" t="str">
        <v>99MN472</v>
      </c>
      <c r="G62">
        <v>30</v>
      </c>
      <c r="H62" t="str">
        <v>single</v>
      </c>
      <c r="J62">
        <v>108</v>
      </c>
      <c r="K62" s="123">
        <v>45748</v>
      </c>
    </row>
    <row r="63" spans="1:11" hidden="1" x14ac:dyDescent="0.25">
      <c r="A63">
        <v>62</v>
      </c>
      <c r="B63">
        <v>2025</v>
      </c>
      <c r="C63">
        <v>4</v>
      </c>
      <c r="D63">
        <v>31</v>
      </c>
      <c r="E63">
        <v>3</v>
      </c>
      <c r="F63" t="str">
        <v>52BK688</v>
      </c>
      <c r="G63">
        <v>5</v>
      </c>
      <c r="H63" t="str">
        <v>single</v>
      </c>
      <c r="J63">
        <v>51</v>
      </c>
      <c r="K63" s="123">
        <v>45748</v>
      </c>
    </row>
    <row r="64" spans="1:11" hidden="1" x14ac:dyDescent="0.25">
      <c r="A64">
        <v>63</v>
      </c>
      <c r="B64">
        <v>2025</v>
      </c>
      <c r="C64">
        <v>4</v>
      </c>
      <c r="D64">
        <v>31</v>
      </c>
      <c r="E64">
        <v>3</v>
      </c>
      <c r="F64" t="str">
        <v>77RN868</v>
      </c>
      <c r="G64">
        <v>31</v>
      </c>
      <c r="H64" t="str">
        <v>single</v>
      </c>
      <c r="J64">
        <v>71</v>
      </c>
      <c r="K64" s="123">
        <v>45748</v>
      </c>
    </row>
    <row r="65" spans="1:11" hidden="1" x14ac:dyDescent="0.25">
      <c r="A65">
        <v>64</v>
      </c>
      <c r="B65">
        <v>2025</v>
      </c>
      <c r="C65">
        <v>4</v>
      </c>
      <c r="D65">
        <v>31</v>
      </c>
      <c r="E65">
        <v>3</v>
      </c>
      <c r="F65" t="str">
        <v>99LM412</v>
      </c>
      <c r="G65">
        <v>30</v>
      </c>
      <c r="H65" t="str">
        <v>single</v>
      </c>
      <c r="J65">
        <v>116</v>
      </c>
      <c r="K65" s="123">
        <v>45748</v>
      </c>
    </row>
    <row r="66" spans="1:11" hidden="1" x14ac:dyDescent="0.25">
      <c r="A66">
        <v>65</v>
      </c>
      <c r="B66">
        <v>2025</v>
      </c>
      <c r="C66">
        <v>4</v>
      </c>
      <c r="D66">
        <v>31</v>
      </c>
      <c r="E66">
        <v>3</v>
      </c>
      <c r="F66" t="str">
        <v>50BD165</v>
      </c>
      <c r="G66">
        <v>25</v>
      </c>
      <c r="H66" t="str">
        <v>single</v>
      </c>
      <c r="J66">
        <v>41</v>
      </c>
      <c r="K66" s="123">
        <v>45748</v>
      </c>
    </row>
    <row r="67" spans="1:11" hidden="1" x14ac:dyDescent="0.25">
      <c r="A67">
        <v>66</v>
      </c>
      <c r="B67">
        <v>2025</v>
      </c>
      <c r="C67">
        <v>4</v>
      </c>
      <c r="D67">
        <v>31</v>
      </c>
      <c r="E67">
        <v>3</v>
      </c>
      <c r="F67" t="str">
        <v>77QE133</v>
      </c>
      <c r="G67">
        <v>7</v>
      </c>
      <c r="H67" t="str">
        <v>single</v>
      </c>
      <c r="J67">
        <v>69</v>
      </c>
      <c r="K67" s="123">
        <v>45748</v>
      </c>
    </row>
    <row r="68" spans="1:11" hidden="1" x14ac:dyDescent="0.25">
      <c r="A68">
        <v>67</v>
      </c>
      <c r="B68">
        <v>2025</v>
      </c>
      <c r="C68">
        <v>4</v>
      </c>
      <c r="D68">
        <v>52</v>
      </c>
      <c r="E68">
        <v>1</v>
      </c>
      <c r="F68" t="str">
        <v>10AC750</v>
      </c>
      <c r="G68">
        <v>16</v>
      </c>
      <c r="H68" t="str">
        <v>single</v>
      </c>
      <c r="J68">
        <v>1</v>
      </c>
      <c r="K68" s="123">
        <v>45748</v>
      </c>
    </row>
    <row r="69" spans="1:11" hidden="1" x14ac:dyDescent="0.25">
      <c r="A69">
        <v>68</v>
      </c>
      <c r="B69">
        <v>2025</v>
      </c>
      <c r="C69">
        <v>4</v>
      </c>
      <c r="D69">
        <v>31</v>
      </c>
      <c r="E69">
        <v>3</v>
      </c>
      <c r="F69" t="str">
        <v>90ZP408</v>
      </c>
      <c r="G69">
        <v>15.299999999999976</v>
      </c>
      <c r="H69" t="str">
        <v>hour</v>
      </c>
      <c r="J69">
        <v>12</v>
      </c>
      <c r="K69" s="123">
        <v>45748</v>
      </c>
    </row>
    <row r="70" spans="1:11" hidden="1" x14ac:dyDescent="0.25">
      <c r="A70">
        <v>69</v>
      </c>
      <c r="B70">
        <v>2025</v>
      </c>
      <c r="C70">
        <v>4</v>
      </c>
      <c r="D70">
        <v>31</v>
      </c>
      <c r="E70">
        <v>3</v>
      </c>
      <c r="F70" t="str">
        <v>66CC029</v>
      </c>
      <c r="G70">
        <v>99.999999999999986</v>
      </c>
      <c r="H70" t="str">
        <v>hour</v>
      </c>
      <c r="J70">
        <v>16</v>
      </c>
      <c r="K70" s="123">
        <v>45748</v>
      </c>
    </row>
    <row r="71" spans="1:11" hidden="1" x14ac:dyDescent="0.25">
      <c r="A71">
        <v>70</v>
      </c>
      <c r="B71">
        <v>2025</v>
      </c>
      <c r="C71">
        <v>4</v>
      </c>
      <c r="D71">
        <v>31</v>
      </c>
      <c r="E71">
        <v>3</v>
      </c>
      <c r="F71" t="str">
        <v>90SL686</v>
      </c>
      <c r="G71">
        <v>67.84999999999998</v>
      </c>
      <c r="H71" t="str">
        <v>hour</v>
      </c>
      <c r="J71">
        <v>20</v>
      </c>
      <c r="K71" s="123">
        <v>45748</v>
      </c>
    </row>
    <row r="72" spans="1:11" hidden="1" x14ac:dyDescent="0.25">
      <c r="A72">
        <v>71</v>
      </c>
      <c r="B72">
        <v>2025</v>
      </c>
      <c r="C72">
        <v>4</v>
      </c>
      <c r="D72">
        <v>31</v>
      </c>
      <c r="E72">
        <v>3</v>
      </c>
      <c r="F72" t="str">
        <v>55CB633</v>
      </c>
      <c r="G72">
        <v>69.999999999999986</v>
      </c>
      <c r="H72" t="str">
        <v>hour</v>
      </c>
      <c r="J72">
        <v>56</v>
      </c>
      <c r="K72" s="123">
        <v>45748</v>
      </c>
    </row>
    <row r="73" spans="1:11" hidden="1" x14ac:dyDescent="0.25">
      <c r="A73">
        <v>72</v>
      </c>
      <c r="B73">
        <v>2025</v>
      </c>
      <c r="C73">
        <v>4</v>
      </c>
      <c r="D73">
        <v>31</v>
      </c>
      <c r="E73">
        <v>3</v>
      </c>
      <c r="F73" t="str">
        <v>99BT339</v>
      </c>
      <c r="G73">
        <v>36.999999999999957</v>
      </c>
      <c r="H73" t="str">
        <v>hour</v>
      </c>
      <c r="J73">
        <v>92</v>
      </c>
      <c r="K73" s="123">
        <v>45748</v>
      </c>
    </row>
    <row r="74" spans="1:11" hidden="1" x14ac:dyDescent="0.25">
      <c r="A74">
        <v>73</v>
      </c>
      <c r="B74">
        <v>2025</v>
      </c>
      <c r="C74">
        <v>4</v>
      </c>
      <c r="D74">
        <v>31</v>
      </c>
      <c r="E74">
        <v>3</v>
      </c>
      <c r="F74" t="str">
        <v>50DK730</v>
      </c>
      <c r="G74">
        <v>94.999999999999986</v>
      </c>
      <c r="H74" t="str">
        <v>hour</v>
      </c>
      <c r="J74">
        <v>46</v>
      </c>
      <c r="K74" s="123">
        <v>45748</v>
      </c>
    </row>
    <row r="75" spans="1:11" hidden="1" x14ac:dyDescent="0.25">
      <c r="A75">
        <v>74</v>
      </c>
      <c r="B75">
        <v>2025</v>
      </c>
      <c r="C75">
        <v>4</v>
      </c>
      <c r="D75">
        <v>31</v>
      </c>
      <c r="E75">
        <v>3</v>
      </c>
      <c r="F75" t="str">
        <v>99MN472</v>
      </c>
      <c r="G75">
        <v>61.999999999999943</v>
      </c>
      <c r="H75" t="str">
        <v>hour</v>
      </c>
      <c r="J75">
        <v>107</v>
      </c>
      <c r="K75" s="123">
        <v>45748</v>
      </c>
    </row>
    <row r="76" spans="1:11" hidden="1" x14ac:dyDescent="0.25">
      <c r="A76">
        <v>75</v>
      </c>
      <c r="B76">
        <v>2025</v>
      </c>
      <c r="C76">
        <v>4</v>
      </c>
      <c r="D76">
        <v>31</v>
      </c>
      <c r="E76">
        <v>3</v>
      </c>
      <c r="F76" t="str">
        <v>52BK688</v>
      </c>
      <c r="G76">
        <v>64.5</v>
      </c>
      <c r="H76" t="str">
        <v>hour</v>
      </c>
      <c r="J76">
        <v>50</v>
      </c>
      <c r="K76" s="123">
        <v>45748</v>
      </c>
    </row>
    <row r="77" spans="1:11" hidden="1" x14ac:dyDescent="0.25">
      <c r="A77">
        <v>76</v>
      </c>
      <c r="B77">
        <v>2025</v>
      </c>
      <c r="C77">
        <v>4</v>
      </c>
      <c r="D77">
        <v>31</v>
      </c>
      <c r="E77">
        <v>3</v>
      </c>
      <c r="F77" t="str">
        <v>99LM412</v>
      </c>
      <c r="G77">
        <v>49.799999999999969</v>
      </c>
      <c r="H77" t="str">
        <v>hour</v>
      </c>
      <c r="J77">
        <v>115</v>
      </c>
      <c r="K77" s="123">
        <v>45748</v>
      </c>
    </row>
    <row r="78" spans="1:11" hidden="1" x14ac:dyDescent="0.25">
      <c r="A78">
        <v>77</v>
      </c>
      <c r="B78">
        <v>2025</v>
      </c>
      <c r="C78">
        <v>4</v>
      </c>
      <c r="D78">
        <v>31</v>
      </c>
      <c r="E78">
        <v>3</v>
      </c>
      <c r="F78" t="str">
        <v>50BD165</v>
      </c>
      <c r="G78">
        <v>20.999999999999972</v>
      </c>
      <c r="H78" t="str">
        <v>hour</v>
      </c>
      <c r="J78">
        <v>40</v>
      </c>
      <c r="K78" s="123">
        <v>45748</v>
      </c>
    </row>
    <row r="79" spans="1:11" hidden="1" x14ac:dyDescent="0.25">
      <c r="A79">
        <v>78</v>
      </c>
      <c r="B79">
        <v>2025</v>
      </c>
      <c r="C79">
        <v>4</v>
      </c>
      <c r="D79">
        <v>52</v>
      </c>
      <c r="E79">
        <v>1</v>
      </c>
      <c r="F79" t="str">
        <v>10AC750</v>
      </c>
      <c r="G79">
        <v>6.9999999999999982</v>
      </c>
      <c r="H79" t="str">
        <v>hour</v>
      </c>
      <c r="J79">
        <v>2</v>
      </c>
      <c r="K79" s="123">
        <v>45748</v>
      </c>
    </row>
    <row r="80" spans="1:11" hidden="1" x14ac:dyDescent="0.25">
      <c r="A80">
        <v>79</v>
      </c>
      <c r="B80">
        <v>2025</v>
      </c>
      <c r="C80">
        <v>5</v>
      </c>
      <c r="D80">
        <v>31</v>
      </c>
      <c r="E80">
        <v>4</v>
      </c>
      <c r="F80" t="str">
        <v>99HZ395</v>
      </c>
      <c r="G80">
        <v>30</v>
      </c>
      <c r="H80" t="str">
        <v>single</v>
      </c>
      <c r="J80">
        <v>3</v>
      </c>
      <c r="K80" s="123">
        <v>45778</v>
      </c>
    </row>
    <row r="81" spans="1:11" hidden="1" x14ac:dyDescent="0.25">
      <c r="A81">
        <v>80</v>
      </c>
      <c r="B81">
        <v>2025</v>
      </c>
      <c r="C81">
        <v>5</v>
      </c>
      <c r="D81">
        <v>31</v>
      </c>
      <c r="E81">
        <v>4</v>
      </c>
      <c r="F81" t="str">
        <v>90ZP408</v>
      </c>
      <c r="G81">
        <v>26</v>
      </c>
      <c r="H81" t="str">
        <v>single</v>
      </c>
      <c r="J81">
        <v>11</v>
      </c>
      <c r="K81" s="123">
        <v>45778</v>
      </c>
    </row>
    <row r="82" spans="1:11" hidden="1" x14ac:dyDescent="0.25">
      <c r="A82">
        <v>81</v>
      </c>
      <c r="B82">
        <v>2025</v>
      </c>
      <c r="C82">
        <v>5</v>
      </c>
      <c r="D82">
        <v>31</v>
      </c>
      <c r="E82">
        <v>4</v>
      </c>
      <c r="F82" t="str">
        <v>66CC029</v>
      </c>
      <c r="G82">
        <v>31</v>
      </c>
      <c r="H82" t="str">
        <v>single</v>
      </c>
      <c r="J82">
        <v>15</v>
      </c>
      <c r="K82" s="123">
        <v>45778</v>
      </c>
    </row>
    <row r="83" spans="1:11" hidden="1" x14ac:dyDescent="0.25">
      <c r="A83">
        <v>82</v>
      </c>
      <c r="B83">
        <v>2025</v>
      </c>
      <c r="C83">
        <v>5</v>
      </c>
      <c r="D83">
        <v>31</v>
      </c>
      <c r="E83">
        <v>4</v>
      </c>
      <c r="F83" t="str">
        <v>77QK725</v>
      </c>
      <c r="G83">
        <v>15</v>
      </c>
      <c r="H83" t="str">
        <v>single</v>
      </c>
      <c r="J83">
        <v>17</v>
      </c>
      <c r="K83" s="123">
        <v>45778</v>
      </c>
    </row>
    <row r="84" spans="1:11" hidden="1" x14ac:dyDescent="0.25">
      <c r="A84">
        <v>83</v>
      </c>
      <c r="B84">
        <v>2025</v>
      </c>
      <c r="C84">
        <v>5</v>
      </c>
      <c r="D84">
        <v>31</v>
      </c>
      <c r="E84">
        <v>4</v>
      </c>
      <c r="F84" t="str">
        <v>77AT386</v>
      </c>
      <c r="G84">
        <v>31</v>
      </c>
      <c r="H84" t="str">
        <v>single</v>
      </c>
      <c r="J84">
        <v>13</v>
      </c>
      <c r="K84" s="123">
        <v>45778</v>
      </c>
    </row>
    <row r="85" spans="1:11" hidden="1" x14ac:dyDescent="0.25">
      <c r="A85">
        <v>84</v>
      </c>
      <c r="B85">
        <v>2025</v>
      </c>
      <c r="C85">
        <v>5</v>
      </c>
      <c r="D85">
        <v>31</v>
      </c>
      <c r="E85">
        <v>4</v>
      </c>
      <c r="F85" t="str">
        <v>90SL686</v>
      </c>
      <c r="G85">
        <v>31</v>
      </c>
      <c r="H85" t="str">
        <v>single</v>
      </c>
      <c r="J85">
        <v>19</v>
      </c>
      <c r="K85" s="123">
        <v>45778</v>
      </c>
    </row>
    <row r="86" spans="1:11" hidden="1" x14ac:dyDescent="0.25">
      <c r="A86">
        <v>85</v>
      </c>
      <c r="B86">
        <v>2025</v>
      </c>
      <c r="C86">
        <v>5</v>
      </c>
      <c r="D86">
        <v>31</v>
      </c>
      <c r="E86">
        <v>4</v>
      </c>
      <c r="F86" t="str">
        <v>55CB633</v>
      </c>
      <c r="G86">
        <v>29</v>
      </c>
      <c r="H86" t="str">
        <v>single</v>
      </c>
      <c r="J86">
        <v>57</v>
      </c>
      <c r="K86" s="123">
        <v>45778</v>
      </c>
    </row>
    <row r="87" spans="1:11" hidden="1" x14ac:dyDescent="0.25">
      <c r="A87">
        <v>86</v>
      </c>
      <c r="B87">
        <v>2025</v>
      </c>
      <c r="C87">
        <v>5</v>
      </c>
      <c r="D87">
        <v>31</v>
      </c>
      <c r="E87">
        <v>4</v>
      </c>
      <c r="F87" t="str">
        <v>99BT339</v>
      </c>
      <c r="G87">
        <v>39</v>
      </c>
      <c r="H87" t="str">
        <v>single</v>
      </c>
      <c r="J87">
        <v>93</v>
      </c>
      <c r="K87" s="123">
        <v>45778</v>
      </c>
    </row>
    <row r="88" spans="1:11" hidden="1" x14ac:dyDescent="0.25">
      <c r="A88">
        <v>87</v>
      </c>
      <c r="B88">
        <v>2025</v>
      </c>
      <c r="C88">
        <v>5</v>
      </c>
      <c r="D88">
        <v>31</v>
      </c>
      <c r="E88">
        <v>4</v>
      </c>
      <c r="F88" t="str">
        <v>77ET143</v>
      </c>
      <c r="G88">
        <v>30</v>
      </c>
      <c r="H88" t="str">
        <v>single</v>
      </c>
      <c r="J88">
        <v>59</v>
      </c>
      <c r="K88" s="123">
        <v>45778</v>
      </c>
    </row>
    <row r="89" spans="1:11" hidden="1" x14ac:dyDescent="0.25">
      <c r="A89">
        <v>88</v>
      </c>
      <c r="B89">
        <v>2025</v>
      </c>
      <c r="C89">
        <v>5</v>
      </c>
      <c r="D89">
        <v>31</v>
      </c>
      <c r="E89">
        <v>4</v>
      </c>
      <c r="F89" t="str">
        <v>50DK730</v>
      </c>
      <c r="G89">
        <v>31</v>
      </c>
      <c r="H89" t="str">
        <v>single</v>
      </c>
      <c r="J89">
        <v>47</v>
      </c>
      <c r="K89" s="123">
        <v>45778</v>
      </c>
    </row>
    <row r="90" spans="1:11" hidden="1" x14ac:dyDescent="0.25">
      <c r="A90">
        <v>89</v>
      </c>
      <c r="B90">
        <v>2025</v>
      </c>
      <c r="C90">
        <v>5</v>
      </c>
      <c r="D90">
        <v>31</v>
      </c>
      <c r="E90">
        <v>4</v>
      </c>
      <c r="F90" t="str">
        <v>99MN472</v>
      </c>
      <c r="G90">
        <v>31</v>
      </c>
      <c r="H90" t="str">
        <v>single</v>
      </c>
      <c r="J90">
        <v>108</v>
      </c>
      <c r="K90" s="123">
        <v>45778</v>
      </c>
    </row>
    <row r="91" spans="1:11" hidden="1" x14ac:dyDescent="0.25">
      <c r="A91">
        <v>90</v>
      </c>
      <c r="B91">
        <v>2025</v>
      </c>
      <c r="C91">
        <v>5</v>
      </c>
      <c r="D91">
        <v>31</v>
      </c>
      <c r="E91">
        <v>4</v>
      </c>
      <c r="F91" t="str">
        <v>99LM412</v>
      </c>
      <c r="G91">
        <v>31</v>
      </c>
      <c r="H91" t="str">
        <v>single</v>
      </c>
      <c r="J91">
        <v>116</v>
      </c>
      <c r="K91" s="123">
        <v>45778</v>
      </c>
    </row>
    <row r="92" spans="1:11" hidden="1" x14ac:dyDescent="0.25">
      <c r="A92">
        <v>91</v>
      </c>
      <c r="B92">
        <v>2025</v>
      </c>
      <c r="C92">
        <v>5</v>
      </c>
      <c r="D92">
        <v>31</v>
      </c>
      <c r="E92">
        <v>4</v>
      </c>
      <c r="F92" t="str">
        <v>50BD165</v>
      </c>
      <c r="G92">
        <v>31</v>
      </c>
      <c r="H92" t="str">
        <v>single</v>
      </c>
      <c r="J92">
        <v>41</v>
      </c>
      <c r="K92" s="123">
        <v>45778</v>
      </c>
    </row>
    <row r="93" spans="1:11" hidden="1" x14ac:dyDescent="0.25">
      <c r="A93">
        <v>92</v>
      </c>
      <c r="B93">
        <v>2025</v>
      </c>
      <c r="C93">
        <v>5</v>
      </c>
      <c r="D93">
        <v>31</v>
      </c>
      <c r="E93">
        <v>4</v>
      </c>
      <c r="F93" t="str">
        <v>77QE133</v>
      </c>
      <c r="G93">
        <v>28</v>
      </c>
      <c r="H93" t="str">
        <v>single</v>
      </c>
      <c r="J93">
        <v>69</v>
      </c>
      <c r="K93" s="123">
        <v>45778</v>
      </c>
    </row>
    <row r="94" spans="1:11" hidden="1" x14ac:dyDescent="0.25">
      <c r="A94">
        <v>93</v>
      </c>
      <c r="B94">
        <v>2025</v>
      </c>
      <c r="C94">
        <v>5</v>
      </c>
      <c r="D94">
        <v>31</v>
      </c>
      <c r="E94">
        <v>4</v>
      </c>
      <c r="F94" t="str">
        <v>90VS316</v>
      </c>
      <c r="G94">
        <v>30</v>
      </c>
      <c r="H94" t="str">
        <v>single</v>
      </c>
      <c r="J94">
        <v>87</v>
      </c>
      <c r="K94" s="123">
        <v>45778</v>
      </c>
    </row>
    <row r="95" spans="1:11" hidden="1" x14ac:dyDescent="0.25">
      <c r="A95">
        <v>94</v>
      </c>
      <c r="B95">
        <v>2025</v>
      </c>
      <c r="C95">
        <v>5</v>
      </c>
      <c r="D95">
        <v>31</v>
      </c>
      <c r="E95">
        <v>4</v>
      </c>
      <c r="F95" t="str">
        <v>99EM163</v>
      </c>
      <c r="G95">
        <v>4</v>
      </c>
      <c r="H95" t="str">
        <v>single</v>
      </c>
      <c r="J95">
        <v>100</v>
      </c>
      <c r="K95" s="123">
        <v>45778</v>
      </c>
    </row>
    <row r="96" spans="1:11" hidden="1" x14ac:dyDescent="0.25">
      <c r="A96">
        <v>95</v>
      </c>
      <c r="B96">
        <v>2025</v>
      </c>
      <c r="C96">
        <v>5</v>
      </c>
      <c r="D96">
        <v>31</v>
      </c>
      <c r="E96">
        <v>4</v>
      </c>
      <c r="F96" t="str">
        <v>53BB774</v>
      </c>
      <c r="G96">
        <v>4</v>
      </c>
      <c r="H96" t="str">
        <v>single</v>
      </c>
      <c r="J96">
        <v>53</v>
      </c>
      <c r="K96" s="123">
        <v>45778</v>
      </c>
    </row>
    <row r="97" spans="1:11" hidden="1" x14ac:dyDescent="0.25">
      <c r="A97">
        <v>96</v>
      </c>
      <c r="B97">
        <v>2025</v>
      </c>
      <c r="C97">
        <v>5</v>
      </c>
      <c r="D97">
        <v>46</v>
      </c>
      <c r="E97">
        <v>1</v>
      </c>
      <c r="F97" t="str">
        <v>110FY523</v>
      </c>
      <c r="G97">
        <v>8</v>
      </c>
      <c r="H97" t="str">
        <v>single</v>
      </c>
      <c r="J97">
        <v>1</v>
      </c>
      <c r="K97" s="123">
        <v>45778</v>
      </c>
    </row>
    <row r="98" spans="1:11" hidden="1" x14ac:dyDescent="0.25">
      <c r="A98">
        <v>97</v>
      </c>
      <c r="B98">
        <v>2025</v>
      </c>
      <c r="C98">
        <v>5</v>
      </c>
      <c r="D98">
        <v>52</v>
      </c>
      <c r="E98">
        <v>2</v>
      </c>
      <c r="F98" t="str">
        <v>10AC750</v>
      </c>
      <c r="G98">
        <v>30</v>
      </c>
      <c r="H98" t="str">
        <v>single</v>
      </c>
      <c r="J98">
        <v>1</v>
      </c>
      <c r="K98" s="123">
        <v>45778</v>
      </c>
    </row>
    <row r="99" spans="1:11" hidden="1" x14ac:dyDescent="0.25">
      <c r="A99">
        <v>98</v>
      </c>
      <c r="B99">
        <v>2025</v>
      </c>
      <c r="C99">
        <v>5</v>
      </c>
      <c r="D99">
        <v>52</v>
      </c>
      <c r="E99">
        <v>2</v>
      </c>
      <c r="F99" t="str">
        <v>10BC326</v>
      </c>
      <c r="G99">
        <v>11</v>
      </c>
      <c r="H99" t="str">
        <v>single</v>
      </c>
      <c r="J99">
        <v>3</v>
      </c>
      <c r="K99" s="123">
        <v>45778</v>
      </c>
    </row>
    <row r="100" spans="1:11" hidden="1" x14ac:dyDescent="0.25">
      <c r="A100">
        <v>99</v>
      </c>
      <c r="B100">
        <v>2025</v>
      </c>
      <c r="C100">
        <v>5</v>
      </c>
      <c r="D100">
        <v>52</v>
      </c>
      <c r="E100">
        <v>3</v>
      </c>
      <c r="F100" t="str">
        <v>10BC326</v>
      </c>
      <c r="G100">
        <v>27</v>
      </c>
      <c r="H100" t="str">
        <v>single</v>
      </c>
      <c r="J100">
        <v>3</v>
      </c>
      <c r="K100" s="123">
        <v>45778</v>
      </c>
    </row>
    <row r="101" spans="1:11" hidden="1" x14ac:dyDescent="0.25">
      <c r="A101">
        <v>100</v>
      </c>
      <c r="B101">
        <v>2025</v>
      </c>
      <c r="C101">
        <v>5</v>
      </c>
      <c r="D101">
        <v>65</v>
      </c>
      <c r="E101">
        <v>1</v>
      </c>
      <c r="F101" t="str">
        <v>01BA176</v>
      </c>
      <c r="G101">
        <v>25</v>
      </c>
      <c r="H101" t="str">
        <v>single</v>
      </c>
      <c r="J101">
        <v>1</v>
      </c>
      <c r="K101" s="123">
        <v>45778</v>
      </c>
    </row>
    <row r="102" spans="1:11" hidden="1" x14ac:dyDescent="0.25">
      <c r="A102">
        <v>101</v>
      </c>
      <c r="B102">
        <v>2025</v>
      </c>
      <c r="C102">
        <v>5</v>
      </c>
      <c r="D102">
        <v>65</v>
      </c>
      <c r="E102">
        <v>1</v>
      </c>
      <c r="F102" t="str">
        <v>10BD252</v>
      </c>
      <c r="G102">
        <v>22</v>
      </c>
      <c r="H102" t="str">
        <v>single</v>
      </c>
      <c r="J102">
        <v>2</v>
      </c>
      <c r="K102" s="123">
        <v>45778</v>
      </c>
    </row>
    <row r="103" spans="1:11" hidden="1" x14ac:dyDescent="0.25">
      <c r="A103">
        <v>102</v>
      </c>
      <c r="B103">
        <v>2025</v>
      </c>
      <c r="C103">
        <v>5</v>
      </c>
      <c r="D103">
        <v>31</v>
      </c>
      <c r="E103">
        <v>4</v>
      </c>
      <c r="F103" t="str">
        <v>66CC029</v>
      </c>
      <c r="G103">
        <v>93</v>
      </c>
      <c r="H103" t="str">
        <v>hour</v>
      </c>
      <c r="J103">
        <v>16</v>
      </c>
      <c r="K103" s="123">
        <v>45778</v>
      </c>
    </row>
    <row r="104" spans="1:11" hidden="1" x14ac:dyDescent="0.25">
      <c r="A104">
        <v>103</v>
      </c>
      <c r="B104">
        <v>2025</v>
      </c>
      <c r="C104">
        <v>5</v>
      </c>
      <c r="D104">
        <v>31</v>
      </c>
      <c r="E104">
        <v>4</v>
      </c>
      <c r="F104" t="str">
        <v>90SL686</v>
      </c>
      <c r="G104">
        <v>82.499999999999986</v>
      </c>
      <c r="H104" t="str">
        <v>hour</v>
      </c>
      <c r="J104">
        <v>20</v>
      </c>
      <c r="K104" s="123">
        <v>45778</v>
      </c>
    </row>
    <row r="105" spans="1:11" hidden="1" x14ac:dyDescent="0.25">
      <c r="A105">
        <v>104</v>
      </c>
      <c r="B105">
        <v>2025</v>
      </c>
      <c r="C105">
        <v>5</v>
      </c>
      <c r="D105">
        <v>31</v>
      </c>
      <c r="E105">
        <v>4</v>
      </c>
      <c r="F105" t="str">
        <v>55CB633</v>
      </c>
      <c r="G105">
        <v>68.999999999999972</v>
      </c>
      <c r="H105" t="str">
        <v>hour</v>
      </c>
      <c r="J105">
        <v>56</v>
      </c>
      <c r="K105" s="123">
        <v>45778</v>
      </c>
    </row>
    <row r="106" spans="1:11" hidden="1" x14ac:dyDescent="0.25">
      <c r="A106">
        <v>105</v>
      </c>
      <c r="B106">
        <v>2025</v>
      </c>
      <c r="C106">
        <v>5</v>
      </c>
      <c r="D106">
        <v>31</v>
      </c>
      <c r="E106">
        <v>4</v>
      </c>
      <c r="F106" t="str">
        <v>99BT339</v>
      </c>
      <c r="G106">
        <v>39.999999999999957</v>
      </c>
      <c r="H106" t="str">
        <v>hour</v>
      </c>
      <c r="J106">
        <v>92</v>
      </c>
      <c r="K106" s="123">
        <v>45778</v>
      </c>
    </row>
    <row r="107" spans="1:11" hidden="1" x14ac:dyDescent="0.25">
      <c r="A107">
        <v>106</v>
      </c>
      <c r="B107">
        <v>2025</v>
      </c>
      <c r="C107">
        <v>5</v>
      </c>
      <c r="D107">
        <v>31</v>
      </c>
      <c r="E107">
        <v>4</v>
      </c>
      <c r="F107" t="str">
        <v>50DK730</v>
      </c>
      <c r="G107">
        <v>99.999999999999986</v>
      </c>
      <c r="H107" t="str">
        <v>hour</v>
      </c>
      <c r="J107">
        <v>46</v>
      </c>
      <c r="K107" s="123">
        <v>45778</v>
      </c>
    </row>
    <row r="108" spans="1:11" hidden="1" x14ac:dyDescent="0.25">
      <c r="A108">
        <v>107</v>
      </c>
      <c r="B108">
        <v>2025</v>
      </c>
      <c r="C108">
        <v>5</v>
      </c>
      <c r="D108">
        <v>31</v>
      </c>
      <c r="E108">
        <v>4</v>
      </c>
      <c r="F108" t="str">
        <v>99MN472</v>
      </c>
      <c r="G108">
        <v>61.999999999999943</v>
      </c>
      <c r="H108" t="str">
        <v>hour</v>
      </c>
      <c r="J108">
        <v>107</v>
      </c>
      <c r="K108" s="123">
        <v>45778</v>
      </c>
    </row>
    <row r="109" spans="1:11" hidden="1" x14ac:dyDescent="0.25">
      <c r="A109">
        <v>108</v>
      </c>
      <c r="B109">
        <v>2025</v>
      </c>
      <c r="C109">
        <v>5</v>
      </c>
      <c r="D109">
        <v>31</v>
      </c>
      <c r="E109">
        <v>4</v>
      </c>
      <c r="F109" t="str">
        <v>99LM412</v>
      </c>
      <c r="G109">
        <v>37.999999999999972</v>
      </c>
      <c r="H109" t="str">
        <v>hour</v>
      </c>
      <c r="J109">
        <v>115</v>
      </c>
      <c r="K109" s="123">
        <v>45778</v>
      </c>
    </row>
    <row r="110" spans="1:11" hidden="1" x14ac:dyDescent="0.25">
      <c r="A110">
        <v>109</v>
      </c>
      <c r="B110">
        <v>2025</v>
      </c>
      <c r="C110">
        <v>5</v>
      </c>
      <c r="D110">
        <v>31</v>
      </c>
      <c r="E110">
        <v>4</v>
      </c>
      <c r="F110" t="str">
        <v>50BD165</v>
      </c>
      <c r="G110">
        <v>51.999999999999957</v>
      </c>
      <c r="H110" t="str">
        <v>hour</v>
      </c>
      <c r="J110">
        <v>40</v>
      </c>
      <c r="K110" s="123">
        <v>45778</v>
      </c>
    </row>
    <row r="111" spans="1:11" hidden="1" x14ac:dyDescent="0.25">
      <c r="A111">
        <v>110</v>
      </c>
      <c r="B111">
        <v>2025</v>
      </c>
      <c r="C111">
        <v>5</v>
      </c>
      <c r="D111">
        <v>31</v>
      </c>
      <c r="E111">
        <v>4</v>
      </c>
      <c r="F111" t="str">
        <v>90VS316</v>
      </c>
      <c r="G111">
        <v>48.999999999999972</v>
      </c>
      <c r="H111" t="str">
        <v>hour</v>
      </c>
      <c r="J111">
        <v>86</v>
      </c>
      <c r="K111" s="123">
        <v>45778</v>
      </c>
    </row>
    <row r="112" spans="1:11" hidden="1" x14ac:dyDescent="0.25">
      <c r="A112">
        <v>111</v>
      </c>
      <c r="B112">
        <v>2025</v>
      </c>
      <c r="C112">
        <v>6</v>
      </c>
      <c r="D112">
        <v>31</v>
      </c>
      <c r="E112">
        <v>5</v>
      </c>
      <c r="F112" t="str">
        <v>01CC689</v>
      </c>
      <c r="G112">
        <v>29</v>
      </c>
      <c r="H112" t="str">
        <v>single</v>
      </c>
      <c r="J112">
        <v>26</v>
      </c>
      <c r="K112" s="123">
        <v>45809</v>
      </c>
    </row>
    <row r="113" spans="1:11" hidden="1" x14ac:dyDescent="0.25">
      <c r="A113">
        <v>112</v>
      </c>
      <c r="B113">
        <v>2025</v>
      </c>
      <c r="C113">
        <v>6</v>
      </c>
      <c r="D113">
        <v>31</v>
      </c>
      <c r="E113">
        <v>5</v>
      </c>
      <c r="F113" t="str">
        <v>50BD165</v>
      </c>
      <c r="G113">
        <v>28</v>
      </c>
      <c r="H113" t="str">
        <v>single</v>
      </c>
      <c r="J113">
        <v>41</v>
      </c>
      <c r="K113" s="123">
        <v>45809</v>
      </c>
    </row>
    <row r="114" spans="1:11" hidden="1" x14ac:dyDescent="0.25">
      <c r="A114">
        <v>113</v>
      </c>
      <c r="B114">
        <v>2025</v>
      </c>
      <c r="C114">
        <v>6</v>
      </c>
      <c r="D114">
        <v>31</v>
      </c>
      <c r="E114">
        <v>5</v>
      </c>
      <c r="F114" t="str">
        <v>50DK730</v>
      </c>
      <c r="G114">
        <v>29</v>
      </c>
      <c r="H114" t="str">
        <v>single</v>
      </c>
      <c r="J114">
        <v>47</v>
      </c>
      <c r="K114" s="123">
        <v>45809</v>
      </c>
    </row>
    <row r="115" spans="1:11" hidden="1" x14ac:dyDescent="0.25">
      <c r="A115">
        <v>114</v>
      </c>
      <c r="B115">
        <v>2025</v>
      </c>
      <c r="C115">
        <v>6</v>
      </c>
      <c r="D115">
        <v>31</v>
      </c>
      <c r="E115">
        <v>5</v>
      </c>
      <c r="F115" t="str">
        <v>53BB774</v>
      </c>
      <c r="G115">
        <v>28</v>
      </c>
      <c r="H115" t="str">
        <v>single</v>
      </c>
      <c r="J115">
        <v>53</v>
      </c>
      <c r="K115" s="123">
        <v>45809</v>
      </c>
    </row>
    <row r="116" spans="1:11" hidden="1" x14ac:dyDescent="0.25">
      <c r="A116">
        <v>115</v>
      </c>
      <c r="B116">
        <v>2025</v>
      </c>
      <c r="C116">
        <v>6</v>
      </c>
      <c r="D116">
        <v>31</v>
      </c>
      <c r="E116">
        <v>5</v>
      </c>
      <c r="F116" t="str">
        <v>55CB633</v>
      </c>
      <c r="G116">
        <v>27</v>
      </c>
      <c r="H116" t="str">
        <v>single</v>
      </c>
      <c r="J116">
        <v>57</v>
      </c>
      <c r="K116" s="123">
        <v>45809</v>
      </c>
    </row>
    <row r="117" spans="1:11" hidden="1" x14ac:dyDescent="0.25">
      <c r="A117">
        <v>116</v>
      </c>
      <c r="B117">
        <v>2025</v>
      </c>
      <c r="C117">
        <v>6</v>
      </c>
      <c r="D117">
        <v>31</v>
      </c>
      <c r="E117">
        <v>5</v>
      </c>
      <c r="F117" t="str">
        <v>77AT386</v>
      </c>
      <c r="G117">
        <v>30</v>
      </c>
      <c r="H117" t="str">
        <v>single</v>
      </c>
      <c r="J117">
        <v>13</v>
      </c>
      <c r="K117" s="123">
        <v>45809</v>
      </c>
    </row>
    <row r="118" spans="1:11" hidden="1" x14ac:dyDescent="0.25">
      <c r="A118">
        <v>117</v>
      </c>
      <c r="B118">
        <v>2025</v>
      </c>
      <c r="C118">
        <v>6</v>
      </c>
      <c r="D118">
        <v>31</v>
      </c>
      <c r="E118">
        <v>5</v>
      </c>
      <c r="F118" t="str">
        <v>77GR998</v>
      </c>
      <c r="G118">
        <v>1</v>
      </c>
      <c r="H118" t="str">
        <v>single</v>
      </c>
      <c r="J118">
        <v>65</v>
      </c>
      <c r="K118" s="123">
        <v>45809</v>
      </c>
    </row>
    <row r="119" spans="1:11" hidden="1" x14ac:dyDescent="0.25">
      <c r="A119">
        <v>118</v>
      </c>
      <c r="B119">
        <v>2025</v>
      </c>
      <c r="C119">
        <v>6</v>
      </c>
      <c r="D119">
        <v>31</v>
      </c>
      <c r="E119">
        <v>5</v>
      </c>
      <c r="F119" t="str">
        <v>77QE133</v>
      </c>
      <c r="G119">
        <v>32</v>
      </c>
      <c r="H119" t="str">
        <v>single</v>
      </c>
      <c r="J119">
        <v>69</v>
      </c>
      <c r="K119" s="123">
        <v>45809</v>
      </c>
    </row>
    <row r="120" spans="1:11" hidden="1" x14ac:dyDescent="0.25">
      <c r="A120">
        <v>119</v>
      </c>
      <c r="B120">
        <v>2025</v>
      </c>
      <c r="C120">
        <v>6</v>
      </c>
      <c r="D120">
        <v>31</v>
      </c>
      <c r="E120">
        <v>5</v>
      </c>
      <c r="F120" t="str">
        <v>77QK725</v>
      </c>
      <c r="G120">
        <v>15</v>
      </c>
      <c r="H120" t="str">
        <v>single</v>
      </c>
      <c r="J120">
        <v>17</v>
      </c>
      <c r="K120" s="123">
        <v>45809</v>
      </c>
    </row>
    <row r="121" spans="1:11" hidden="1" x14ac:dyDescent="0.25">
      <c r="A121">
        <v>120</v>
      </c>
      <c r="B121">
        <v>2025</v>
      </c>
      <c r="C121">
        <v>6</v>
      </c>
      <c r="D121">
        <v>31</v>
      </c>
      <c r="E121">
        <v>5</v>
      </c>
      <c r="F121" t="str">
        <v>77UR032</v>
      </c>
      <c r="G121">
        <v>27</v>
      </c>
      <c r="H121" t="str">
        <v>single</v>
      </c>
      <c r="J121">
        <v>77</v>
      </c>
      <c r="K121" s="123">
        <v>45809</v>
      </c>
    </row>
    <row r="122" spans="1:11" hidden="1" x14ac:dyDescent="0.25">
      <c r="A122">
        <v>121</v>
      </c>
      <c r="B122">
        <v>2025</v>
      </c>
      <c r="C122">
        <v>6</v>
      </c>
      <c r="D122">
        <v>31</v>
      </c>
      <c r="E122">
        <v>5</v>
      </c>
      <c r="F122" t="str">
        <v>90PY548</v>
      </c>
      <c r="G122">
        <v>27</v>
      </c>
      <c r="H122" t="str">
        <v>single</v>
      </c>
      <c r="J122">
        <v>85</v>
      </c>
      <c r="K122" s="123">
        <v>45809</v>
      </c>
    </row>
    <row r="123" spans="1:11" hidden="1" x14ac:dyDescent="0.25">
      <c r="A123">
        <v>122</v>
      </c>
      <c r="B123">
        <v>2025</v>
      </c>
      <c r="C123">
        <v>6</v>
      </c>
      <c r="D123">
        <v>31</v>
      </c>
      <c r="E123">
        <v>5</v>
      </c>
      <c r="F123" t="str">
        <v>90SL686</v>
      </c>
      <c r="G123">
        <v>29</v>
      </c>
      <c r="H123" t="str">
        <v>single</v>
      </c>
      <c r="J123">
        <v>19</v>
      </c>
      <c r="K123" s="123">
        <v>45809</v>
      </c>
    </row>
    <row r="124" spans="1:11" hidden="1" x14ac:dyDescent="0.25">
      <c r="A124">
        <v>123</v>
      </c>
      <c r="B124">
        <v>2025</v>
      </c>
      <c r="C124">
        <v>6</v>
      </c>
      <c r="D124">
        <v>31</v>
      </c>
      <c r="E124">
        <v>5</v>
      </c>
      <c r="F124" t="str">
        <v>90VS316</v>
      </c>
      <c r="G124">
        <v>27</v>
      </c>
      <c r="H124" t="str">
        <v>single</v>
      </c>
      <c r="J124">
        <v>87</v>
      </c>
      <c r="K124" s="123">
        <v>45809</v>
      </c>
    </row>
    <row r="125" spans="1:11" hidden="1" x14ac:dyDescent="0.25">
      <c r="A125">
        <v>124</v>
      </c>
      <c r="B125">
        <v>2025</v>
      </c>
      <c r="C125">
        <v>6</v>
      </c>
      <c r="D125">
        <v>31</v>
      </c>
      <c r="E125">
        <v>5</v>
      </c>
      <c r="F125" t="str">
        <v>99BT339</v>
      </c>
      <c r="G125">
        <v>-15</v>
      </c>
      <c r="H125" t="str">
        <v>single</v>
      </c>
      <c r="J125">
        <v>93</v>
      </c>
      <c r="K125" s="123">
        <v>45809</v>
      </c>
    </row>
    <row r="126" spans="1:11" hidden="1" x14ac:dyDescent="0.25">
      <c r="A126">
        <v>125</v>
      </c>
      <c r="B126">
        <v>2025</v>
      </c>
      <c r="C126">
        <v>6</v>
      </c>
      <c r="D126">
        <v>31</v>
      </c>
      <c r="E126">
        <v>5</v>
      </c>
      <c r="F126" t="str">
        <v>99EM163</v>
      </c>
      <c r="G126">
        <v>27</v>
      </c>
      <c r="H126" t="str">
        <v>single</v>
      </c>
      <c r="J126">
        <v>100</v>
      </c>
      <c r="K126" s="123">
        <v>45809</v>
      </c>
    </row>
    <row r="127" spans="1:11" hidden="1" x14ac:dyDescent="0.25">
      <c r="A127">
        <v>126</v>
      </c>
      <c r="B127">
        <v>2025</v>
      </c>
      <c r="C127">
        <v>6</v>
      </c>
      <c r="D127">
        <v>31</v>
      </c>
      <c r="E127">
        <v>5</v>
      </c>
      <c r="F127" t="str">
        <v>99HZ395</v>
      </c>
      <c r="G127">
        <v>30</v>
      </c>
      <c r="H127" t="str">
        <v>single</v>
      </c>
      <c r="J127">
        <v>3</v>
      </c>
      <c r="K127" s="123">
        <v>45809</v>
      </c>
    </row>
    <row r="128" spans="1:11" hidden="1" x14ac:dyDescent="0.25">
      <c r="A128">
        <v>127</v>
      </c>
      <c r="B128">
        <v>2025</v>
      </c>
      <c r="C128">
        <v>6</v>
      </c>
      <c r="D128">
        <v>31</v>
      </c>
      <c r="E128">
        <v>5</v>
      </c>
      <c r="F128" t="str">
        <v>99LM412</v>
      </c>
      <c r="G128">
        <v>29</v>
      </c>
      <c r="H128" t="str">
        <v>single</v>
      </c>
      <c r="J128">
        <v>116</v>
      </c>
      <c r="K128" s="123">
        <v>45809</v>
      </c>
    </row>
    <row r="129" spans="1:11" hidden="1" x14ac:dyDescent="0.25">
      <c r="A129">
        <v>128</v>
      </c>
      <c r="B129">
        <v>2025</v>
      </c>
      <c r="C129">
        <v>6</v>
      </c>
      <c r="D129">
        <v>31</v>
      </c>
      <c r="E129">
        <v>5</v>
      </c>
      <c r="F129" t="str">
        <v>99MN472</v>
      </c>
      <c r="G129">
        <v>29</v>
      </c>
      <c r="H129" t="str">
        <v>single</v>
      </c>
      <c r="J129">
        <v>108</v>
      </c>
      <c r="K129" s="123">
        <v>45809</v>
      </c>
    </row>
    <row r="130" spans="1:11" hidden="1" x14ac:dyDescent="0.25">
      <c r="A130">
        <v>129</v>
      </c>
      <c r="B130">
        <v>2025</v>
      </c>
      <c r="C130">
        <v>6</v>
      </c>
      <c r="D130">
        <v>46</v>
      </c>
      <c r="E130">
        <v>2</v>
      </c>
      <c r="F130" t="str">
        <v>110FY523</v>
      </c>
      <c r="G130">
        <v>27</v>
      </c>
      <c r="H130" t="str">
        <v>single</v>
      </c>
      <c r="J130">
        <v>1</v>
      </c>
      <c r="K130" s="123">
        <v>45809</v>
      </c>
    </row>
    <row r="131" spans="1:11" hidden="1" x14ac:dyDescent="0.25">
      <c r="A131">
        <v>130</v>
      </c>
      <c r="B131">
        <v>2025</v>
      </c>
      <c r="C131">
        <v>6</v>
      </c>
      <c r="D131">
        <v>46</v>
      </c>
      <c r="E131">
        <v>2</v>
      </c>
      <c r="F131" t="str">
        <v>10AD801</v>
      </c>
      <c r="G131">
        <v>27</v>
      </c>
      <c r="H131" t="str">
        <v>single</v>
      </c>
      <c r="J131">
        <v>4</v>
      </c>
      <c r="K131" s="123">
        <v>45809</v>
      </c>
    </row>
    <row r="132" spans="1:11" hidden="1" x14ac:dyDescent="0.25">
      <c r="A132">
        <v>131</v>
      </c>
      <c r="B132">
        <v>2025</v>
      </c>
      <c r="C132">
        <v>6</v>
      </c>
      <c r="D132">
        <v>50</v>
      </c>
      <c r="E132">
        <v>1</v>
      </c>
      <c r="F132" t="str">
        <v>61AB256</v>
      </c>
      <c r="G132">
        <v>24.5</v>
      </c>
      <c r="H132" t="str">
        <v>single</v>
      </c>
      <c r="J132">
        <v>1</v>
      </c>
      <c r="K132" s="123">
        <v>45809</v>
      </c>
    </row>
    <row r="133" spans="1:11" hidden="1" x14ac:dyDescent="0.25">
      <c r="A133">
        <v>132</v>
      </c>
      <c r="B133">
        <v>2025</v>
      </c>
      <c r="C133">
        <v>6</v>
      </c>
      <c r="D133">
        <v>52</v>
      </c>
      <c r="E133">
        <v>3</v>
      </c>
      <c r="F133" t="str">
        <v>10AC750</v>
      </c>
      <c r="G133">
        <v>18.5</v>
      </c>
      <c r="H133" t="str">
        <v>single</v>
      </c>
      <c r="J133">
        <v>1</v>
      </c>
      <c r="K133" s="123">
        <v>45809</v>
      </c>
    </row>
    <row r="134" spans="1:11" hidden="1" x14ac:dyDescent="0.25">
      <c r="A134">
        <v>133</v>
      </c>
      <c r="B134">
        <v>2025</v>
      </c>
      <c r="C134">
        <v>6</v>
      </c>
      <c r="D134">
        <v>65</v>
      </c>
      <c r="E134">
        <v>2</v>
      </c>
      <c r="F134" t="str">
        <v>01BA176</v>
      </c>
      <c r="G134">
        <v>23.5</v>
      </c>
      <c r="H134" t="str">
        <v>single</v>
      </c>
      <c r="J134">
        <v>1</v>
      </c>
      <c r="K134" s="123">
        <v>45809</v>
      </c>
    </row>
    <row r="135" spans="1:11" hidden="1" x14ac:dyDescent="0.25">
      <c r="A135">
        <v>134</v>
      </c>
      <c r="B135">
        <v>2025</v>
      </c>
      <c r="C135">
        <v>6</v>
      </c>
      <c r="D135">
        <v>65</v>
      </c>
      <c r="E135">
        <v>2</v>
      </c>
      <c r="F135" t="str">
        <v>10BD252</v>
      </c>
      <c r="G135">
        <v>27</v>
      </c>
      <c r="H135" t="str">
        <v>single</v>
      </c>
      <c r="J135">
        <v>2</v>
      </c>
      <c r="K135" s="123">
        <v>45809</v>
      </c>
    </row>
    <row r="136" spans="1:11" hidden="1" x14ac:dyDescent="0.25">
      <c r="A136">
        <v>135</v>
      </c>
      <c r="B136">
        <v>2025</v>
      </c>
      <c r="C136">
        <v>6</v>
      </c>
      <c r="D136">
        <v>85</v>
      </c>
      <c r="E136">
        <v>1</v>
      </c>
      <c r="F136" t="str">
        <v>77SN951</v>
      </c>
      <c r="G136">
        <v>15</v>
      </c>
      <c r="H136" t="str">
        <v>single</v>
      </c>
      <c r="J136">
        <v>1</v>
      </c>
      <c r="K136" s="123">
        <v>45809</v>
      </c>
    </row>
    <row r="137" spans="1:11" hidden="1" x14ac:dyDescent="0.25">
      <c r="A137">
        <v>136</v>
      </c>
      <c r="B137">
        <v>2025</v>
      </c>
      <c r="C137">
        <v>6</v>
      </c>
      <c r="D137">
        <v>94</v>
      </c>
      <c r="E137">
        <v>1</v>
      </c>
      <c r="F137" t="str">
        <v>54BM823</v>
      </c>
      <c r="G137">
        <v>28</v>
      </c>
      <c r="H137" t="str">
        <v>single</v>
      </c>
      <c r="J137">
        <v>1</v>
      </c>
      <c r="K137" s="123">
        <v>45809</v>
      </c>
    </row>
    <row r="138" spans="1:11" hidden="1" x14ac:dyDescent="0.25">
      <c r="A138">
        <v>137</v>
      </c>
      <c r="B138">
        <v>2025</v>
      </c>
      <c r="C138">
        <v>6</v>
      </c>
      <c r="D138">
        <v>31</v>
      </c>
      <c r="E138">
        <v>5</v>
      </c>
      <c r="F138" t="str">
        <v>77GR998</v>
      </c>
      <c r="G138">
        <v>17</v>
      </c>
      <c r="H138" t="str">
        <v>double</v>
      </c>
      <c r="J138">
        <v>62</v>
      </c>
      <c r="K138" s="123">
        <v>45809</v>
      </c>
    </row>
    <row r="139" spans="1:11" hidden="1" x14ac:dyDescent="0.25">
      <c r="A139">
        <v>138</v>
      </c>
      <c r="B139">
        <v>2025</v>
      </c>
      <c r="C139">
        <v>6</v>
      </c>
      <c r="D139">
        <v>31</v>
      </c>
      <c r="E139">
        <v>5</v>
      </c>
      <c r="F139" t="str">
        <v>99BT339</v>
      </c>
      <c r="G139">
        <v>35</v>
      </c>
      <c r="H139" t="str">
        <v>double</v>
      </c>
      <c r="J139">
        <v>90</v>
      </c>
      <c r="K139" s="123">
        <v>45809</v>
      </c>
    </row>
    <row r="140" spans="1:11" hidden="1" x14ac:dyDescent="0.25">
      <c r="A140">
        <v>139</v>
      </c>
      <c r="B140">
        <v>2025</v>
      </c>
      <c r="C140">
        <v>6</v>
      </c>
      <c r="D140">
        <v>31</v>
      </c>
      <c r="E140">
        <v>5</v>
      </c>
      <c r="F140" t="str">
        <v>01CC689</v>
      </c>
      <c r="G140">
        <v>63</v>
      </c>
      <c r="H140" t="str">
        <v>hour</v>
      </c>
      <c r="J140">
        <v>25</v>
      </c>
      <c r="K140" s="123">
        <v>45809</v>
      </c>
    </row>
    <row r="141" spans="1:11" hidden="1" x14ac:dyDescent="0.25">
      <c r="A141">
        <v>140</v>
      </c>
      <c r="B141">
        <v>2025</v>
      </c>
      <c r="C141">
        <v>6</v>
      </c>
      <c r="D141">
        <v>31</v>
      </c>
      <c r="E141">
        <v>5</v>
      </c>
      <c r="F141" t="str">
        <v>50BD165</v>
      </c>
      <c r="G141">
        <v>75.999999999999986</v>
      </c>
      <c r="H141" t="str">
        <v>hour</v>
      </c>
      <c r="J141">
        <v>40</v>
      </c>
      <c r="K141" s="123">
        <v>45809</v>
      </c>
    </row>
    <row r="142" spans="1:11" hidden="1" x14ac:dyDescent="0.25">
      <c r="A142">
        <v>141</v>
      </c>
      <c r="B142">
        <v>2025</v>
      </c>
      <c r="C142">
        <v>6</v>
      </c>
      <c r="D142">
        <v>31</v>
      </c>
      <c r="E142">
        <v>5</v>
      </c>
      <c r="F142" t="str">
        <v>50DK730</v>
      </c>
      <c r="G142">
        <v>104.99999999999999</v>
      </c>
      <c r="H142" t="str">
        <v>hour</v>
      </c>
      <c r="J142">
        <v>46</v>
      </c>
      <c r="K142" s="123">
        <v>45809</v>
      </c>
    </row>
    <row r="143" spans="1:11" hidden="1" x14ac:dyDescent="0.25">
      <c r="A143">
        <v>142</v>
      </c>
      <c r="B143">
        <v>2025</v>
      </c>
      <c r="C143">
        <v>6</v>
      </c>
      <c r="D143">
        <v>31</v>
      </c>
      <c r="E143">
        <v>5</v>
      </c>
      <c r="F143" t="str">
        <v>53BB774</v>
      </c>
      <c r="G143">
        <v>44.999999999999993</v>
      </c>
      <c r="H143" t="str">
        <v>hour</v>
      </c>
      <c r="J143">
        <v>52</v>
      </c>
      <c r="K143" s="123">
        <v>45809</v>
      </c>
    </row>
    <row r="144" spans="1:11" hidden="1" x14ac:dyDescent="0.25">
      <c r="A144">
        <v>143</v>
      </c>
      <c r="B144">
        <v>2025</v>
      </c>
      <c r="C144">
        <v>6</v>
      </c>
      <c r="D144">
        <v>31</v>
      </c>
      <c r="E144">
        <v>5</v>
      </c>
      <c r="F144" t="str">
        <v>55CB633</v>
      </c>
      <c r="G144">
        <v>35.999999999999986</v>
      </c>
      <c r="H144" t="str">
        <v>hour</v>
      </c>
      <c r="J144">
        <v>56</v>
      </c>
      <c r="K144" s="123">
        <v>45809</v>
      </c>
    </row>
    <row r="145" spans="1:11" hidden="1" x14ac:dyDescent="0.25">
      <c r="A145">
        <v>144</v>
      </c>
      <c r="B145">
        <v>2025</v>
      </c>
      <c r="C145">
        <v>6</v>
      </c>
      <c r="D145">
        <v>31</v>
      </c>
      <c r="E145">
        <v>5</v>
      </c>
      <c r="F145" t="str">
        <v>90SL686</v>
      </c>
      <c r="G145">
        <v>89.499999999999986</v>
      </c>
      <c r="H145" t="str">
        <v>hour</v>
      </c>
      <c r="J145">
        <v>20</v>
      </c>
      <c r="K145" s="123">
        <v>45809</v>
      </c>
    </row>
    <row r="146" spans="1:11" hidden="1" x14ac:dyDescent="0.25">
      <c r="A146">
        <v>145</v>
      </c>
      <c r="B146">
        <v>2025</v>
      </c>
      <c r="C146">
        <v>6</v>
      </c>
      <c r="D146">
        <v>31</v>
      </c>
      <c r="E146">
        <v>5</v>
      </c>
      <c r="F146" t="str">
        <v>90VS316</v>
      </c>
      <c r="G146">
        <v>48.999999999999957</v>
      </c>
      <c r="H146" t="str">
        <v>hour</v>
      </c>
      <c r="J146">
        <v>86</v>
      </c>
      <c r="K146" s="123">
        <v>45809</v>
      </c>
    </row>
    <row r="147" spans="1:11" hidden="1" x14ac:dyDescent="0.25">
      <c r="A147">
        <v>146</v>
      </c>
      <c r="B147">
        <v>2025</v>
      </c>
      <c r="C147">
        <v>6</v>
      </c>
      <c r="D147">
        <v>31</v>
      </c>
      <c r="E147">
        <v>5</v>
      </c>
      <c r="F147" t="str">
        <v>99LM412</v>
      </c>
      <c r="G147">
        <v>39.999999999999943</v>
      </c>
      <c r="H147" t="str">
        <v>hour</v>
      </c>
      <c r="J147">
        <v>115</v>
      </c>
      <c r="K147" s="123">
        <v>45809</v>
      </c>
    </row>
    <row r="148" spans="1:11" hidden="1" x14ac:dyDescent="0.25">
      <c r="A148">
        <v>147</v>
      </c>
      <c r="B148">
        <v>2025</v>
      </c>
      <c r="C148">
        <v>6</v>
      </c>
      <c r="D148">
        <v>31</v>
      </c>
      <c r="E148">
        <v>5</v>
      </c>
      <c r="F148" t="str">
        <v>99MN472</v>
      </c>
      <c r="G148">
        <v>67.999999999999957</v>
      </c>
      <c r="H148" t="str">
        <v>hour</v>
      </c>
      <c r="J148">
        <v>107</v>
      </c>
      <c r="K148" s="123">
        <v>45809</v>
      </c>
    </row>
    <row r="149" spans="1:11" hidden="1" x14ac:dyDescent="0.25">
      <c r="A149">
        <v>148</v>
      </c>
      <c r="B149">
        <v>2025</v>
      </c>
      <c r="C149">
        <v>6</v>
      </c>
      <c r="D149">
        <v>85</v>
      </c>
      <c r="E149">
        <v>1</v>
      </c>
      <c r="F149" t="str">
        <v>77SN951</v>
      </c>
      <c r="G149">
        <v>25.999999999999993</v>
      </c>
      <c r="H149" t="str">
        <v>hour</v>
      </c>
      <c r="J149">
        <v>2</v>
      </c>
      <c r="K149" s="123">
        <v>45809</v>
      </c>
    </row>
    <row r="150" spans="1:11" hidden="1" x14ac:dyDescent="0.25">
      <c r="A150">
        <v>149</v>
      </c>
      <c r="B150">
        <v>2025</v>
      </c>
      <c r="C150">
        <v>7</v>
      </c>
      <c r="D150">
        <v>31</v>
      </c>
      <c r="E150">
        <v>6</v>
      </c>
      <c r="F150" t="str">
        <v>01CC689</v>
      </c>
      <c r="G150">
        <v>31</v>
      </c>
      <c r="H150" t="str">
        <v>single</v>
      </c>
      <c r="J150">
        <v>26</v>
      </c>
      <c r="K150" s="123">
        <v>45839</v>
      </c>
    </row>
    <row r="151" spans="1:11" hidden="1" x14ac:dyDescent="0.25">
      <c r="A151">
        <v>150</v>
      </c>
      <c r="B151">
        <v>2025</v>
      </c>
      <c r="C151">
        <v>7</v>
      </c>
      <c r="D151">
        <v>31</v>
      </c>
      <c r="E151">
        <v>6</v>
      </c>
      <c r="F151" t="str">
        <v>50BD165</v>
      </c>
      <c r="G151">
        <v>30</v>
      </c>
      <c r="H151" t="str">
        <v>single</v>
      </c>
      <c r="J151">
        <v>41</v>
      </c>
      <c r="K151" s="123">
        <v>45839</v>
      </c>
    </row>
    <row r="152" spans="1:11" hidden="1" x14ac:dyDescent="0.25">
      <c r="A152">
        <v>151</v>
      </c>
      <c r="B152">
        <v>2025</v>
      </c>
      <c r="C152">
        <v>7</v>
      </c>
      <c r="D152">
        <v>31</v>
      </c>
      <c r="E152">
        <v>6</v>
      </c>
      <c r="F152" t="str">
        <v>50BN724</v>
      </c>
      <c r="G152">
        <v>16</v>
      </c>
      <c r="H152" t="str">
        <v>single</v>
      </c>
      <c r="J152">
        <v>43</v>
      </c>
      <c r="K152" s="123">
        <v>45839</v>
      </c>
    </row>
    <row r="153" spans="1:11" hidden="1" x14ac:dyDescent="0.25">
      <c r="A153">
        <v>152</v>
      </c>
      <c r="B153">
        <v>2025</v>
      </c>
      <c r="C153">
        <v>7</v>
      </c>
      <c r="D153">
        <v>31</v>
      </c>
      <c r="E153">
        <v>6</v>
      </c>
      <c r="F153" t="str">
        <v>50DK730</v>
      </c>
      <c r="G153">
        <v>31</v>
      </c>
      <c r="H153" t="str">
        <v>single</v>
      </c>
      <c r="J153">
        <v>47</v>
      </c>
      <c r="K153" s="123">
        <v>45839</v>
      </c>
    </row>
    <row r="154" spans="1:11" hidden="1" x14ac:dyDescent="0.25">
      <c r="A154">
        <v>153</v>
      </c>
      <c r="B154">
        <v>2025</v>
      </c>
      <c r="C154">
        <v>7</v>
      </c>
      <c r="D154">
        <v>31</v>
      </c>
      <c r="E154">
        <v>6</v>
      </c>
      <c r="F154" t="str">
        <v>53BB774</v>
      </c>
      <c r="G154">
        <v>30</v>
      </c>
      <c r="H154" t="str">
        <v>single</v>
      </c>
      <c r="J154">
        <v>53</v>
      </c>
      <c r="K154" s="123">
        <v>45839</v>
      </c>
    </row>
    <row r="155" spans="1:11" hidden="1" x14ac:dyDescent="0.25">
      <c r="A155">
        <v>154</v>
      </c>
      <c r="B155">
        <v>2025</v>
      </c>
      <c r="C155">
        <v>7</v>
      </c>
      <c r="D155">
        <v>31</v>
      </c>
      <c r="E155">
        <v>6</v>
      </c>
      <c r="F155" t="str">
        <v>55CB633</v>
      </c>
      <c r="G155">
        <v>30</v>
      </c>
      <c r="H155" t="str">
        <v>single</v>
      </c>
      <c r="J155">
        <v>57</v>
      </c>
      <c r="K155" s="123">
        <v>45839</v>
      </c>
    </row>
    <row r="156" spans="1:11" hidden="1" x14ac:dyDescent="0.25">
      <c r="A156">
        <v>155</v>
      </c>
      <c r="B156">
        <v>2025</v>
      </c>
      <c r="C156">
        <v>7</v>
      </c>
      <c r="D156">
        <v>31</v>
      </c>
      <c r="E156">
        <v>6</v>
      </c>
      <c r="F156" t="str">
        <v>77AT386</v>
      </c>
      <c r="G156">
        <v>30</v>
      </c>
      <c r="H156" t="str">
        <v>single</v>
      </c>
      <c r="J156">
        <v>13</v>
      </c>
      <c r="K156" s="123">
        <v>45839</v>
      </c>
    </row>
    <row r="157" spans="1:11" hidden="1" x14ac:dyDescent="0.25">
      <c r="A157">
        <v>156</v>
      </c>
      <c r="B157">
        <v>2025</v>
      </c>
      <c r="C157">
        <v>7</v>
      </c>
      <c r="D157">
        <v>31</v>
      </c>
      <c r="E157">
        <v>6</v>
      </c>
      <c r="F157" t="str">
        <v>77QE133</v>
      </c>
      <c r="G157">
        <v>30</v>
      </c>
      <c r="H157" t="str">
        <v>single</v>
      </c>
      <c r="J157">
        <v>69</v>
      </c>
      <c r="K157" s="123">
        <v>45839</v>
      </c>
    </row>
    <row r="158" spans="1:11" hidden="1" x14ac:dyDescent="0.25">
      <c r="A158">
        <v>157</v>
      </c>
      <c r="B158">
        <v>2025</v>
      </c>
      <c r="C158">
        <v>7</v>
      </c>
      <c r="D158">
        <v>31</v>
      </c>
      <c r="E158">
        <v>6</v>
      </c>
      <c r="F158" t="str">
        <v>77QK725</v>
      </c>
      <c r="G158">
        <v>15</v>
      </c>
      <c r="H158" t="str">
        <v>single</v>
      </c>
      <c r="J158">
        <v>17</v>
      </c>
      <c r="K158" s="123">
        <v>45839</v>
      </c>
    </row>
    <row r="159" spans="1:11" hidden="1" x14ac:dyDescent="0.25">
      <c r="A159">
        <v>158</v>
      </c>
      <c r="B159">
        <v>2025</v>
      </c>
      <c r="C159">
        <v>7</v>
      </c>
      <c r="D159">
        <v>31</v>
      </c>
      <c r="E159">
        <v>6</v>
      </c>
      <c r="F159" t="str">
        <v>77UR032</v>
      </c>
      <c r="G159">
        <v>29</v>
      </c>
      <c r="H159" t="str">
        <v>single</v>
      </c>
      <c r="J159">
        <v>77</v>
      </c>
      <c r="K159" s="123">
        <v>45839</v>
      </c>
    </row>
    <row r="160" spans="1:11" hidden="1" x14ac:dyDescent="0.25">
      <c r="A160">
        <v>159</v>
      </c>
      <c r="B160">
        <v>2025</v>
      </c>
      <c r="C160">
        <v>7</v>
      </c>
      <c r="D160">
        <v>31</v>
      </c>
      <c r="E160">
        <v>6</v>
      </c>
      <c r="F160" t="str">
        <v>90LS143</v>
      </c>
      <c r="G160">
        <v>20</v>
      </c>
      <c r="H160" t="str">
        <v>single</v>
      </c>
      <c r="J160">
        <v>81</v>
      </c>
      <c r="K160" s="123">
        <v>45839</v>
      </c>
    </row>
    <row r="161" spans="1:11" hidden="1" x14ac:dyDescent="0.25">
      <c r="A161">
        <v>160</v>
      </c>
      <c r="B161">
        <v>2025</v>
      </c>
      <c r="C161">
        <v>7</v>
      </c>
      <c r="D161">
        <v>31</v>
      </c>
      <c r="E161">
        <v>6</v>
      </c>
      <c r="F161" t="str">
        <v>90PY548</v>
      </c>
      <c r="G161">
        <v>30</v>
      </c>
      <c r="H161" t="str">
        <v>single</v>
      </c>
      <c r="J161">
        <v>85</v>
      </c>
      <c r="K161" s="123">
        <v>45839</v>
      </c>
    </row>
    <row r="162" spans="1:11" hidden="1" x14ac:dyDescent="0.25">
      <c r="A162">
        <v>161</v>
      </c>
      <c r="B162">
        <v>2025</v>
      </c>
      <c r="C162">
        <v>7</v>
      </c>
      <c r="D162">
        <v>31</v>
      </c>
      <c r="E162">
        <v>6</v>
      </c>
      <c r="F162" t="str">
        <v>90SL686</v>
      </c>
      <c r="G162">
        <v>31</v>
      </c>
      <c r="H162" t="str">
        <v>single</v>
      </c>
      <c r="J162">
        <v>19</v>
      </c>
      <c r="K162" s="123">
        <v>45839</v>
      </c>
    </row>
    <row r="163" spans="1:11" hidden="1" x14ac:dyDescent="0.25">
      <c r="A163">
        <v>162</v>
      </c>
      <c r="B163">
        <v>2025</v>
      </c>
      <c r="C163">
        <v>7</v>
      </c>
      <c r="D163">
        <v>31</v>
      </c>
      <c r="E163">
        <v>6</v>
      </c>
      <c r="F163" t="str">
        <v>90VS316</v>
      </c>
      <c r="G163">
        <v>30</v>
      </c>
      <c r="H163" t="str">
        <v>single</v>
      </c>
      <c r="J163">
        <v>87</v>
      </c>
      <c r="K163" s="123">
        <v>45839</v>
      </c>
    </row>
    <row r="164" spans="1:11" hidden="1" x14ac:dyDescent="0.25">
      <c r="A164">
        <v>163</v>
      </c>
      <c r="B164">
        <v>2025</v>
      </c>
      <c r="C164">
        <v>7</v>
      </c>
      <c r="D164">
        <v>31</v>
      </c>
      <c r="E164">
        <v>6</v>
      </c>
      <c r="F164" t="str">
        <v>99BT339</v>
      </c>
      <c r="G164">
        <v>1</v>
      </c>
      <c r="H164" t="str">
        <v>single</v>
      </c>
      <c r="J164">
        <v>93</v>
      </c>
      <c r="K164" s="123">
        <v>45839</v>
      </c>
    </row>
    <row r="165" spans="1:11" hidden="1" x14ac:dyDescent="0.25">
      <c r="A165">
        <v>164</v>
      </c>
      <c r="B165">
        <v>2025</v>
      </c>
      <c r="C165">
        <v>7</v>
      </c>
      <c r="D165">
        <v>31</v>
      </c>
      <c r="E165">
        <v>6</v>
      </c>
      <c r="F165" t="str">
        <v>99EM163</v>
      </c>
      <c r="G165">
        <v>30</v>
      </c>
      <c r="H165" t="str">
        <v>single</v>
      </c>
      <c r="J165">
        <v>100</v>
      </c>
      <c r="K165" s="123">
        <v>45839</v>
      </c>
    </row>
    <row r="166" spans="1:11" hidden="1" x14ac:dyDescent="0.25">
      <c r="A166">
        <v>165</v>
      </c>
      <c r="B166">
        <v>2025</v>
      </c>
      <c r="C166">
        <v>7</v>
      </c>
      <c r="D166">
        <v>31</v>
      </c>
      <c r="E166">
        <v>6</v>
      </c>
      <c r="F166" t="str">
        <v>99HZ395</v>
      </c>
      <c r="G166">
        <v>30</v>
      </c>
      <c r="H166" t="str">
        <v>single</v>
      </c>
      <c r="J166">
        <v>3</v>
      </c>
      <c r="K166" s="123">
        <v>45839</v>
      </c>
    </row>
    <row r="167" spans="1:11" hidden="1" x14ac:dyDescent="0.25">
      <c r="A167">
        <v>166</v>
      </c>
      <c r="B167">
        <v>2025</v>
      </c>
      <c r="C167">
        <v>7</v>
      </c>
      <c r="D167">
        <v>31</v>
      </c>
      <c r="E167">
        <v>6</v>
      </c>
      <c r="F167" t="str">
        <v>99KL663</v>
      </c>
      <c r="G167">
        <v>30</v>
      </c>
      <c r="H167" t="str">
        <v>single</v>
      </c>
      <c r="J167">
        <v>106</v>
      </c>
      <c r="K167" s="123">
        <v>45839</v>
      </c>
    </row>
    <row r="168" spans="1:11" hidden="1" x14ac:dyDescent="0.25">
      <c r="A168">
        <v>167</v>
      </c>
      <c r="B168">
        <v>2025</v>
      </c>
      <c r="C168">
        <v>7</v>
      </c>
      <c r="D168">
        <v>31</v>
      </c>
      <c r="E168">
        <v>6</v>
      </c>
      <c r="F168" t="str">
        <v>99LM412</v>
      </c>
      <c r="G168">
        <v>31</v>
      </c>
      <c r="H168" t="str">
        <v>single</v>
      </c>
      <c r="J168">
        <v>116</v>
      </c>
      <c r="K168" s="123">
        <v>45839</v>
      </c>
    </row>
    <row r="169" spans="1:11" hidden="1" x14ac:dyDescent="0.25">
      <c r="A169">
        <v>168</v>
      </c>
      <c r="B169">
        <v>2025</v>
      </c>
      <c r="C169">
        <v>7</v>
      </c>
      <c r="D169">
        <v>31</v>
      </c>
      <c r="E169">
        <v>6</v>
      </c>
      <c r="F169" t="str">
        <v>99MN472</v>
      </c>
      <c r="G169">
        <v>31</v>
      </c>
      <c r="H169" t="str">
        <v>single</v>
      </c>
      <c r="J169">
        <v>108</v>
      </c>
      <c r="K169" s="123">
        <v>45839</v>
      </c>
    </row>
    <row r="170" spans="1:11" hidden="1" x14ac:dyDescent="0.25">
      <c r="A170">
        <v>169</v>
      </c>
      <c r="B170">
        <v>2025</v>
      </c>
      <c r="C170">
        <v>7</v>
      </c>
      <c r="D170">
        <v>46</v>
      </c>
      <c r="E170">
        <v>3</v>
      </c>
      <c r="F170" t="str">
        <v>110FY523</v>
      </c>
      <c r="G170">
        <v>27.34</v>
      </c>
      <c r="H170" t="str">
        <v>single</v>
      </c>
      <c r="J170">
        <v>1</v>
      </c>
      <c r="K170" s="123">
        <v>45839</v>
      </c>
    </row>
    <row r="171" spans="1:11" hidden="1" x14ac:dyDescent="0.25">
      <c r="A171">
        <v>170</v>
      </c>
      <c r="B171">
        <v>2025</v>
      </c>
      <c r="C171">
        <v>7</v>
      </c>
      <c r="D171">
        <v>46</v>
      </c>
      <c r="E171">
        <v>3</v>
      </c>
      <c r="F171" t="str">
        <v>110FY524</v>
      </c>
      <c r="G171">
        <v>29</v>
      </c>
      <c r="H171" t="str">
        <v>single</v>
      </c>
      <c r="J171">
        <v>7</v>
      </c>
      <c r="K171" s="123">
        <v>45839</v>
      </c>
    </row>
    <row r="172" spans="1:11" hidden="1" x14ac:dyDescent="0.25">
      <c r="A172">
        <v>171</v>
      </c>
      <c r="B172">
        <v>2025</v>
      </c>
      <c r="C172">
        <v>7</v>
      </c>
      <c r="D172">
        <v>46</v>
      </c>
      <c r="E172">
        <v>3</v>
      </c>
      <c r="F172" t="str">
        <v>10AD801</v>
      </c>
      <c r="G172">
        <v>16</v>
      </c>
      <c r="H172" t="str">
        <v>single</v>
      </c>
      <c r="J172">
        <v>4</v>
      </c>
      <c r="K172" s="123">
        <v>45839</v>
      </c>
    </row>
    <row r="173" spans="1:11" hidden="1" x14ac:dyDescent="0.25">
      <c r="A173">
        <v>172</v>
      </c>
      <c r="B173">
        <v>2025</v>
      </c>
      <c r="C173">
        <v>7</v>
      </c>
      <c r="D173">
        <v>50</v>
      </c>
      <c r="E173">
        <v>2</v>
      </c>
      <c r="F173" t="str">
        <v>61AB256</v>
      </c>
      <c r="G173">
        <v>29</v>
      </c>
      <c r="H173" t="str">
        <v>single</v>
      </c>
      <c r="J173">
        <v>1</v>
      </c>
      <c r="K173" s="123">
        <v>45839</v>
      </c>
    </row>
    <row r="174" spans="1:11" hidden="1" x14ac:dyDescent="0.25">
      <c r="A174">
        <v>173</v>
      </c>
      <c r="B174">
        <v>2025</v>
      </c>
      <c r="C174">
        <v>7</v>
      </c>
      <c r="D174">
        <v>51</v>
      </c>
      <c r="E174">
        <v>1</v>
      </c>
      <c r="F174" t="str">
        <v>10BA194</v>
      </c>
      <c r="G174">
        <v>16</v>
      </c>
      <c r="H174" t="str">
        <v>single</v>
      </c>
      <c r="J174">
        <v>1</v>
      </c>
      <c r="K174" s="123">
        <v>45839</v>
      </c>
    </row>
    <row r="175" spans="1:11" hidden="1" x14ac:dyDescent="0.25">
      <c r="A175">
        <v>174</v>
      </c>
      <c r="B175">
        <v>2025</v>
      </c>
      <c r="C175">
        <v>7</v>
      </c>
      <c r="D175">
        <v>52</v>
      </c>
      <c r="E175">
        <v>4</v>
      </c>
      <c r="F175" t="str">
        <v>10AC750</v>
      </c>
      <c r="G175">
        <v>29</v>
      </c>
      <c r="H175" t="str">
        <v>single</v>
      </c>
      <c r="J175">
        <v>1</v>
      </c>
      <c r="K175" s="123">
        <v>45839</v>
      </c>
    </row>
    <row r="176" spans="1:11" hidden="1" x14ac:dyDescent="0.25">
      <c r="A176">
        <v>175</v>
      </c>
      <c r="B176">
        <v>2025</v>
      </c>
      <c r="C176">
        <v>7</v>
      </c>
      <c r="D176">
        <v>65</v>
      </c>
      <c r="E176">
        <v>3</v>
      </c>
      <c r="F176" t="str">
        <v>01BA176</v>
      </c>
      <c r="G176">
        <v>29</v>
      </c>
      <c r="H176" t="str">
        <v>single</v>
      </c>
      <c r="J176">
        <v>1</v>
      </c>
      <c r="K176" s="123">
        <v>45839</v>
      </c>
    </row>
    <row r="177" spans="1:13" hidden="1" x14ac:dyDescent="0.25">
      <c r="A177">
        <v>176</v>
      </c>
      <c r="B177">
        <v>2025</v>
      </c>
      <c r="C177">
        <v>7</v>
      </c>
      <c r="D177">
        <v>65</v>
      </c>
      <c r="E177">
        <v>3</v>
      </c>
      <c r="F177" t="str">
        <v>10BD252</v>
      </c>
      <c r="G177">
        <v>18</v>
      </c>
      <c r="H177" t="str">
        <v>single</v>
      </c>
      <c r="J177">
        <v>2</v>
      </c>
      <c r="K177" s="123">
        <v>45839</v>
      </c>
    </row>
    <row r="178" spans="1:13" hidden="1" x14ac:dyDescent="0.25">
      <c r="A178">
        <v>177</v>
      </c>
      <c r="B178">
        <v>2025</v>
      </c>
      <c r="C178">
        <v>7</v>
      </c>
      <c r="D178">
        <v>85</v>
      </c>
      <c r="E178">
        <v>2</v>
      </c>
      <c r="F178" t="str">
        <v>77SN951</v>
      </c>
      <c r="G178">
        <v>29</v>
      </c>
      <c r="H178" t="str">
        <v>single</v>
      </c>
      <c r="J178">
        <v>1</v>
      </c>
      <c r="K178" s="123">
        <v>45839</v>
      </c>
    </row>
    <row r="179" spans="1:13" hidden="1" x14ac:dyDescent="0.25">
      <c r="A179">
        <v>178</v>
      </c>
      <c r="B179">
        <v>2025</v>
      </c>
      <c r="C179">
        <v>7</v>
      </c>
      <c r="D179">
        <v>94</v>
      </c>
      <c r="E179">
        <v>2</v>
      </c>
      <c r="F179" t="str">
        <v>54BM823</v>
      </c>
      <c r="G179">
        <v>31</v>
      </c>
      <c r="H179" t="str">
        <v>single</v>
      </c>
      <c r="J179">
        <v>1</v>
      </c>
      <c r="K179" s="123">
        <v>45839</v>
      </c>
    </row>
    <row r="180" spans="1:13" hidden="1" x14ac:dyDescent="0.25">
      <c r="A180">
        <v>179</v>
      </c>
      <c r="B180">
        <v>2025</v>
      </c>
      <c r="C180">
        <v>7</v>
      </c>
      <c r="D180">
        <v>94</v>
      </c>
      <c r="E180">
        <v>2</v>
      </c>
      <c r="F180" t="str">
        <v>54BM823</v>
      </c>
      <c r="G180">
        <v>14</v>
      </c>
      <c r="H180" t="str">
        <v>single</v>
      </c>
      <c r="J180">
        <v>1</v>
      </c>
      <c r="K180" s="123">
        <v>45839</v>
      </c>
    </row>
    <row r="181" spans="1:13" hidden="1" x14ac:dyDescent="0.25">
      <c r="A181">
        <v>180</v>
      </c>
      <c r="B181">
        <v>2025</v>
      </c>
      <c r="C181">
        <v>7</v>
      </c>
      <c r="D181">
        <v>98</v>
      </c>
      <c r="E181">
        <v>1</v>
      </c>
      <c r="F181" t="str">
        <v>50BD416</v>
      </c>
      <c r="G181">
        <v>12</v>
      </c>
      <c r="H181" t="str">
        <v>single</v>
      </c>
      <c r="J181">
        <v>1</v>
      </c>
      <c r="K181" s="123">
        <v>45839</v>
      </c>
    </row>
    <row r="182" spans="1:13" hidden="1" x14ac:dyDescent="0.25">
      <c r="A182">
        <v>181</v>
      </c>
      <c r="B182">
        <v>2025</v>
      </c>
      <c r="C182">
        <v>7</v>
      </c>
      <c r="D182">
        <v>99</v>
      </c>
      <c r="E182">
        <v>1</v>
      </c>
      <c r="F182" t="str">
        <v>50BX301</v>
      </c>
      <c r="G182">
        <v>10</v>
      </c>
      <c r="H182" t="str">
        <v>single</v>
      </c>
      <c r="J182">
        <v>1</v>
      </c>
      <c r="K182" s="123">
        <v>45839</v>
      </c>
    </row>
    <row r="183" spans="1:13" hidden="1" x14ac:dyDescent="0.25">
      <c r="A183">
        <v>182</v>
      </c>
      <c r="B183">
        <v>2025</v>
      </c>
      <c r="C183">
        <v>7</v>
      </c>
      <c r="D183">
        <v>100</v>
      </c>
      <c r="E183">
        <v>1</v>
      </c>
      <c r="F183" t="str">
        <v>22AB273</v>
      </c>
      <c r="G183">
        <v>9</v>
      </c>
      <c r="H183" t="str">
        <v>single</v>
      </c>
      <c r="J183">
        <v>1</v>
      </c>
      <c r="K183" s="123">
        <v>45839</v>
      </c>
    </row>
    <row r="184" spans="1:13" hidden="1" x14ac:dyDescent="0.25">
      <c r="A184">
        <v>183</v>
      </c>
      <c r="B184">
        <v>2025</v>
      </c>
      <c r="C184">
        <v>7</v>
      </c>
      <c r="D184">
        <v>31</v>
      </c>
      <c r="E184">
        <v>6</v>
      </c>
      <c r="F184" t="str">
        <v>99BT339</v>
      </c>
      <c r="G184">
        <v>29</v>
      </c>
      <c r="H184" t="str">
        <v>double</v>
      </c>
      <c r="J184">
        <v>91</v>
      </c>
      <c r="K184" s="123">
        <v>45839</v>
      </c>
    </row>
    <row r="185" spans="1:13" hidden="1" x14ac:dyDescent="0.25">
      <c r="A185">
        <v>184</v>
      </c>
      <c r="B185">
        <v>2025</v>
      </c>
      <c r="C185">
        <v>7</v>
      </c>
      <c r="D185">
        <v>31</v>
      </c>
      <c r="E185">
        <v>6</v>
      </c>
      <c r="F185" t="str">
        <v>77GR998</v>
      </c>
      <c r="G185">
        <v>31</v>
      </c>
      <c r="H185" t="str">
        <v>double</v>
      </c>
      <c r="J185">
        <v>63</v>
      </c>
      <c r="K185" s="123">
        <v>45839</v>
      </c>
      <c r="M185" cm="1">
        <f t="array" ref="M185:M186">_xlfn._xlws.FILTER(log_prices!E:E,(log_prices!C:C=D185)*(log_prices!M:M=F185)*(log_prices!G:G=daily_quantities!H185))</f>
        <v>62</v>
      </c>
    </row>
    <row r="186" spans="1:13" hidden="1" x14ac:dyDescent="0.25">
      <c r="A186">
        <v>185</v>
      </c>
      <c r="B186">
        <v>2025</v>
      </c>
      <c r="C186">
        <v>7</v>
      </c>
      <c r="D186">
        <v>46</v>
      </c>
      <c r="E186">
        <v>3</v>
      </c>
      <c r="F186" t="str">
        <v>10AD801</v>
      </c>
      <c r="G186">
        <v>13</v>
      </c>
      <c r="H186" t="str">
        <v>double</v>
      </c>
      <c r="J186">
        <v>5</v>
      </c>
      <c r="K186" s="123">
        <v>45839</v>
      </c>
      <c r="M186">
        <v>63</v>
      </c>
    </row>
    <row r="187" spans="1:13" hidden="1" x14ac:dyDescent="0.25">
      <c r="A187">
        <v>186</v>
      </c>
      <c r="B187">
        <v>2025</v>
      </c>
      <c r="C187">
        <v>7</v>
      </c>
      <c r="D187">
        <v>31</v>
      </c>
      <c r="E187">
        <v>6</v>
      </c>
      <c r="F187" t="str">
        <v>01CC689</v>
      </c>
      <c r="G187">
        <v>15.499999999999979</v>
      </c>
      <c r="H187" t="str">
        <v>hour</v>
      </c>
      <c r="J187">
        <v>25</v>
      </c>
      <c r="K187" s="123">
        <v>45839</v>
      </c>
    </row>
    <row r="188" spans="1:13" hidden="1" x14ac:dyDescent="0.25">
      <c r="A188">
        <v>187</v>
      </c>
      <c r="B188">
        <v>2025</v>
      </c>
      <c r="C188">
        <v>7</v>
      </c>
      <c r="D188">
        <v>31</v>
      </c>
      <c r="E188">
        <v>6</v>
      </c>
      <c r="F188" t="str">
        <v>50BD165</v>
      </c>
      <c r="G188">
        <v>66.999999999999986</v>
      </c>
      <c r="H188" t="str">
        <v>hour</v>
      </c>
      <c r="J188">
        <v>40</v>
      </c>
      <c r="K188" s="123">
        <v>45839</v>
      </c>
    </row>
    <row r="189" spans="1:13" hidden="1" x14ac:dyDescent="0.25">
      <c r="A189">
        <v>188</v>
      </c>
      <c r="B189">
        <v>2025</v>
      </c>
      <c r="C189">
        <v>7</v>
      </c>
      <c r="D189">
        <v>31</v>
      </c>
      <c r="E189">
        <v>6</v>
      </c>
      <c r="F189" t="str">
        <v>50BN724</v>
      </c>
      <c r="G189">
        <v>24.999999999999979</v>
      </c>
      <c r="H189" t="str">
        <v>hour</v>
      </c>
      <c r="J189">
        <v>42</v>
      </c>
      <c r="K189" s="123">
        <v>45839</v>
      </c>
    </row>
    <row r="190" spans="1:13" hidden="1" x14ac:dyDescent="0.25">
      <c r="A190">
        <v>189</v>
      </c>
      <c r="B190">
        <v>2025</v>
      </c>
      <c r="C190">
        <v>7</v>
      </c>
      <c r="D190">
        <v>31</v>
      </c>
      <c r="E190">
        <v>6</v>
      </c>
      <c r="F190" t="str">
        <v>50DK730</v>
      </c>
      <c r="G190">
        <v>94</v>
      </c>
      <c r="H190" t="str">
        <v>hour</v>
      </c>
      <c r="J190">
        <v>46</v>
      </c>
      <c r="K190" s="123">
        <v>45839</v>
      </c>
    </row>
    <row r="191" spans="1:13" hidden="1" x14ac:dyDescent="0.25">
      <c r="A191">
        <v>190</v>
      </c>
      <c r="B191">
        <v>2025</v>
      </c>
      <c r="C191">
        <v>7</v>
      </c>
      <c r="D191">
        <v>31</v>
      </c>
      <c r="E191">
        <v>6</v>
      </c>
      <c r="F191" t="str">
        <v>53BB774</v>
      </c>
      <c r="G191">
        <v>97.999999999999986</v>
      </c>
      <c r="H191" t="str">
        <v>hour</v>
      </c>
      <c r="J191">
        <v>52</v>
      </c>
      <c r="K191" s="123">
        <v>45839</v>
      </c>
    </row>
    <row r="192" spans="1:13" hidden="1" x14ac:dyDescent="0.25">
      <c r="A192">
        <v>191</v>
      </c>
      <c r="B192">
        <v>2025</v>
      </c>
      <c r="C192">
        <v>7</v>
      </c>
      <c r="D192">
        <v>31</v>
      </c>
      <c r="E192">
        <v>6</v>
      </c>
      <c r="F192" t="str">
        <v>55CB633</v>
      </c>
      <c r="G192">
        <v>107</v>
      </c>
      <c r="H192" t="str">
        <v>hour</v>
      </c>
      <c r="J192">
        <v>56</v>
      </c>
      <c r="K192" s="123">
        <v>45839</v>
      </c>
    </row>
    <row r="193" spans="1:11" hidden="1" x14ac:dyDescent="0.25">
      <c r="A193">
        <v>192</v>
      </c>
      <c r="B193">
        <v>2025</v>
      </c>
      <c r="C193">
        <v>7</v>
      </c>
      <c r="D193">
        <v>31</v>
      </c>
      <c r="E193">
        <v>6</v>
      </c>
      <c r="F193" t="str">
        <v>77QE133</v>
      </c>
      <c r="G193">
        <v>40</v>
      </c>
      <c r="H193" t="str">
        <v>hour</v>
      </c>
      <c r="J193">
        <v>68</v>
      </c>
      <c r="K193" s="123">
        <v>45839</v>
      </c>
    </row>
    <row r="194" spans="1:11" hidden="1" x14ac:dyDescent="0.25">
      <c r="A194">
        <v>193</v>
      </c>
      <c r="B194">
        <v>2025</v>
      </c>
      <c r="C194">
        <v>7</v>
      </c>
      <c r="D194">
        <v>31</v>
      </c>
      <c r="E194">
        <v>6</v>
      </c>
      <c r="F194" t="str">
        <v>77UR032</v>
      </c>
      <c r="G194">
        <v>9.9999999999999822</v>
      </c>
      <c r="H194" t="str">
        <v>hour</v>
      </c>
      <c r="J194">
        <v>76</v>
      </c>
      <c r="K194" s="123">
        <v>45839</v>
      </c>
    </row>
    <row r="195" spans="1:11" hidden="1" x14ac:dyDescent="0.25">
      <c r="A195">
        <v>194</v>
      </c>
      <c r="B195">
        <v>2025</v>
      </c>
      <c r="C195">
        <v>7</v>
      </c>
      <c r="D195">
        <v>31</v>
      </c>
      <c r="E195">
        <v>6</v>
      </c>
      <c r="F195" t="str">
        <v>90LS143</v>
      </c>
      <c r="G195">
        <v>5.9999999999999929</v>
      </c>
      <c r="H195" t="str">
        <v>hour</v>
      </c>
      <c r="J195">
        <v>80</v>
      </c>
      <c r="K195" s="123">
        <v>45839</v>
      </c>
    </row>
    <row r="196" spans="1:11" hidden="1" x14ac:dyDescent="0.25">
      <c r="A196">
        <v>195</v>
      </c>
      <c r="B196">
        <v>2025</v>
      </c>
      <c r="C196">
        <v>7</v>
      </c>
      <c r="D196">
        <v>31</v>
      </c>
      <c r="E196">
        <v>6</v>
      </c>
      <c r="F196" t="str">
        <v>90SL686</v>
      </c>
      <c r="G196">
        <v>108.99999999999999</v>
      </c>
      <c r="H196" t="str">
        <v>hour</v>
      </c>
      <c r="J196">
        <v>20</v>
      </c>
      <c r="K196" s="123">
        <v>45839</v>
      </c>
    </row>
    <row r="197" spans="1:11" hidden="1" x14ac:dyDescent="0.25">
      <c r="A197">
        <v>196</v>
      </c>
      <c r="B197">
        <v>2025</v>
      </c>
      <c r="C197">
        <v>7</v>
      </c>
      <c r="D197">
        <v>31</v>
      </c>
      <c r="E197">
        <v>6</v>
      </c>
      <c r="F197" t="str">
        <v>90VS316</v>
      </c>
      <c r="G197">
        <v>89.999999999999972</v>
      </c>
      <c r="H197" t="str">
        <v>hour</v>
      </c>
      <c r="J197">
        <v>86</v>
      </c>
      <c r="K197" s="123">
        <v>45839</v>
      </c>
    </row>
    <row r="198" spans="1:11" hidden="1" x14ac:dyDescent="0.25">
      <c r="A198">
        <v>197</v>
      </c>
      <c r="B198">
        <v>2025</v>
      </c>
      <c r="C198">
        <v>7</v>
      </c>
      <c r="D198">
        <v>31</v>
      </c>
      <c r="E198">
        <v>6</v>
      </c>
      <c r="F198" t="str">
        <v>99KL663</v>
      </c>
      <c r="G198">
        <v>49.999999999999986</v>
      </c>
      <c r="H198" t="str">
        <v>hour</v>
      </c>
      <c r="J198">
        <v>105</v>
      </c>
      <c r="K198" s="123">
        <v>45839</v>
      </c>
    </row>
    <row r="199" spans="1:11" hidden="1" x14ac:dyDescent="0.25">
      <c r="A199">
        <v>198</v>
      </c>
      <c r="B199">
        <v>2025</v>
      </c>
      <c r="C199">
        <v>7</v>
      </c>
      <c r="D199">
        <v>31</v>
      </c>
      <c r="E199">
        <v>6</v>
      </c>
      <c r="F199" t="str">
        <v>99LM412</v>
      </c>
      <c r="G199">
        <v>61.000000000000014</v>
      </c>
      <c r="H199" t="str">
        <v>hour</v>
      </c>
      <c r="J199">
        <v>115</v>
      </c>
      <c r="K199" s="123">
        <v>45839</v>
      </c>
    </row>
    <row r="200" spans="1:11" hidden="1" x14ac:dyDescent="0.25">
      <c r="A200">
        <v>199</v>
      </c>
      <c r="B200">
        <v>2025</v>
      </c>
      <c r="C200">
        <v>7</v>
      </c>
      <c r="D200">
        <v>31</v>
      </c>
      <c r="E200">
        <v>6</v>
      </c>
      <c r="F200" t="str">
        <v>99MN472</v>
      </c>
      <c r="G200">
        <v>71.999999999999957</v>
      </c>
      <c r="H200" t="str">
        <v>hour</v>
      </c>
      <c r="J200">
        <v>107</v>
      </c>
      <c r="K200" s="123">
        <v>45839</v>
      </c>
    </row>
    <row r="201" spans="1:11" hidden="1" x14ac:dyDescent="0.25">
      <c r="A201">
        <v>200</v>
      </c>
      <c r="B201">
        <v>2025</v>
      </c>
      <c r="C201">
        <v>7</v>
      </c>
      <c r="D201">
        <v>51</v>
      </c>
      <c r="E201">
        <v>1</v>
      </c>
      <c r="F201" t="str">
        <v>10BA194</v>
      </c>
      <c r="G201">
        <v>3.9999999999999929</v>
      </c>
      <c r="H201" t="str">
        <v>hour</v>
      </c>
      <c r="J201">
        <v>2</v>
      </c>
      <c r="K201" s="123">
        <v>45839</v>
      </c>
    </row>
    <row r="202" spans="1:11" hidden="1" x14ac:dyDescent="0.25">
      <c r="A202">
        <v>201</v>
      </c>
      <c r="B202">
        <v>2025</v>
      </c>
      <c r="C202">
        <v>7</v>
      </c>
      <c r="D202">
        <v>85</v>
      </c>
      <c r="E202">
        <v>2</v>
      </c>
      <c r="F202" t="str">
        <v>77SN951</v>
      </c>
      <c r="G202">
        <v>39.999999999999972</v>
      </c>
      <c r="H202" t="str">
        <v>hour</v>
      </c>
      <c r="J202">
        <v>2</v>
      </c>
      <c r="K202" s="123">
        <v>45839</v>
      </c>
    </row>
    <row r="203" spans="1:11" hidden="1" x14ac:dyDescent="0.25">
      <c r="A203">
        <v>202</v>
      </c>
      <c r="B203">
        <v>2025</v>
      </c>
      <c r="C203">
        <v>7</v>
      </c>
      <c r="D203">
        <v>94</v>
      </c>
      <c r="E203">
        <v>2</v>
      </c>
      <c r="F203" t="str">
        <v>54BM823</v>
      </c>
      <c r="G203">
        <v>5</v>
      </c>
      <c r="H203" t="str">
        <v>hour</v>
      </c>
      <c r="J203">
        <v>2</v>
      </c>
      <c r="K203" s="123">
        <v>45839</v>
      </c>
    </row>
    <row r="204" spans="1:11" hidden="1" x14ac:dyDescent="0.25">
      <c r="A204">
        <v>203</v>
      </c>
      <c r="B204">
        <v>2025</v>
      </c>
      <c r="C204">
        <v>8</v>
      </c>
      <c r="D204">
        <v>31</v>
      </c>
      <c r="E204">
        <v>7</v>
      </c>
      <c r="F204" t="str">
        <v>01CC689</v>
      </c>
      <c r="G204">
        <v>8</v>
      </c>
      <c r="H204" t="str">
        <v>single</v>
      </c>
      <c r="J204">
        <v>26</v>
      </c>
      <c r="K204" s="123">
        <v>45870</v>
      </c>
    </row>
    <row r="205" spans="1:11" hidden="1" x14ac:dyDescent="0.25">
      <c r="A205">
        <v>204</v>
      </c>
      <c r="B205">
        <v>2025</v>
      </c>
      <c r="C205">
        <v>8</v>
      </c>
      <c r="D205">
        <v>31</v>
      </c>
      <c r="E205">
        <v>7</v>
      </c>
      <c r="F205" t="str">
        <v>10RN527</v>
      </c>
      <c r="G205">
        <v>27</v>
      </c>
      <c r="H205" t="str">
        <v>single</v>
      </c>
      <c r="J205">
        <v>32</v>
      </c>
      <c r="K205" s="123">
        <v>45870</v>
      </c>
    </row>
    <row r="206" spans="1:11" hidden="1" x14ac:dyDescent="0.25">
      <c r="A206">
        <v>205</v>
      </c>
      <c r="B206">
        <v>2025</v>
      </c>
      <c r="C206">
        <v>8</v>
      </c>
      <c r="D206">
        <v>31</v>
      </c>
      <c r="E206">
        <v>7</v>
      </c>
      <c r="F206" t="str">
        <v>50BD165</v>
      </c>
      <c r="G206">
        <v>30</v>
      </c>
      <c r="H206" t="str">
        <v>single</v>
      </c>
      <c r="J206">
        <v>41</v>
      </c>
      <c r="K206" s="123">
        <v>45870</v>
      </c>
    </row>
    <row r="207" spans="1:11" hidden="1" x14ac:dyDescent="0.25">
      <c r="A207">
        <v>206</v>
      </c>
      <c r="B207">
        <v>2025</v>
      </c>
      <c r="C207">
        <v>8</v>
      </c>
      <c r="D207">
        <v>31</v>
      </c>
      <c r="E207">
        <v>7</v>
      </c>
      <c r="F207" t="str">
        <v>50BN724</v>
      </c>
      <c r="G207">
        <v>30</v>
      </c>
      <c r="H207" t="str">
        <v>single</v>
      </c>
      <c r="J207">
        <v>43</v>
      </c>
      <c r="K207" s="123">
        <v>45870</v>
      </c>
    </row>
    <row r="208" spans="1:11" hidden="1" x14ac:dyDescent="0.25">
      <c r="A208">
        <v>207</v>
      </c>
      <c r="B208">
        <v>2025</v>
      </c>
      <c r="C208">
        <v>8</v>
      </c>
      <c r="D208">
        <v>31</v>
      </c>
      <c r="E208">
        <v>7</v>
      </c>
      <c r="F208" t="str">
        <v>50CN929</v>
      </c>
      <c r="G208">
        <v>26</v>
      </c>
      <c r="H208" t="str">
        <v>single</v>
      </c>
      <c r="J208">
        <v>45</v>
      </c>
      <c r="K208" s="123">
        <v>45870</v>
      </c>
    </row>
    <row r="209" spans="1:11" hidden="1" x14ac:dyDescent="0.25">
      <c r="A209">
        <v>208</v>
      </c>
      <c r="B209">
        <v>2025</v>
      </c>
      <c r="C209">
        <v>8</v>
      </c>
      <c r="D209">
        <v>31</v>
      </c>
      <c r="E209">
        <v>7</v>
      </c>
      <c r="F209" t="str">
        <v>50DK730</v>
      </c>
      <c r="G209">
        <v>31</v>
      </c>
      <c r="H209" t="str">
        <v>single</v>
      </c>
      <c r="J209">
        <v>47</v>
      </c>
      <c r="K209" s="123">
        <v>45870</v>
      </c>
    </row>
    <row r="210" spans="1:11" hidden="1" x14ac:dyDescent="0.25">
      <c r="A210">
        <v>209</v>
      </c>
      <c r="B210">
        <v>2025</v>
      </c>
      <c r="C210">
        <v>8</v>
      </c>
      <c r="D210">
        <v>31</v>
      </c>
      <c r="E210">
        <v>7</v>
      </c>
      <c r="F210" t="str">
        <v>50EF902</v>
      </c>
      <c r="G210">
        <v>22</v>
      </c>
      <c r="H210" t="str">
        <v>single</v>
      </c>
      <c r="J210">
        <v>49</v>
      </c>
      <c r="K210" s="123">
        <v>45870</v>
      </c>
    </row>
    <row r="211" spans="1:11" hidden="1" x14ac:dyDescent="0.25">
      <c r="A211">
        <v>210</v>
      </c>
      <c r="B211">
        <v>2025</v>
      </c>
      <c r="C211">
        <v>8</v>
      </c>
      <c r="D211">
        <v>31</v>
      </c>
      <c r="E211">
        <v>7</v>
      </c>
      <c r="F211" t="str">
        <v>53BB774</v>
      </c>
      <c r="G211">
        <v>10</v>
      </c>
      <c r="H211" t="str">
        <v>single</v>
      </c>
      <c r="J211">
        <v>53</v>
      </c>
      <c r="K211" s="123">
        <v>45870</v>
      </c>
    </row>
    <row r="212" spans="1:11" hidden="1" x14ac:dyDescent="0.25">
      <c r="A212">
        <v>211</v>
      </c>
      <c r="B212">
        <v>2025</v>
      </c>
      <c r="C212">
        <v>8</v>
      </c>
      <c r="D212">
        <v>31</v>
      </c>
      <c r="E212">
        <v>7</v>
      </c>
      <c r="F212" t="str">
        <v>55CB633</v>
      </c>
      <c r="G212">
        <v>30</v>
      </c>
      <c r="H212" t="str">
        <v>single</v>
      </c>
      <c r="J212">
        <v>57</v>
      </c>
      <c r="K212" s="123">
        <v>45870</v>
      </c>
    </row>
    <row r="213" spans="1:11" hidden="1" x14ac:dyDescent="0.25">
      <c r="A213">
        <v>212</v>
      </c>
      <c r="B213">
        <v>2025</v>
      </c>
      <c r="C213">
        <v>8</v>
      </c>
      <c r="D213">
        <v>31</v>
      </c>
      <c r="E213">
        <v>7</v>
      </c>
      <c r="F213" t="str">
        <v>77AT386</v>
      </c>
      <c r="G213">
        <v>30</v>
      </c>
      <c r="H213" t="str">
        <v>single</v>
      </c>
      <c r="J213">
        <v>13</v>
      </c>
      <c r="K213" s="123">
        <v>45870</v>
      </c>
    </row>
    <row r="214" spans="1:11" hidden="1" x14ac:dyDescent="0.25">
      <c r="A214">
        <v>213</v>
      </c>
      <c r="B214">
        <v>2025</v>
      </c>
      <c r="C214">
        <v>8</v>
      </c>
      <c r="D214">
        <v>31</v>
      </c>
      <c r="E214">
        <v>7</v>
      </c>
      <c r="F214" t="str">
        <v>77QE133</v>
      </c>
      <c r="G214">
        <v>30</v>
      </c>
      <c r="H214" t="str">
        <v>single</v>
      </c>
      <c r="J214">
        <v>69</v>
      </c>
      <c r="K214" s="123">
        <v>45870</v>
      </c>
    </row>
    <row r="215" spans="1:11" hidden="1" x14ac:dyDescent="0.25">
      <c r="A215">
        <v>214</v>
      </c>
      <c r="B215">
        <v>2025</v>
      </c>
      <c r="C215">
        <v>8</v>
      </c>
      <c r="D215">
        <v>31</v>
      </c>
      <c r="E215">
        <v>7</v>
      </c>
      <c r="F215" t="str">
        <v>77TG971</v>
      </c>
      <c r="G215">
        <v>25</v>
      </c>
      <c r="H215" t="str">
        <v>single</v>
      </c>
      <c r="J215">
        <v>75</v>
      </c>
      <c r="K215" s="123">
        <v>45870</v>
      </c>
    </row>
    <row r="216" spans="1:11" hidden="1" x14ac:dyDescent="0.25">
      <c r="A216">
        <v>215</v>
      </c>
      <c r="B216">
        <v>2025</v>
      </c>
      <c r="C216">
        <v>8</v>
      </c>
      <c r="D216">
        <v>31</v>
      </c>
      <c r="E216">
        <v>7</v>
      </c>
      <c r="F216" t="str">
        <v>77UR032</v>
      </c>
      <c r="G216">
        <v>29</v>
      </c>
      <c r="H216" t="str">
        <v>single</v>
      </c>
      <c r="J216">
        <v>77</v>
      </c>
      <c r="K216" s="123">
        <v>45870</v>
      </c>
    </row>
    <row r="217" spans="1:11" hidden="1" x14ac:dyDescent="0.25">
      <c r="A217">
        <v>216</v>
      </c>
      <c r="B217">
        <v>2025</v>
      </c>
      <c r="C217">
        <v>8</v>
      </c>
      <c r="D217">
        <v>31</v>
      </c>
      <c r="E217">
        <v>7</v>
      </c>
      <c r="F217" t="str">
        <v>77VL420</v>
      </c>
      <c r="G217">
        <v>15</v>
      </c>
      <c r="H217" t="str">
        <v>single</v>
      </c>
      <c r="J217">
        <v>118</v>
      </c>
      <c r="K217" s="123">
        <v>45870</v>
      </c>
    </row>
    <row r="218" spans="1:11" hidden="1" x14ac:dyDescent="0.25">
      <c r="A218">
        <v>217</v>
      </c>
      <c r="B218">
        <v>2025</v>
      </c>
      <c r="C218">
        <v>8</v>
      </c>
      <c r="D218">
        <v>31</v>
      </c>
      <c r="E218">
        <v>7</v>
      </c>
      <c r="F218" t="str">
        <v>90LS143</v>
      </c>
      <c r="G218">
        <v>29</v>
      </c>
      <c r="H218" t="str">
        <v>single</v>
      </c>
      <c r="J218">
        <v>81</v>
      </c>
      <c r="K218" s="123">
        <v>45870</v>
      </c>
    </row>
    <row r="219" spans="1:11" hidden="1" x14ac:dyDescent="0.25">
      <c r="A219">
        <v>218</v>
      </c>
      <c r="B219">
        <v>2025</v>
      </c>
      <c r="C219">
        <v>8</v>
      </c>
      <c r="D219">
        <v>31</v>
      </c>
      <c r="E219">
        <v>7</v>
      </c>
      <c r="F219" t="str">
        <v>90OE402</v>
      </c>
      <c r="G219">
        <v>14</v>
      </c>
      <c r="H219" t="str">
        <v>single</v>
      </c>
      <c r="J219">
        <v>83</v>
      </c>
      <c r="K219" s="123">
        <v>45870</v>
      </c>
    </row>
    <row r="220" spans="1:11" hidden="1" x14ac:dyDescent="0.25">
      <c r="A220">
        <v>219</v>
      </c>
      <c r="B220">
        <v>2025</v>
      </c>
      <c r="C220">
        <v>8</v>
      </c>
      <c r="D220">
        <v>31</v>
      </c>
      <c r="E220">
        <v>7</v>
      </c>
      <c r="F220" t="str">
        <v>90PY548</v>
      </c>
      <c r="G220">
        <v>30</v>
      </c>
      <c r="H220" t="str">
        <v>single</v>
      </c>
      <c r="J220">
        <v>85</v>
      </c>
      <c r="K220" s="123">
        <v>45870</v>
      </c>
    </row>
    <row r="221" spans="1:11" hidden="1" x14ac:dyDescent="0.25">
      <c r="A221">
        <v>220</v>
      </c>
      <c r="B221">
        <v>2025</v>
      </c>
      <c r="C221">
        <v>8</v>
      </c>
      <c r="D221">
        <v>31</v>
      </c>
      <c r="E221">
        <v>7</v>
      </c>
      <c r="F221" t="str">
        <v>90SL686</v>
      </c>
      <c r="G221">
        <v>30</v>
      </c>
      <c r="H221" t="str">
        <v>single</v>
      </c>
      <c r="J221">
        <v>19</v>
      </c>
      <c r="K221" s="123">
        <v>45870</v>
      </c>
    </row>
    <row r="222" spans="1:11" hidden="1" x14ac:dyDescent="0.25">
      <c r="A222">
        <v>221</v>
      </c>
      <c r="B222">
        <v>2025</v>
      </c>
      <c r="C222">
        <v>8</v>
      </c>
      <c r="D222">
        <v>31</v>
      </c>
      <c r="E222">
        <v>7</v>
      </c>
      <c r="F222" t="str">
        <v>90VS316</v>
      </c>
      <c r="G222">
        <v>30</v>
      </c>
      <c r="H222" t="str">
        <v>single</v>
      </c>
      <c r="J222">
        <v>87</v>
      </c>
      <c r="K222" s="123">
        <v>45870</v>
      </c>
    </row>
    <row r="223" spans="1:11" hidden="1" x14ac:dyDescent="0.25">
      <c r="A223">
        <v>222</v>
      </c>
      <c r="B223">
        <v>2025</v>
      </c>
      <c r="C223">
        <v>8</v>
      </c>
      <c r="D223">
        <v>31</v>
      </c>
      <c r="E223">
        <v>7</v>
      </c>
      <c r="F223" t="str">
        <v>99BT339</v>
      </c>
      <c r="G223">
        <v>30</v>
      </c>
      <c r="H223" t="str">
        <v>single</v>
      </c>
      <c r="J223">
        <v>93</v>
      </c>
      <c r="K223" s="123">
        <v>45870</v>
      </c>
    </row>
    <row r="224" spans="1:11" hidden="1" x14ac:dyDescent="0.25">
      <c r="A224">
        <v>223</v>
      </c>
      <c r="B224">
        <v>2025</v>
      </c>
      <c r="C224">
        <v>8</v>
      </c>
      <c r="D224">
        <v>31</v>
      </c>
      <c r="E224">
        <v>7</v>
      </c>
      <c r="F224" t="str">
        <v>99EM163</v>
      </c>
      <c r="G224">
        <v>29</v>
      </c>
      <c r="H224" t="str">
        <v>single</v>
      </c>
      <c r="J224">
        <v>100</v>
      </c>
      <c r="K224" s="123">
        <v>45870</v>
      </c>
    </row>
    <row r="225" spans="1:11" hidden="1" x14ac:dyDescent="0.25">
      <c r="A225">
        <v>224</v>
      </c>
      <c r="B225">
        <v>2025</v>
      </c>
      <c r="C225">
        <v>8</v>
      </c>
      <c r="D225">
        <v>31</v>
      </c>
      <c r="E225">
        <v>7</v>
      </c>
      <c r="F225" t="str">
        <v>99HZ395</v>
      </c>
      <c r="G225">
        <v>29</v>
      </c>
      <c r="H225" t="str">
        <v>single</v>
      </c>
      <c r="J225">
        <v>3</v>
      </c>
      <c r="K225" s="123">
        <v>45870</v>
      </c>
    </row>
    <row r="226" spans="1:11" hidden="1" x14ac:dyDescent="0.25">
      <c r="A226">
        <v>225</v>
      </c>
      <c r="B226">
        <v>2025</v>
      </c>
      <c r="C226">
        <v>8</v>
      </c>
      <c r="D226">
        <v>31</v>
      </c>
      <c r="E226">
        <v>7</v>
      </c>
      <c r="F226" t="str">
        <v>99KL663</v>
      </c>
      <c r="G226">
        <v>29</v>
      </c>
      <c r="H226" t="str">
        <v>single</v>
      </c>
      <c r="J226">
        <v>106</v>
      </c>
      <c r="K226" s="123">
        <v>45870</v>
      </c>
    </row>
    <row r="227" spans="1:11" hidden="1" x14ac:dyDescent="0.25">
      <c r="A227">
        <v>226</v>
      </c>
      <c r="B227">
        <v>2025</v>
      </c>
      <c r="C227">
        <v>8</v>
      </c>
      <c r="D227">
        <v>31</v>
      </c>
      <c r="E227">
        <v>7</v>
      </c>
      <c r="F227" t="str">
        <v>99LM412</v>
      </c>
      <c r="G227">
        <v>31</v>
      </c>
      <c r="H227" t="str">
        <v>single</v>
      </c>
      <c r="J227">
        <v>116</v>
      </c>
      <c r="K227" s="123">
        <v>45870</v>
      </c>
    </row>
    <row r="228" spans="1:11" hidden="1" x14ac:dyDescent="0.25">
      <c r="A228">
        <v>227</v>
      </c>
      <c r="B228">
        <v>2025</v>
      </c>
      <c r="C228">
        <v>8</v>
      </c>
      <c r="D228">
        <v>31</v>
      </c>
      <c r="E228">
        <v>7</v>
      </c>
      <c r="F228" t="str">
        <v>99MN472</v>
      </c>
      <c r="G228">
        <v>30</v>
      </c>
      <c r="H228" t="str">
        <v>single</v>
      </c>
      <c r="J228">
        <v>108</v>
      </c>
      <c r="K228" s="123">
        <v>45870</v>
      </c>
    </row>
    <row r="229" spans="1:11" hidden="1" x14ac:dyDescent="0.25">
      <c r="A229">
        <v>228</v>
      </c>
      <c r="B229">
        <v>2025</v>
      </c>
      <c r="C229">
        <v>8</v>
      </c>
      <c r="D229">
        <v>46</v>
      </c>
      <c r="E229">
        <v>4</v>
      </c>
      <c r="F229" t="str">
        <v>110FY523</v>
      </c>
      <c r="G229">
        <v>29</v>
      </c>
      <c r="H229" t="str">
        <v>single</v>
      </c>
      <c r="J229">
        <v>1</v>
      </c>
      <c r="K229" s="123">
        <v>45870</v>
      </c>
    </row>
    <row r="230" spans="1:11" hidden="1" x14ac:dyDescent="0.25">
      <c r="A230">
        <v>229</v>
      </c>
      <c r="B230">
        <v>2025</v>
      </c>
      <c r="C230">
        <v>8</v>
      </c>
      <c r="D230">
        <v>46</v>
      </c>
      <c r="E230">
        <v>4</v>
      </c>
      <c r="F230" t="str">
        <v>110FY524</v>
      </c>
      <c r="G230">
        <v>6</v>
      </c>
      <c r="H230" t="str">
        <v>single</v>
      </c>
      <c r="J230">
        <v>7</v>
      </c>
      <c r="K230" s="123">
        <v>45870</v>
      </c>
    </row>
    <row r="231" spans="1:11" hidden="1" x14ac:dyDescent="0.25">
      <c r="A231">
        <v>230</v>
      </c>
      <c r="B231">
        <v>2025</v>
      </c>
      <c r="C231">
        <v>8</v>
      </c>
      <c r="D231">
        <v>46</v>
      </c>
      <c r="E231">
        <v>4</v>
      </c>
      <c r="F231" t="str">
        <v>10AD801</v>
      </c>
      <c r="G231">
        <v>19</v>
      </c>
      <c r="H231" t="str">
        <v>single</v>
      </c>
      <c r="J231">
        <v>4</v>
      </c>
      <c r="K231" s="123">
        <v>45870</v>
      </c>
    </row>
    <row r="232" spans="1:11" hidden="1" x14ac:dyDescent="0.25">
      <c r="A232">
        <v>231</v>
      </c>
      <c r="B232">
        <v>2025</v>
      </c>
      <c r="C232">
        <v>8</v>
      </c>
      <c r="D232">
        <v>46</v>
      </c>
      <c r="E232">
        <v>4</v>
      </c>
      <c r="F232" t="str">
        <v>10AB468</v>
      </c>
      <c r="G232">
        <v>23.5</v>
      </c>
      <c r="H232" t="str">
        <v>single</v>
      </c>
      <c r="J232">
        <v>10</v>
      </c>
      <c r="K232" s="123">
        <v>45870</v>
      </c>
    </row>
    <row r="233" spans="1:11" hidden="1" x14ac:dyDescent="0.25">
      <c r="A233">
        <v>232</v>
      </c>
      <c r="B233">
        <v>2025</v>
      </c>
      <c r="C233">
        <v>8</v>
      </c>
      <c r="D233">
        <v>50</v>
      </c>
      <c r="E233">
        <v>3</v>
      </c>
      <c r="F233" t="str">
        <v>61AB256</v>
      </c>
      <c r="G233">
        <v>29</v>
      </c>
      <c r="H233" t="str">
        <v>single</v>
      </c>
      <c r="J233">
        <v>1</v>
      </c>
      <c r="K233" s="123">
        <v>45870</v>
      </c>
    </row>
    <row r="234" spans="1:11" hidden="1" x14ac:dyDescent="0.25">
      <c r="A234">
        <v>233</v>
      </c>
      <c r="B234">
        <v>2025</v>
      </c>
      <c r="C234">
        <v>8</v>
      </c>
      <c r="D234">
        <v>51</v>
      </c>
      <c r="E234">
        <v>2</v>
      </c>
      <c r="F234" t="str">
        <v>10BA857</v>
      </c>
      <c r="G234">
        <v>13</v>
      </c>
      <c r="H234" t="str">
        <v>single</v>
      </c>
      <c r="J234">
        <v>3</v>
      </c>
      <c r="K234" s="123">
        <v>45870</v>
      </c>
    </row>
    <row r="235" spans="1:11" hidden="1" x14ac:dyDescent="0.25">
      <c r="A235">
        <v>234</v>
      </c>
      <c r="B235">
        <v>2025</v>
      </c>
      <c r="C235">
        <v>8</v>
      </c>
      <c r="D235">
        <v>65</v>
      </c>
      <c r="E235">
        <v>4</v>
      </c>
      <c r="F235" t="str">
        <v>01BA176</v>
      </c>
      <c r="G235">
        <v>27</v>
      </c>
      <c r="H235" t="str">
        <v>single</v>
      </c>
      <c r="J235">
        <v>1</v>
      </c>
      <c r="K235" s="123">
        <v>45870</v>
      </c>
    </row>
    <row r="236" spans="1:11" hidden="1" x14ac:dyDescent="0.25">
      <c r="A236">
        <v>235</v>
      </c>
      <c r="B236">
        <v>2025</v>
      </c>
      <c r="C236">
        <v>8</v>
      </c>
      <c r="D236">
        <v>65</v>
      </c>
      <c r="E236">
        <v>4</v>
      </c>
      <c r="F236" t="str">
        <v>10BD252</v>
      </c>
      <c r="G236">
        <v>24.5</v>
      </c>
      <c r="H236" t="str">
        <v>single</v>
      </c>
      <c r="J236">
        <v>2</v>
      </c>
      <c r="K236" s="123">
        <v>45870</v>
      </c>
    </row>
    <row r="237" spans="1:11" hidden="1" x14ac:dyDescent="0.25">
      <c r="A237">
        <v>236</v>
      </c>
      <c r="B237">
        <v>2025</v>
      </c>
      <c r="C237">
        <v>8</v>
      </c>
      <c r="D237">
        <v>85</v>
      </c>
      <c r="E237">
        <v>3</v>
      </c>
      <c r="F237" t="str">
        <v>77SN951</v>
      </c>
      <c r="G237">
        <v>29</v>
      </c>
      <c r="H237" t="str">
        <v>single</v>
      </c>
      <c r="J237">
        <v>1</v>
      </c>
      <c r="K237" s="123">
        <v>45870</v>
      </c>
    </row>
    <row r="238" spans="1:11" hidden="1" x14ac:dyDescent="0.25">
      <c r="A238">
        <v>237</v>
      </c>
      <c r="B238">
        <v>2025</v>
      </c>
      <c r="C238">
        <v>8</v>
      </c>
      <c r="D238">
        <v>94</v>
      </c>
      <c r="E238">
        <v>3</v>
      </c>
      <c r="F238" t="str">
        <v>54BM823</v>
      </c>
      <c r="G238">
        <v>31</v>
      </c>
      <c r="H238" t="str">
        <v>single</v>
      </c>
      <c r="J238">
        <v>1</v>
      </c>
      <c r="K238" s="123">
        <v>45870</v>
      </c>
    </row>
    <row r="239" spans="1:11" hidden="1" x14ac:dyDescent="0.25">
      <c r="A239">
        <v>238</v>
      </c>
      <c r="B239">
        <v>2025</v>
      </c>
      <c r="C239">
        <v>8</v>
      </c>
      <c r="D239">
        <v>94</v>
      </c>
      <c r="E239">
        <v>3</v>
      </c>
      <c r="F239" t="str">
        <v>01BT754</v>
      </c>
      <c r="G239">
        <v>31</v>
      </c>
      <c r="H239" t="str">
        <v>single</v>
      </c>
      <c r="J239">
        <v>3</v>
      </c>
      <c r="K239" s="123">
        <v>45870</v>
      </c>
    </row>
    <row r="240" spans="1:11" hidden="1" x14ac:dyDescent="0.25">
      <c r="A240">
        <v>239</v>
      </c>
      <c r="B240">
        <v>2025</v>
      </c>
      <c r="C240">
        <v>8</v>
      </c>
      <c r="D240">
        <v>94</v>
      </c>
      <c r="E240">
        <v>3</v>
      </c>
      <c r="F240" t="str">
        <v>10MF640</v>
      </c>
      <c r="G240">
        <v>22</v>
      </c>
      <c r="H240" t="str">
        <v>single</v>
      </c>
      <c r="J240">
        <v>4</v>
      </c>
      <c r="K240" s="123">
        <v>45870</v>
      </c>
    </row>
    <row r="241" spans="1:16" hidden="1" x14ac:dyDescent="0.25">
      <c r="A241">
        <v>240</v>
      </c>
      <c r="B241">
        <v>2025</v>
      </c>
      <c r="C241">
        <v>8</v>
      </c>
      <c r="D241">
        <v>98</v>
      </c>
      <c r="E241">
        <v>2</v>
      </c>
      <c r="F241" t="str">
        <v>50BD416</v>
      </c>
      <c r="G241">
        <v>29</v>
      </c>
      <c r="H241" t="str">
        <v>single</v>
      </c>
      <c r="J241">
        <v>1</v>
      </c>
      <c r="K241" s="123">
        <v>45870</v>
      </c>
    </row>
    <row r="242" spans="1:16" hidden="1" x14ac:dyDescent="0.25">
      <c r="A242">
        <v>241</v>
      </c>
      <c r="B242">
        <v>2025</v>
      </c>
      <c r="C242">
        <v>8</v>
      </c>
      <c r="D242">
        <v>99</v>
      </c>
      <c r="E242">
        <v>2</v>
      </c>
      <c r="F242" t="str">
        <v>50BX301</v>
      </c>
      <c r="G242">
        <v>31</v>
      </c>
      <c r="H242" t="str">
        <v>single</v>
      </c>
      <c r="J242">
        <v>1</v>
      </c>
      <c r="K242" s="123">
        <v>45870</v>
      </c>
    </row>
    <row r="243" spans="1:16" hidden="1" x14ac:dyDescent="0.25">
      <c r="A243">
        <v>242</v>
      </c>
      <c r="B243">
        <v>2025</v>
      </c>
      <c r="C243">
        <v>8</v>
      </c>
      <c r="D243">
        <v>100</v>
      </c>
      <c r="E243">
        <v>2</v>
      </c>
      <c r="F243" t="str">
        <v>22AB273</v>
      </c>
      <c r="G243">
        <v>27</v>
      </c>
      <c r="H243" t="str">
        <v>single</v>
      </c>
      <c r="J243">
        <v>1</v>
      </c>
      <c r="K243" s="123">
        <v>45870</v>
      </c>
      <c r="O243" t="b">
        <f>D243=log_prices!C196</f>
        <v>0</v>
      </c>
      <c r="P243" t="b">
        <f>F243=log_prices!M196</f>
        <v>0</v>
      </c>
    </row>
    <row r="244" spans="1:16" hidden="1" x14ac:dyDescent="0.25">
      <c r="A244">
        <v>243</v>
      </c>
      <c r="B244">
        <v>2025</v>
      </c>
      <c r="C244">
        <v>8</v>
      </c>
      <c r="D244">
        <v>102</v>
      </c>
      <c r="E244">
        <v>1</v>
      </c>
      <c r="F244" t="str">
        <v>99HQ687</v>
      </c>
      <c r="G244">
        <v>5</v>
      </c>
      <c r="H244" t="str">
        <v>single</v>
      </c>
      <c r="J244">
        <v>1</v>
      </c>
      <c r="K244" s="123">
        <v>45870</v>
      </c>
    </row>
    <row r="245" spans="1:16" hidden="1" x14ac:dyDescent="0.25">
      <c r="A245">
        <v>244</v>
      </c>
      <c r="B245">
        <v>2025</v>
      </c>
      <c r="C245">
        <v>8</v>
      </c>
      <c r="D245">
        <v>110</v>
      </c>
      <c r="E245">
        <v>1</v>
      </c>
      <c r="F245" t="str">
        <v>99XC106</v>
      </c>
      <c r="G245">
        <v>6</v>
      </c>
      <c r="H245" t="str">
        <v>single</v>
      </c>
      <c r="J245">
        <v>1</v>
      </c>
      <c r="K245" s="123">
        <v>45870</v>
      </c>
    </row>
    <row r="246" spans="1:16" hidden="1" x14ac:dyDescent="0.25">
      <c r="A246">
        <v>245</v>
      </c>
      <c r="B246">
        <v>2025</v>
      </c>
      <c r="C246">
        <v>8</v>
      </c>
      <c r="D246">
        <v>31</v>
      </c>
      <c r="E246">
        <v>7</v>
      </c>
      <c r="F246" t="str">
        <v>77GR998</v>
      </c>
      <c r="G246">
        <v>31</v>
      </c>
      <c r="H246" t="str">
        <v>double</v>
      </c>
      <c r="J246">
        <v>63</v>
      </c>
      <c r="K246" s="123">
        <v>45870</v>
      </c>
    </row>
    <row r="247" spans="1:16" hidden="1" x14ac:dyDescent="0.25">
      <c r="A247">
        <v>246</v>
      </c>
      <c r="B247">
        <v>2025</v>
      </c>
      <c r="C247">
        <v>8</v>
      </c>
      <c r="D247">
        <v>46</v>
      </c>
      <c r="E247">
        <v>4</v>
      </c>
      <c r="F247" t="str">
        <v>110FY524</v>
      </c>
      <c r="G247">
        <v>23</v>
      </c>
      <c r="H247" t="str">
        <v>double</v>
      </c>
      <c r="J247">
        <v>8</v>
      </c>
      <c r="K247" s="123">
        <v>45870</v>
      </c>
    </row>
    <row r="248" spans="1:16" hidden="1" x14ac:dyDescent="0.25">
      <c r="A248">
        <v>247</v>
      </c>
      <c r="B248">
        <v>2025</v>
      </c>
      <c r="C248">
        <v>8</v>
      </c>
      <c r="D248">
        <v>46</v>
      </c>
      <c r="E248">
        <v>4</v>
      </c>
      <c r="F248" t="str">
        <v>10AD801</v>
      </c>
      <c r="G248">
        <v>10</v>
      </c>
      <c r="H248" t="str">
        <v>double</v>
      </c>
      <c r="J248">
        <v>5</v>
      </c>
      <c r="K248" s="123">
        <v>45870</v>
      </c>
    </row>
    <row r="249" spans="1:16" hidden="1" x14ac:dyDescent="0.25">
      <c r="A249">
        <v>248</v>
      </c>
      <c r="B249">
        <v>2025</v>
      </c>
      <c r="C249">
        <v>8</v>
      </c>
      <c r="D249">
        <v>31</v>
      </c>
      <c r="E249">
        <v>7</v>
      </c>
      <c r="F249" t="str">
        <v>01CC689</v>
      </c>
      <c r="G249">
        <v>11.499999999999998</v>
      </c>
      <c r="H249" t="str">
        <v>hour</v>
      </c>
      <c r="J249">
        <v>25</v>
      </c>
      <c r="K249" s="123">
        <v>45870</v>
      </c>
    </row>
    <row r="250" spans="1:16" hidden="1" x14ac:dyDescent="0.25">
      <c r="A250">
        <v>249</v>
      </c>
      <c r="B250">
        <v>2025</v>
      </c>
      <c r="C250">
        <v>8</v>
      </c>
      <c r="D250">
        <v>31</v>
      </c>
      <c r="E250">
        <v>7</v>
      </c>
      <c r="F250" t="str">
        <v>10RN527</v>
      </c>
      <c r="G250">
        <v>64.000000000000014</v>
      </c>
      <c r="H250" t="str">
        <v>hour</v>
      </c>
      <c r="J250">
        <v>30</v>
      </c>
      <c r="K250" s="123">
        <v>45870</v>
      </c>
    </row>
    <row r="251" spans="1:16" hidden="1" x14ac:dyDescent="0.25">
      <c r="A251">
        <v>250</v>
      </c>
      <c r="B251">
        <v>2025</v>
      </c>
      <c r="C251">
        <v>8</v>
      </c>
      <c r="D251">
        <v>31</v>
      </c>
      <c r="E251">
        <v>7</v>
      </c>
      <c r="F251" t="str">
        <v>50BD165</v>
      </c>
      <c r="G251">
        <v>82.999999999999986</v>
      </c>
      <c r="H251" t="str">
        <v>hour</v>
      </c>
      <c r="J251">
        <v>40</v>
      </c>
      <c r="K251" s="123">
        <v>45870</v>
      </c>
    </row>
    <row r="252" spans="1:16" hidden="1" x14ac:dyDescent="0.25">
      <c r="A252">
        <v>251</v>
      </c>
      <c r="B252">
        <v>2025</v>
      </c>
      <c r="C252">
        <v>8</v>
      </c>
      <c r="D252">
        <v>31</v>
      </c>
      <c r="E252">
        <v>7</v>
      </c>
      <c r="F252" t="str">
        <v>50BN724</v>
      </c>
      <c r="G252">
        <v>75.999999999999986</v>
      </c>
      <c r="H252" t="str">
        <v>hour</v>
      </c>
      <c r="J252">
        <v>42</v>
      </c>
      <c r="K252" s="123">
        <v>45870</v>
      </c>
    </row>
    <row r="253" spans="1:16" hidden="1" x14ac:dyDescent="0.25">
      <c r="A253">
        <v>252</v>
      </c>
      <c r="B253">
        <v>2025</v>
      </c>
      <c r="C253">
        <v>8</v>
      </c>
      <c r="D253">
        <v>31</v>
      </c>
      <c r="E253">
        <v>7</v>
      </c>
      <c r="F253" t="str">
        <v>50CN929</v>
      </c>
      <c r="G253">
        <v>20.000000000000007</v>
      </c>
      <c r="H253" t="str">
        <v>hour</v>
      </c>
      <c r="J253">
        <v>44</v>
      </c>
      <c r="K253" s="123">
        <v>45870</v>
      </c>
    </row>
    <row r="254" spans="1:16" hidden="1" x14ac:dyDescent="0.25">
      <c r="A254">
        <v>253</v>
      </c>
      <c r="B254">
        <v>2025</v>
      </c>
      <c r="C254">
        <v>8</v>
      </c>
      <c r="D254">
        <v>31</v>
      </c>
      <c r="E254">
        <v>7</v>
      </c>
      <c r="F254" t="str">
        <v>50DK730</v>
      </c>
      <c r="G254">
        <v>98</v>
      </c>
      <c r="H254" t="str">
        <v>hour</v>
      </c>
      <c r="J254">
        <v>46</v>
      </c>
      <c r="K254" s="123">
        <v>45870</v>
      </c>
    </row>
    <row r="255" spans="1:16" hidden="1" x14ac:dyDescent="0.25">
      <c r="A255">
        <v>254</v>
      </c>
      <c r="B255">
        <v>2025</v>
      </c>
      <c r="C255">
        <v>8</v>
      </c>
      <c r="D255">
        <v>31</v>
      </c>
      <c r="E255">
        <v>7</v>
      </c>
      <c r="F255" t="str">
        <v>50EF902</v>
      </c>
      <c r="G255">
        <v>19.999999999999993</v>
      </c>
      <c r="H255" t="str">
        <v>hour</v>
      </c>
      <c r="J255">
        <v>48</v>
      </c>
      <c r="K255" s="123">
        <v>45870</v>
      </c>
    </row>
    <row r="256" spans="1:16" hidden="1" x14ac:dyDescent="0.25">
      <c r="A256">
        <v>255</v>
      </c>
      <c r="B256">
        <v>2025</v>
      </c>
      <c r="C256">
        <v>8</v>
      </c>
      <c r="D256">
        <v>31</v>
      </c>
      <c r="E256">
        <v>7</v>
      </c>
      <c r="F256" t="str">
        <v>53BB774</v>
      </c>
      <c r="G256">
        <v>25.999999999999986</v>
      </c>
      <c r="H256" t="str">
        <v>hour</v>
      </c>
      <c r="J256">
        <v>52</v>
      </c>
      <c r="K256" s="123">
        <v>45870</v>
      </c>
    </row>
    <row r="257" spans="1:11" hidden="1" x14ac:dyDescent="0.25">
      <c r="A257">
        <v>256</v>
      </c>
      <c r="B257">
        <v>2025</v>
      </c>
      <c r="C257">
        <v>8</v>
      </c>
      <c r="D257">
        <v>31</v>
      </c>
      <c r="E257">
        <v>7</v>
      </c>
      <c r="F257" t="str">
        <v>55CB633</v>
      </c>
      <c r="G257">
        <v>100</v>
      </c>
      <c r="H257" t="str">
        <v>hour</v>
      </c>
      <c r="J257">
        <v>56</v>
      </c>
      <c r="K257" s="123">
        <v>45870</v>
      </c>
    </row>
    <row r="258" spans="1:11" hidden="1" x14ac:dyDescent="0.25">
      <c r="A258">
        <v>257</v>
      </c>
      <c r="B258">
        <v>2025</v>
      </c>
      <c r="C258">
        <v>8</v>
      </c>
      <c r="D258">
        <v>31</v>
      </c>
      <c r="E258">
        <v>7</v>
      </c>
      <c r="F258" t="str">
        <v>90LS143</v>
      </c>
      <c r="G258">
        <v>11.999999999999995</v>
      </c>
      <c r="H258" t="str">
        <v>hour</v>
      </c>
      <c r="J258">
        <v>80</v>
      </c>
      <c r="K258" s="123">
        <v>45870</v>
      </c>
    </row>
    <row r="259" spans="1:11" hidden="1" x14ac:dyDescent="0.25">
      <c r="A259">
        <v>258</v>
      </c>
      <c r="B259">
        <v>2025</v>
      </c>
      <c r="C259">
        <v>8</v>
      </c>
      <c r="D259">
        <v>31</v>
      </c>
      <c r="E259">
        <v>7</v>
      </c>
      <c r="F259" t="str">
        <v>90SL686</v>
      </c>
      <c r="G259">
        <v>116.49989999999997</v>
      </c>
      <c r="H259" t="str">
        <v>hour</v>
      </c>
      <c r="J259">
        <v>20</v>
      </c>
      <c r="K259" s="123">
        <v>45870</v>
      </c>
    </row>
    <row r="260" spans="1:11" hidden="1" x14ac:dyDescent="0.25">
      <c r="A260">
        <v>259</v>
      </c>
      <c r="B260">
        <v>2025</v>
      </c>
      <c r="C260">
        <v>8</v>
      </c>
      <c r="D260">
        <v>31</v>
      </c>
      <c r="E260">
        <v>7</v>
      </c>
      <c r="F260" t="str">
        <v>90VS316</v>
      </c>
      <c r="G260">
        <v>102</v>
      </c>
      <c r="H260" t="str">
        <v>hour</v>
      </c>
      <c r="J260">
        <v>86</v>
      </c>
      <c r="K260" s="123">
        <v>45870</v>
      </c>
    </row>
    <row r="261" spans="1:11" hidden="1" x14ac:dyDescent="0.25">
      <c r="A261">
        <v>260</v>
      </c>
      <c r="B261">
        <v>2025</v>
      </c>
      <c r="C261">
        <v>8</v>
      </c>
      <c r="D261">
        <v>31</v>
      </c>
      <c r="E261">
        <v>7</v>
      </c>
      <c r="F261" t="str">
        <v>99BT339</v>
      </c>
      <c r="G261">
        <v>89.999999999999986</v>
      </c>
      <c r="H261" t="str">
        <v>hour</v>
      </c>
      <c r="J261">
        <v>92</v>
      </c>
      <c r="K261" s="123">
        <v>45870</v>
      </c>
    </row>
    <row r="262" spans="1:11" hidden="1" x14ac:dyDescent="0.25">
      <c r="A262">
        <v>261</v>
      </c>
      <c r="B262">
        <v>2025</v>
      </c>
      <c r="C262">
        <v>8</v>
      </c>
      <c r="D262">
        <v>31</v>
      </c>
      <c r="E262">
        <v>7</v>
      </c>
      <c r="F262" t="str">
        <v>99EM163</v>
      </c>
      <c r="G262">
        <v>200</v>
      </c>
      <c r="H262" t="str">
        <v>hour</v>
      </c>
      <c r="J262">
        <v>99</v>
      </c>
      <c r="K262" s="123">
        <v>45870</v>
      </c>
    </row>
    <row r="263" spans="1:11" hidden="1" x14ac:dyDescent="0.25">
      <c r="A263">
        <v>262</v>
      </c>
      <c r="B263">
        <v>2025</v>
      </c>
      <c r="C263">
        <v>8</v>
      </c>
      <c r="D263">
        <v>31</v>
      </c>
      <c r="E263">
        <v>7</v>
      </c>
      <c r="F263" t="str">
        <v>99KL663</v>
      </c>
      <c r="G263">
        <v>57.999999999999993</v>
      </c>
      <c r="H263" t="str">
        <v>hour</v>
      </c>
      <c r="J263">
        <v>105</v>
      </c>
      <c r="K263" s="123">
        <v>45870</v>
      </c>
    </row>
    <row r="264" spans="1:11" hidden="1" x14ac:dyDescent="0.25">
      <c r="A264">
        <v>263</v>
      </c>
      <c r="B264">
        <v>2025</v>
      </c>
      <c r="C264">
        <v>8</v>
      </c>
      <c r="D264">
        <v>31</v>
      </c>
      <c r="E264">
        <v>7</v>
      </c>
      <c r="F264" t="str">
        <v>99LM412</v>
      </c>
      <c r="G264">
        <v>54.000000000000014</v>
      </c>
      <c r="H264" t="str">
        <v>hour</v>
      </c>
      <c r="J264">
        <v>115</v>
      </c>
      <c r="K264" s="123">
        <v>45870</v>
      </c>
    </row>
    <row r="265" spans="1:11" hidden="1" x14ac:dyDescent="0.25">
      <c r="A265">
        <v>264</v>
      </c>
      <c r="B265">
        <v>2025</v>
      </c>
      <c r="C265">
        <v>8</v>
      </c>
      <c r="D265">
        <v>31</v>
      </c>
      <c r="E265">
        <v>7</v>
      </c>
      <c r="F265" t="str">
        <v>99MN472</v>
      </c>
      <c r="G265">
        <v>93</v>
      </c>
      <c r="H265" t="str">
        <v>hour</v>
      </c>
      <c r="J265">
        <v>107</v>
      </c>
      <c r="K265" s="123">
        <v>45870</v>
      </c>
    </row>
    <row r="266" spans="1:11" hidden="1" x14ac:dyDescent="0.25">
      <c r="A266">
        <v>265</v>
      </c>
      <c r="B266">
        <v>2025</v>
      </c>
      <c r="C266">
        <v>8</v>
      </c>
      <c r="D266">
        <v>51</v>
      </c>
      <c r="E266">
        <v>2</v>
      </c>
      <c r="F266" t="str">
        <v>10BA857</v>
      </c>
      <c r="G266">
        <v>29.999999999999993</v>
      </c>
      <c r="H266" t="str">
        <v>hour</v>
      </c>
      <c r="J266">
        <v>4</v>
      </c>
      <c r="K266" s="123">
        <v>45870</v>
      </c>
    </row>
    <row r="267" spans="1:11" hidden="1" x14ac:dyDescent="0.25">
      <c r="A267">
        <v>266</v>
      </c>
      <c r="B267">
        <v>2025</v>
      </c>
      <c r="C267">
        <v>8</v>
      </c>
      <c r="D267">
        <v>85</v>
      </c>
      <c r="E267">
        <v>3</v>
      </c>
      <c r="F267" t="str">
        <v>77SN951</v>
      </c>
      <c r="G267">
        <v>36.999999999999979</v>
      </c>
      <c r="H267" t="str">
        <v>hour</v>
      </c>
      <c r="J267">
        <v>2</v>
      </c>
      <c r="K267" s="123">
        <v>45870</v>
      </c>
    </row>
    <row r="268" spans="1:11" hidden="1" x14ac:dyDescent="0.25">
      <c r="A268">
        <v>267</v>
      </c>
      <c r="B268">
        <v>2025</v>
      </c>
      <c r="C268">
        <v>8</v>
      </c>
      <c r="D268">
        <v>94</v>
      </c>
      <c r="E268">
        <v>3</v>
      </c>
      <c r="F268" t="str">
        <v>10MF640</v>
      </c>
      <c r="G268">
        <v>39.000000000000014</v>
      </c>
      <c r="H268" t="str">
        <v>hour</v>
      </c>
      <c r="J268">
        <v>5</v>
      </c>
      <c r="K268" s="123">
        <v>45870</v>
      </c>
    </row>
    <row r="269" spans="1:11" hidden="1" x14ac:dyDescent="0.25">
      <c r="A269">
        <v>268</v>
      </c>
      <c r="B269">
        <v>2025</v>
      </c>
      <c r="C269">
        <v>8</v>
      </c>
      <c r="D269">
        <v>99</v>
      </c>
      <c r="E269">
        <v>2</v>
      </c>
      <c r="F269" t="str">
        <v>50BX301</v>
      </c>
      <c r="G269">
        <v>31</v>
      </c>
      <c r="H269" t="str">
        <v>hour</v>
      </c>
      <c r="J269">
        <v>2</v>
      </c>
      <c r="K269" s="123">
        <v>45870</v>
      </c>
    </row>
    <row r="270" spans="1:11" hidden="1" x14ac:dyDescent="0.25">
      <c r="A270">
        <v>269</v>
      </c>
      <c r="B270">
        <v>2025</v>
      </c>
      <c r="C270">
        <v>9</v>
      </c>
      <c r="D270">
        <v>31</v>
      </c>
      <c r="E270">
        <v>8</v>
      </c>
      <c r="F270" t="str">
        <v>10RN527</v>
      </c>
      <c r="G270">
        <v>30</v>
      </c>
      <c r="H270" t="str">
        <v>single</v>
      </c>
      <c r="J270">
        <v>32</v>
      </c>
      <c r="K270" s="123">
        <v>45901</v>
      </c>
    </row>
    <row r="271" spans="1:11" hidden="1" x14ac:dyDescent="0.25">
      <c r="A271">
        <v>270</v>
      </c>
      <c r="B271">
        <v>2025</v>
      </c>
      <c r="C271">
        <v>9</v>
      </c>
      <c r="D271">
        <v>31</v>
      </c>
      <c r="E271">
        <v>8</v>
      </c>
      <c r="F271" t="str">
        <v>50BD165</v>
      </c>
      <c r="G271">
        <v>29</v>
      </c>
      <c r="H271" t="str">
        <v>single</v>
      </c>
      <c r="J271">
        <v>41</v>
      </c>
      <c r="K271" s="123">
        <v>45901</v>
      </c>
    </row>
    <row r="272" spans="1:11" hidden="1" x14ac:dyDescent="0.25">
      <c r="A272">
        <v>271</v>
      </c>
      <c r="B272">
        <v>2025</v>
      </c>
      <c r="C272">
        <v>9</v>
      </c>
      <c r="D272">
        <v>31</v>
      </c>
      <c r="E272">
        <v>8</v>
      </c>
      <c r="F272" t="str">
        <v>50BN724</v>
      </c>
      <c r="G272">
        <v>30</v>
      </c>
      <c r="H272" t="str">
        <v>single</v>
      </c>
      <c r="J272">
        <v>43</v>
      </c>
      <c r="K272" s="123">
        <v>45901</v>
      </c>
    </row>
    <row r="273" spans="1:11" hidden="1" x14ac:dyDescent="0.25">
      <c r="A273">
        <v>272</v>
      </c>
      <c r="B273">
        <v>2025</v>
      </c>
      <c r="C273">
        <v>9</v>
      </c>
      <c r="D273">
        <v>31</v>
      </c>
      <c r="E273">
        <v>8</v>
      </c>
      <c r="F273" t="str">
        <v>50CN929</v>
      </c>
      <c r="G273">
        <v>29</v>
      </c>
      <c r="H273" t="str">
        <v>single</v>
      </c>
      <c r="J273">
        <v>45</v>
      </c>
      <c r="K273" s="123">
        <v>45901</v>
      </c>
    </row>
    <row r="274" spans="1:11" hidden="1" x14ac:dyDescent="0.25">
      <c r="A274">
        <v>273</v>
      </c>
      <c r="B274">
        <v>2025</v>
      </c>
      <c r="C274">
        <v>9</v>
      </c>
      <c r="D274">
        <v>31</v>
      </c>
      <c r="E274">
        <v>8</v>
      </c>
      <c r="F274" t="str">
        <v>50DK730</v>
      </c>
      <c r="G274">
        <v>29</v>
      </c>
      <c r="H274" t="str">
        <v>single</v>
      </c>
      <c r="J274">
        <v>47</v>
      </c>
      <c r="K274" s="123">
        <v>45901</v>
      </c>
    </row>
    <row r="275" spans="1:11" hidden="1" x14ac:dyDescent="0.25">
      <c r="A275">
        <v>274</v>
      </c>
      <c r="B275">
        <v>2025</v>
      </c>
      <c r="C275">
        <v>9</v>
      </c>
      <c r="D275">
        <v>31</v>
      </c>
      <c r="E275">
        <v>8</v>
      </c>
      <c r="F275" t="str">
        <v>50EF902</v>
      </c>
      <c r="G275">
        <v>30</v>
      </c>
      <c r="H275" t="str">
        <v>single</v>
      </c>
      <c r="J275">
        <v>49</v>
      </c>
      <c r="K275" s="123">
        <v>45901</v>
      </c>
    </row>
    <row r="276" spans="1:11" hidden="1" x14ac:dyDescent="0.25">
      <c r="A276">
        <v>275</v>
      </c>
      <c r="B276">
        <v>2025</v>
      </c>
      <c r="C276">
        <v>9</v>
      </c>
      <c r="D276">
        <v>31</v>
      </c>
      <c r="E276">
        <v>8</v>
      </c>
      <c r="F276" t="str">
        <v>55CB633</v>
      </c>
      <c r="G276">
        <v>27</v>
      </c>
      <c r="H276" t="str">
        <v>single</v>
      </c>
      <c r="J276">
        <v>57</v>
      </c>
      <c r="K276" s="123">
        <v>45901</v>
      </c>
    </row>
    <row r="277" spans="1:11" hidden="1" x14ac:dyDescent="0.25">
      <c r="A277">
        <v>276</v>
      </c>
      <c r="B277">
        <v>2025</v>
      </c>
      <c r="C277">
        <v>9</v>
      </c>
      <c r="D277">
        <v>31</v>
      </c>
      <c r="E277">
        <v>8</v>
      </c>
      <c r="F277" t="str">
        <v>77AT386</v>
      </c>
      <c r="G277">
        <v>30</v>
      </c>
      <c r="H277" t="str">
        <v>single</v>
      </c>
      <c r="J277">
        <v>13</v>
      </c>
      <c r="K277" s="123">
        <v>45901</v>
      </c>
    </row>
    <row r="278" spans="1:11" hidden="1" x14ac:dyDescent="0.25">
      <c r="A278">
        <v>277</v>
      </c>
      <c r="B278">
        <v>2025</v>
      </c>
      <c r="C278">
        <v>9</v>
      </c>
      <c r="D278">
        <v>31</v>
      </c>
      <c r="E278">
        <v>8</v>
      </c>
      <c r="F278" t="str">
        <v>77QE133</v>
      </c>
      <c r="G278">
        <v>8</v>
      </c>
      <c r="H278" t="str">
        <v>single</v>
      </c>
      <c r="J278">
        <v>69</v>
      </c>
      <c r="K278" s="123">
        <v>45901</v>
      </c>
    </row>
    <row r="279" spans="1:11" hidden="1" x14ac:dyDescent="0.25">
      <c r="A279">
        <v>278</v>
      </c>
      <c r="B279">
        <v>2025</v>
      </c>
      <c r="C279">
        <v>9</v>
      </c>
      <c r="D279">
        <v>31</v>
      </c>
      <c r="E279">
        <v>8</v>
      </c>
      <c r="F279" t="str">
        <v>77SR538</v>
      </c>
      <c r="G279">
        <v>30</v>
      </c>
      <c r="H279" t="str">
        <v>single</v>
      </c>
      <c r="J279">
        <v>73</v>
      </c>
      <c r="K279" s="123">
        <v>45901</v>
      </c>
    </row>
    <row r="280" spans="1:11" hidden="1" x14ac:dyDescent="0.25">
      <c r="A280">
        <v>279</v>
      </c>
      <c r="B280">
        <v>2025</v>
      </c>
      <c r="C280">
        <v>9</v>
      </c>
      <c r="D280">
        <v>31</v>
      </c>
      <c r="E280">
        <v>8</v>
      </c>
      <c r="F280" t="str">
        <v>77TG971</v>
      </c>
      <c r="G280">
        <v>29</v>
      </c>
      <c r="H280" t="str">
        <v>single</v>
      </c>
      <c r="J280">
        <v>75</v>
      </c>
      <c r="K280" s="123">
        <v>45901</v>
      </c>
    </row>
    <row r="281" spans="1:11" hidden="1" x14ac:dyDescent="0.25">
      <c r="A281">
        <v>280</v>
      </c>
      <c r="B281">
        <v>2025</v>
      </c>
      <c r="C281">
        <v>9</v>
      </c>
      <c r="D281">
        <v>31</v>
      </c>
      <c r="E281">
        <v>8</v>
      </c>
      <c r="F281" t="str">
        <v>77UR032</v>
      </c>
      <c r="G281">
        <v>27</v>
      </c>
      <c r="H281" t="str">
        <v>single</v>
      </c>
      <c r="J281">
        <v>77</v>
      </c>
      <c r="K281" s="123">
        <v>45901</v>
      </c>
    </row>
    <row r="282" spans="1:11" hidden="1" x14ac:dyDescent="0.25">
      <c r="A282">
        <v>281</v>
      </c>
      <c r="B282">
        <v>2025</v>
      </c>
      <c r="C282">
        <v>9</v>
      </c>
      <c r="D282">
        <v>31</v>
      </c>
      <c r="E282">
        <v>8</v>
      </c>
      <c r="F282" t="str">
        <v>77VL420</v>
      </c>
      <c r="G282">
        <v>15</v>
      </c>
      <c r="H282" t="str">
        <v>single</v>
      </c>
      <c r="J282">
        <v>118</v>
      </c>
      <c r="K282" s="123">
        <v>45901</v>
      </c>
    </row>
    <row r="283" spans="1:11" hidden="1" x14ac:dyDescent="0.25">
      <c r="A283">
        <v>282</v>
      </c>
      <c r="B283">
        <v>2025</v>
      </c>
      <c r="C283">
        <v>9</v>
      </c>
      <c r="D283">
        <v>31</v>
      </c>
      <c r="E283">
        <v>8</v>
      </c>
      <c r="F283" t="str">
        <v>90LS143</v>
      </c>
      <c r="G283">
        <v>27</v>
      </c>
      <c r="H283" t="str">
        <v>single</v>
      </c>
      <c r="J283">
        <v>81</v>
      </c>
      <c r="K283" s="123">
        <v>45901</v>
      </c>
    </row>
    <row r="284" spans="1:11" hidden="1" x14ac:dyDescent="0.25">
      <c r="A284">
        <v>283</v>
      </c>
      <c r="B284">
        <v>2025</v>
      </c>
      <c r="C284">
        <v>9</v>
      </c>
      <c r="D284">
        <v>31</v>
      </c>
      <c r="E284">
        <v>8</v>
      </c>
      <c r="F284" t="str">
        <v>90OE402</v>
      </c>
      <c r="G284">
        <v>30</v>
      </c>
      <c r="H284" t="str">
        <v>single</v>
      </c>
      <c r="J284">
        <v>83</v>
      </c>
      <c r="K284" s="123">
        <v>45901</v>
      </c>
    </row>
    <row r="285" spans="1:11" hidden="1" x14ac:dyDescent="0.25">
      <c r="A285">
        <v>284</v>
      </c>
      <c r="B285">
        <v>2025</v>
      </c>
      <c r="C285">
        <v>9</v>
      </c>
      <c r="D285">
        <v>31</v>
      </c>
      <c r="E285">
        <v>8</v>
      </c>
      <c r="F285" t="str">
        <v>90PY548</v>
      </c>
      <c r="G285">
        <v>30</v>
      </c>
      <c r="H285" t="str">
        <v>single</v>
      </c>
      <c r="J285">
        <v>85</v>
      </c>
      <c r="K285" s="123">
        <v>45901</v>
      </c>
    </row>
    <row r="286" spans="1:11" hidden="1" x14ac:dyDescent="0.25">
      <c r="A286">
        <v>285</v>
      </c>
      <c r="B286">
        <v>2025</v>
      </c>
      <c r="C286">
        <v>9</v>
      </c>
      <c r="D286">
        <v>31</v>
      </c>
      <c r="E286">
        <v>8</v>
      </c>
      <c r="F286" t="str">
        <v>90SL686</v>
      </c>
      <c r="G286">
        <v>11</v>
      </c>
      <c r="H286" t="str">
        <v>single</v>
      </c>
      <c r="J286">
        <v>19</v>
      </c>
      <c r="K286" s="123">
        <v>45901</v>
      </c>
    </row>
    <row r="287" spans="1:11" hidden="1" x14ac:dyDescent="0.25">
      <c r="A287">
        <v>286</v>
      </c>
      <c r="B287">
        <v>2025</v>
      </c>
      <c r="C287">
        <v>9</v>
      </c>
      <c r="D287">
        <v>31</v>
      </c>
      <c r="E287">
        <v>8</v>
      </c>
      <c r="F287" t="str">
        <v>90VS316</v>
      </c>
      <c r="G287">
        <v>29</v>
      </c>
      <c r="H287" t="str">
        <v>single</v>
      </c>
      <c r="J287">
        <v>87</v>
      </c>
      <c r="K287" s="123">
        <v>45901</v>
      </c>
    </row>
    <row r="288" spans="1:11" hidden="1" x14ac:dyDescent="0.25">
      <c r="A288">
        <v>287</v>
      </c>
      <c r="B288">
        <v>2025</v>
      </c>
      <c r="C288">
        <v>9</v>
      </c>
      <c r="D288">
        <v>31</v>
      </c>
      <c r="E288">
        <v>8</v>
      </c>
      <c r="F288" t="str">
        <v>99BT339</v>
      </c>
      <c r="G288">
        <v>29</v>
      </c>
      <c r="H288" t="str">
        <v>single</v>
      </c>
      <c r="J288">
        <v>93</v>
      </c>
      <c r="K288" s="123">
        <v>45901</v>
      </c>
    </row>
    <row r="289" spans="1:11" hidden="1" x14ac:dyDescent="0.25">
      <c r="A289">
        <v>288</v>
      </c>
      <c r="B289">
        <v>2025</v>
      </c>
      <c r="C289">
        <v>9</v>
      </c>
      <c r="D289">
        <v>31</v>
      </c>
      <c r="E289">
        <v>8</v>
      </c>
      <c r="F289" t="str">
        <v>99CN447</v>
      </c>
      <c r="G289">
        <v>24</v>
      </c>
      <c r="H289" t="str">
        <v>single</v>
      </c>
      <c r="J289">
        <v>94</v>
      </c>
      <c r="K289" s="123">
        <v>45901</v>
      </c>
    </row>
    <row r="290" spans="1:11" hidden="1" x14ac:dyDescent="0.25">
      <c r="A290">
        <v>289</v>
      </c>
      <c r="B290">
        <v>2025</v>
      </c>
      <c r="C290">
        <v>9</v>
      </c>
      <c r="D290">
        <v>31</v>
      </c>
      <c r="E290">
        <v>8</v>
      </c>
      <c r="F290" t="str">
        <v>99FO779</v>
      </c>
      <c r="G290">
        <v>22</v>
      </c>
      <c r="H290" t="str">
        <v>single</v>
      </c>
      <c r="J290">
        <v>101</v>
      </c>
      <c r="K290" s="123">
        <v>45901</v>
      </c>
    </row>
    <row r="291" spans="1:11" hidden="1" x14ac:dyDescent="0.25">
      <c r="A291">
        <v>290</v>
      </c>
      <c r="B291">
        <v>2025</v>
      </c>
      <c r="C291">
        <v>9</v>
      </c>
      <c r="D291">
        <v>31</v>
      </c>
      <c r="E291">
        <v>8</v>
      </c>
      <c r="F291" t="str">
        <v>99HZ395</v>
      </c>
      <c r="G291">
        <v>30</v>
      </c>
      <c r="H291" t="str">
        <v>single</v>
      </c>
      <c r="J291">
        <v>3</v>
      </c>
      <c r="K291" s="123">
        <v>45901</v>
      </c>
    </row>
    <row r="292" spans="1:11" hidden="1" x14ac:dyDescent="0.25">
      <c r="A292">
        <v>291</v>
      </c>
      <c r="B292">
        <v>2025</v>
      </c>
      <c r="C292">
        <v>9</v>
      </c>
      <c r="D292">
        <v>31</v>
      </c>
      <c r="E292">
        <v>8</v>
      </c>
      <c r="F292" t="str">
        <v>99KL663</v>
      </c>
      <c r="G292">
        <v>29</v>
      </c>
      <c r="H292" t="str">
        <v>single</v>
      </c>
      <c r="J292">
        <v>106</v>
      </c>
      <c r="K292" s="123">
        <v>45901</v>
      </c>
    </row>
    <row r="293" spans="1:11" hidden="1" x14ac:dyDescent="0.25">
      <c r="A293">
        <v>292</v>
      </c>
      <c r="B293">
        <v>2025</v>
      </c>
      <c r="C293">
        <v>9</v>
      </c>
      <c r="D293">
        <v>31</v>
      </c>
      <c r="E293">
        <v>8</v>
      </c>
      <c r="F293" t="str">
        <v>99LM412</v>
      </c>
      <c r="G293">
        <v>30</v>
      </c>
      <c r="H293" t="str">
        <v>single</v>
      </c>
      <c r="J293">
        <v>116</v>
      </c>
      <c r="K293" s="123">
        <v>45901</v>
      </c>
    </row>
    <row r="294" spans="1:11" hidden="1" x14ac:dyDescent="0.25">
      <c r="A294">
        <v>293</v>
      </c>
      <c r="B294">
        <v>2025</v>
      </c>
      <c r="C294">
        <v>9</v>
      </c>
      <c r="D294">
        <v>31</v>
      </c>
      <c r="E294">
        <v>8</v>
      </c>
      <c r="F294" t="str">
        <v>99MN472</v>
      </c>
      <c r="G294">
        <v>30</v>
      </c>
      <c r="H294" t="str">
        <v>single</v>
      </c>
      <c r="J294">
        <v>108</v>
      </c>
      <c r="K294" s="123">
        <v>45901</v>
      </c>
    </row>
    <row r="295" spans="1:11" hidden="1" x14ac:dyDescent="0.25">
      <c r="A295">
        <v>294</v>
      </c>
      <c r="B295">
        <v>2025</v>
      </c>
      <c r="C295">
        <v>9</v>
      </c>
      <c r="D295">
        <v>31</v>
      </c>
      <c r="E295">
        <v>8</v>
      </c>
      <c r="F295" t="str">
        <v>99OR961</v>
      </c>
      <c r="G295">
        <v>25</v>
      </c>
      <c r="H295" t="str">
        <v>single</v>
      </c>
      <c r="J295">
        <v>109</v>
      </c>
      <c r="K295" s="123">
        <v>45901</v>
      </c>
    </row>
    <row r="296" spans="1:11" hidden="1" x14ac:dyDescent="0.25">
      <c r="A296">
        <v>295</v>
      </c>
      <c r="B296">
        <v>2025</v>
      </c>
      <c r="C296">
        <v>9</v>
      </c>
      <c r="D296">
        <v>31</v>
      </c>
      <c r="E296">
        <v>8</v>
      </c>
      <c r="F296" t="str">
        <v>99UK314</v>
      </c>
      <c r="G296">
        <v>25</v>
      </c>
      <c r="H296" t="str">
        <v>single</v>
      </c>
      <c r="J296">
        <v>114</v>
      </c>
      <c r="K296" s="123">
        <v>45901</v>
      </c>
    </row>
    <row r="297" spans="1:11" hidden="1" x14ac:dyDescent="0.25">
      <c r="A297">
        <v>296</v>
      </c>
      <c r="B297">
        <v>2025</v>
      </c>
      <c r="C297">
        <v>9</v>
      </c>
      <c r="D297">
        <v>31</v>
      </c>
      <c r="E297">
        <v>8</v>
      </c>
      <c r="F297" t="str">
        <v>90YN163</v>
      </c>
      <c r="G297">
        <v>2</v>
      </c>
      <c r="H297" t="str">
        <v>single</v>
      </c>
      <c r="J297">
        <v>89</v>
      </c>
      <c r="K297" s="123">
        <v>45901</v>
      </c>
    </row>
    <row r="298" spans="1:11" hidden="1" x14ac:dyDescent="0.25">
      <c r="A298">
        <v>297</v>
      </c>
      <c r="B298">
        <v>2025</v>
      </c>
      <c r="C298">
        <v>9</v>
      </c>
      <c r="D298">
        <v>46</v>
      </c>
      <c r="E298">
        <v>5</v>
      </c>
      <c r="F298" t="str">
        <v>110FY523</v>
      </c>
      <c r="G298">
        <v>27</v>
      </c>
      <c r="H298" t="str">
        <v>single</v>
      </c>
      <c r="J298">
        <v>1</v>
      </c>
      <c r="K298" s="123">
        <v>45901</v>
      </c>
    </row>
    <row r="299" spans="1:11" hidden="1" x14ac:dyDescent="0.25">
      <c r="A299">
        <v>298</v>
      </c>
      <c r="B299">
        <v>2025</v>
      </c>
      <c r="C299">
        <v>9</v>
      </c>
      <c r="D299">
        <v>46</v>
      </c>
      <c r="E299">
        <v>5</v>
      </c>
      <c r="F299" t="str">
        <v>110FY524</v>
      </c>
      <c r="G299">
        <v>20</v>
      </c>
      <c r="H299" t="str">
        <v>single</v>
      </c>
      <c r="J299">
        <v>7</v>
      </c>
      <c r="K299" s="123">
        <v>45901</v>
      </c>
    </row>
    <row r="300" spans="1:11" hidden="1" x14ac:dyDescent="0.25">
      <c r="A300">
        <v>299</v>
      </c>
      <c r="B300">
        <v>2025</v>
      </c>
      <c r="C300">
        <v>9</v>
      </c>
      <c r="D300">
        <v>46</v>
      </c>
      <c r="E300">
        <v>5</v>
      </c>
      <c r="F300" t="str">
        <v>10AD801</v>
      </c>
      <c r="G300">
        <v>8</v>
      </c>
      <c r="H300" t="str">
        <v>single</v>
      </c>
      <c r="J300">
        <v>4</v>
      </c>
      <c r="K300" s="123">
        <v>45901</v>
      </c>
    </row>
    <row r="301" spans="1:11" hidden="1" x14ac:dyDescent="0.25">
      <c r="A301">
        <v>300</v>
      </c>
      <c r="B301">
        <v>2025</v>
      </c>
      <c r="C301">
        <v>9</v>
      </c>
      <c r="D301">
        <v>46</v>
      </c>
      <c r="E301">
        <v>5</v>
      </c>
      <c r="F301" t="str">
        <v>10AB468</v>
      </c>
      <c r="G301">
        <v>6</v>
      </c>
      <c r="H301" t="str">
        <v>single</v>
      </c>
      <c r="J301">
        <v>10</v>
      </c>
      <c r="K301" s="123">
        <v>45901</v>
      </c>
    </row>
    <row r="302" spans="1:11" hidden="1" x14ac:dyDescent="0.25">
      <c r="A302">
        <v>301</v>
      </c>
      <c r="B302">
        <v>2025</v>
      </c>
      <c r="C302">
        <v>9</v>
      </c>
      <c r="D302">
        <v>50</v>
      </c>
      <c r="E302">
        <v>4</v>
      </c>
      <c r="F302" t="str">
        <v>61AB256</v>
      </c>
      <c r="G302">
        <v>27</v>
      </c>
      <c r="H302" t="str">
        <v>single</v>
      </c>
      <c r="J302">
        <v>1</v>
      </c>
      <c r="K302" s="123">
        <v>45901</v>
      </c>
    </row>
    <row r="303" spans="1:11" hidden="1" x14ac:dyDescent="0.25">
      <c r="A303">
        <v>302</v>
      </c>
      <c r="B303">
        <v>2025</v>
      </c>
      <c r="C303">
        <v>9</v>
      </c>
      <c r="D303">
        <v>51</v>
      </c>
      <c r="E303">
        <v>2</v>
      </c>
      <c r="F303" t="str">
        <v>10BA857</v>
      </c>
      <c r="G303">
        <v>25</v>
      </c>
      <c r="H303" t="str">
        <v>single</v>
      </c>
      <c r="J303">
        <v>3</v>
      </c>
      <c r="K303" s="123">
        <v>45901</v>
      </c>
    </row>
    <row r="304" spans="1:11" hidden="1" x14ac:dyDescent="0.25">
      <c r="A304">
        <v>303</v>
      </c>
      <c r="B304">
        <v>2025</v>
      </c>
      <c r="C304">
        <v>9</v>
      </c>
      <c r="D304">
        <v>65</v>
      </c>
      <c r="E304">
        <v>5</v>
      </c>
      <c r="F304" t="str">
        <v>01BA176</v>
      </c>
      <c r="G304">
        <v>27</v>
      </c>
      <c r="H304" t="str">
        <v>single</v>
      </c>
      <c r="J304">
        <v>1</v>
      </c>
      <c r="K304" s="123">
        <v>45901</v>
      </c>
    </row>
    <row r="305" spans="1:11" hidden="1" x14ac:dyDescent="0.25">
      <c r="A305">
        <v>304</v>
      </c>
      <c r="B305">
        <v>2025</v>
      </c>
      <c r="C305">
        <v>9</v>
      </c>
      <c r="D305">
        <v>65</v>
      </c>
      <c r="E305">
        <v>5</v>
      </c>
      <c r="F305" t="str">
        <v>10BD252</v>
      </c>
      <c r="G305">
        <v>28</v>
      </c>
      <c r="H305" t="str">
        <v>single</v>
      </c>
      <c r="J305">
        <v>2</v>
      </c>
      <c r="K305" s="123">
        <v>45901</v>
      </c>
    </row>
    <row r="306" spans="1:11" hidden="1" x14ac:dyDescent="0.25">
      <c r="A306">
        <v>305</v>
      </c>
      <c r="B306">
        <v>2025</v>
      </c>
      <c r="C306">
        <v>9</v>
      </c>
      <c r="D306">
        <v>85</v>
      </c>
      <c r="E306">
        <v>4</v>
      </c>
      <c r="F306" t="str">
        <v>77SN951</v>
      </c>
      <c r="G306">
        <v>28</v>
      </c>
      <c r="H306" t="str">
        <v>single</v>
      </c>
      <c r="J306">
        <v>1</v>
      </c>
      <c r="K306" s="123">
        <v>45901</v>
      </c>
    </row>
    <row r="307" spans="1:11" hidden="1" x14ac:dyDescent="0.25">
      <c r="A307">
        <v>306</v>
      </c>
      <c r="B307">
        <v>2025</v>
      </c>
      <c r="C307">
        <v>9</v>
      </c>
      <c r="D307">
        <v>94</v>
      </c>
      <c r="E307">
        <v>4</v>
      </c>
      <c r="F307" t="str">
        <v>54BM823</v>
      </c>
      <c r="G307">
        <v>30</v>
      </c>
      <c r="H307" t="str">
        <v>single</v>
      </c>
      <c r="J307">
        <v>1</v>
      </c>
      <c r="K307" s="123">
        <v>45901</v>
      </c>
    </row>
    <row r="308" spans="1:11" hidden="1" x14ac:dyDescent="0.25">
      <c r="A308">
        <v>307</v>
      </c>
      <c r="B308">
        <v>2025</v>
      </c>
      <c r="C308">
        <v>9</v>
      </c>
      <c r="D308">
        <v>94</v>
      </c>
      <c r="E308">
        <v>4</v>
      </c>
      <c r="F308" t="str">
        <v>01BT754</v>
      </c>
      <c r="G308">
        <v>30</v>
      </c>
      <c r="H308" t="str">
        <v>single</v>
      </c>
      <c r="J308">
        <v>3</v>
      </c>
      <c r="K308" s="123">
        <v>45901</v>
      </c>
    </row>
    <row r="309" spans="1:11" hidden="1" x14ac:dyDescent="0.25">
      <c r="A309">
        <v>308</v>
      </c>
      <c r="B309">
        <v>2025</v>
      </c>
      <c r="C309">
        <v>9</v>
      </c>
      <c r="D309">
        <v>94</v>
      </c>
      <c r="E309">
        <v>5</v>
      </c>
      <c r="F309" t="str">
        <v>01BT754</v>
      </c>
      <c r="G309">
        <v>31</v>
      </c>
      <c r="H309" t="str">
        <v>single</v>
      </c>
      <c r="J309">
        <v>3</v>
      </c>
      <c r="K309" s="123">
        <v>45901</v>
      </c>
    </row>
    <row r="310" spans="1:11" hidden="1" x14ac:dyDescent="0.25">
      <c r="A310">
        <v>309</v>
      </c>
      <c r="B310">
        <v>2025</v>
      </c>
      <c r="C310">
        <v>9</v>
      </c>
      <c r="D310">
        <v>95</v>
      </c>
      <c r="E310">
        <v>1</v>
      </c>
      <c r="F310" t="str">
        <v>54BA209</v>
      </c>
      <c r="G310">
        <v>16.5</v>
      </c>
      <c r="H310" t="str">
        <v>single</v>
      </c>
      <c r="J310">
        <v>1</v>
      </c>
      <c r="K310" s="123">
        <v>45901</v>
      </c>
    </row>
    <row r="311" spans="1:11" hidden="1" x14ac:dyDescent="0.25">
      <c r="A311">
        <v>310</v>
      </c>
      <c r="B311">
        <v>2025</v>
      </c>
      <c r="C311">
        <v>9</v>
      </c>
      <c r="D311">
        <v>95</v>
      </c>
      <c r="E311">
        <v>2</v>
      </c>
      <c r="F311" t="str">
        <v>54BA209</v>
      </c>
      <c r="G311">
        <v>27</v>
      </c>
      <c r="H311" t="str">
        <v>single</v>
      </c>
      <c r="J311">
        <v>1</v>
      </c>
      <c r="K311" s="123">
        <v>45901</v>
      </c>
    </row>
    <row r="312" spans="1:11" hidden="1" x14ac:dyDescent="0.25">
      <c r="A312">
        <v>311</v>
      </c>
      <c r="B312">
        <v>2025</v>
      </c>
      <c r="C312">
        <v>9</v>
      </c>
      <c r="D312">
        <v>95</v>
      </c>
      <c r="E312">
        <v>3</v>
      </c>
      <c r="F312" t="str">
        <v>54BA209</v>
      </c>
      <c r="G312">
        <v>24</v>
      </c>
      <c r="H312" t="str">
        <v>single</v>
      </c>
      <c r="J312">
        <v>1</v>
      </c>
      <c r="K312" s="123">
        <v>45901</v>
      </c>
    </row>
    <row r="313" spans="1:11" hidden="1" x14ac:dyDescent="0.25">
      <c r="A313">
        <v>312</v>
      </c>
      <c r="B313">
        <v>2025</v>
      </c>
      <c r="C313">
        <v>9</v>
      </c>
      <c r="D313">
        <v>95</v>
      </c>
      <c r="E313">
        <v>4</v>
      </c>
      <c r="F313" t="str">
        <v>54BA209</v>
      </c>
      <c r="G313">
        <v>28.5</v>
      </c>
      <c r="H313" t="str">
        <v>single</v>
      </c>
      <c r="J313">
        <v>1</v>
      </c>
      <c r="K313" s="123">
        <v>45901</v>
      </c>
    </row>
    <row r="314" spans="1:11" hidden="1" x14ac:dyDescent="0.25">
      <c r="A314">
        <v>313</v>
      </c>
      <c r="B314">
        <v>2025</v>
      </c>
      <c r="C314">
        <v>9</v>
      </c>
      <c r="D314">
        <v>95</v>
      </c>
      <c r="E314">
        <v>5</v>
      </c>
      <c r="F314" t="str">
        <v>54BA209</v>
      </c>
      <c r="G314">
        <v>22</v>
      </c>
      <c r="H314" t="str">
        <v>single</v>
      </c>
      <c r="J314">
        <v>1</v>
      </c>
      <c r="K314" s="123">
        <v>45901</v>
      </c>
    </row>
    <row r="315" spans="1:11" hidden="1" x14ac:dyDescent="0.25">
      <c r="A315">
        <v>314</v>
      </c>
      <c r="B315">
        <v>2025</v>
      </c>
      <c r="C315">
        <v>9</v>
      </c>
      <c r="D315">
        <v>98</v>
      </c>
      <c r="E315">
        <v>3</v>
      </c>
      <c r="F315" t="str">
        <v>50BD416</v>
      </c>
      <c r="G315">
        <v>27</v>
      </c>
      <c r="H315" t="str">
        <v>single</v>
      </c>
      <c r="J315">
        <v>1</v>
      </c>
      <c r="K315" s="123">
        <v>45901</v>
      </c>
    </row>
    <row r="316" spans="1:11" hidden="1" x14ac:dyDescent="0.25">
      <c r="A316">
        <v>315</v>
      </c>
      <c r="B316">
        <v>2025</v>
      </c>
      <c r="C316">
        <v>9</v>
      </c>
      <c r="D316">
        <v>99</v>
      </c>
      <c r="E316">
        <v>3</v>
      </c>
      <c r="F316" t="str">
        <v>50BX301</v>
      </c>
      <c r="G316">
        <v>29</v>
      </c>
      <c r="H316" t="str">
        <v>single</v>
      </c>
      <c r="J316">
        <v>1</v>
      </c>
      <c r="K316" s="123">
        <v>45901</v>
      </c>
    </row>
    <row r="317" spans="1:11" hidden="1" x14ac:dyDescent="0.25">
      <c r="A317">
        <v>316</v>
      </c>
      <c r="B317">
        <v>2025</v>
      </c>
      <c r="C317">
        <v>9</v>
      </c>
      <c r="D317">
        <v>100</v>
      </c>
      <c r="E317">
        <v>3</v>
      </c>
      <c r="F317" t="str">
        <v>22AB273</v>
      </c>
      <c r="G317">
        <v>26</v>
      </c>
      <c r="H317" t="str">
        <v>single</v>
      </c>
      <c r="J317">
        <v>1</v>
      </c>
      <c r="K317" s="123">
        <v>45901</v>
      </c>
    </row>
    <row r="318" spans="1:11" hidden="1" x14ac:dyDescent="0.25">
      <c r="A318">
        <v>317</v>
      </c>
      <c r="B318">
        <v>2025</v>
      </c>
      <c r="C318">
        <v>9</v>
      </c>
      <c r="D318">
        <v>102</v>
      </c>
      <c r="E318">
        <v>2</v>
      </c>
      <c r="F318" t="str">
        <v>99HQ687</v>
      </c>
      <c r="G318">
        <v>29</v>
      </c>
      <c r="H318" t="str">
        <v>single</v>
      </c>
      <c r="J318">
        <v>1</v>
      </c>
      <c r="K318" s="123">
        <v>45901</v>
      </c>
    </row>
    <row r="319" spans="1:11" hidden="1" x14ac:dyDescent="0.25">
      <c r="A319">
        <v>318</v>
      </c>
      <c r="B319">
        <v>2025</v>
      </c>
      <c r="C319">
        <v>9</v>
      </c>
      <c r="D319">
        <v>102</v>
      </c>
      <c r="E319">
        <v>2</v>
      </c>
      <c r="F319" t="str">
        <v>10MF640</v>
      </c>
      <c r="G319">
        <v>29</v>
      </c>
      <c r="H319" t="str">
        <v>single</v>
      </c>
      <c r="J319">
        <v>3</v>
      </c>
      <c r="K319" s="123">
        <v>45901</v>
      </c>
    </row>
    <row r="320" spans="1:11" hidden="1" x14ac:dyDescent="0.25">
      <c r="A320">
        <v>319</v>
      </c>
      <c r="B320">
        <v>2025</v>
      </c>
      <c r="C320">
        <v>9</v>
      </c>
      <c r="D320">
        <v>110</v>
      </c>
      <c r="E320">
        <v>2</v>
      </c>
      <c r="F320" t="str">
        <v>99XC106</v>
      </c>
      <c r="G320">
        <v>26</v>
      </c>
      <c r="H320" t="str">
        <v>single</v>
      </c>
      <c r="J320">
        <v>1</v>
      </c>
      <c r="K320" s="123">
        <v>45901</v>
      </c>
    </row>
    <row r="321" spans="1:11" hidden="1" x14ac:dyDescent="0.25">
      <c r="A321">
        <v>320</v>
      </c>
      <c r="B321">
        <v>2025</v>
      </c>
      <c r="C321">
        <v>9</v>
      </c>
      <c r="D321">
        <v>31</v>
      </c>
      <c r="E321">
        <v>8</v>
      </c>
      <c r="F321" t="str">
        <v>77GR998</v>
      </c>
      <c r="G321">
        <v>30</v>
      </c>
      <c r="H321" t="str">
        <v>double</v>
      </c>
      <c r="J321">
        <v>63</v>
      </c>
      <c r="K321" s="123">
        <v>45901</v>
      </c>
    </row>
    <row r="322" spans="1:11" hidden="1" x14ac:dyDescent="0.25">
      <c r="A322">
        <v>321</v>
      </c>
      <c r="B322">
        <v>2025</v>
      </c>
      <c r="C322">
        <v>9</v>
      </c>
      <c r="D322">
        <v>31</v>
      </c>
      <c r="E322">
        <v>8</v>
      </c>
      <c r="F322" t="str">
        <v>99EM163</v>
      </c>
      <c r="G322">
        <v>28</v>
      </c>
      <c r="H322" t="str">
        <v>double</v>
      </c>
      <c r="J322">
        <v>98</v>
      </c>
      <c r="K322" s="123">
        <v>45901</v>
      </c>
    </row>
    <row r="323" spans="1:11" hidden="1" x14ac:dyDescent="0.25">
      <c r="A323">
        <v>322</v>
      </c>
      <c r="B323">
        <v>2025</v>
      </c>
      <c r="C323">
        <v>9</v>
      </c>
      <c r="D323">
        <v>46</v>
      </c>
      <c r="E323">
        <v>5</v>
      </c>
      <c r="F323" t="str">
        <v>110FY524</v>
      </c>
      <c r="G323">
        <v>7</v>
      </c>
      <c r="H323" t="str">
        <v>double</v>
      </c>
      <c r="J323">
        <v>8</v>
      </c>
      <c r="K323" s="123">
        <v>45901</v>
      </c>
    </row>
    <row r="324" spans="1:11" hidden="1" x14ac:dyDescent="0.25">
      <c r="A324">
        <v>323</v>
      </c>
      <c r="B324">
        <v>2025</v>
      </c>
      <c r="C324">
        <v>9</v>
      </c>
      <c r="D324">
        <v>31</v>
      </c>
      <c r="E324">
        <v>8</v>
      </c>
      <c r="F324" t="str">
        <v>10RN527</v>
      </c>
      <c r="G324">
        <v>67</v>
      </c>
      <c r="H324" t="str">
        <v>hour</v>
      </c>
      <c r="J324">
        <v>30</v>
      </c>
      <c r="K324" s="123">
        <v>45901</v>
      </c>
    </row>
    <row r="325" spans="1:11" hidden="1" x14ac:dyDescent="0.25">
      <c r="A325">
        <v>324</v>
      </c>
      <c r="B325">
        <v>2025</v>
      </c>
      <c r="C325">
        <v>9</v>
      </c>
      <c r="D325">
        <v>31</v>
      </c>
      <c r="E325">
        <v>8</v>
      </c>
      <c r="F325" t="str">
        <v>50BD165</v>
      </c>
      <c r="G325">
        <v>57.500000000000007</v>
      </c>
      <c r="H325" t="str">
        <v>hour</v>
      </c>
      <c r="J325">
        <v>40</v>
      </c>
      <c r="K325" s="123">
        <v>45901</v>
      </c>
    </row>
    <row r="326" spans="1:11" hidden="1" x14ac:dyDescent="0.25">
      <c r="A326">
        <v>325</v>
      </c>
      <c r="B326">
        <v>2025</v>
      </c>
      <c r="C326">
        <v>9</v>
      </c>
      <c r="D326">
        <v>31</v>
      </c>
      <c r="E326">
        <v>8</v>
      </c>
      <c r="F326" t="str">
        <v>50BN724</v>
      </c>
      <c r="G326">
        <v>69.999999999999986</v>
      </c>
      <c r="H326" t="str">
        <v>hour</v>
      </c>
      <c r="J326">
        <v>42</v>
      </c>
      <c r="K326" s="123">
        <v>45901</v>
      </c>
    </row>
    <row r="327" spans="1:11" hidden="1" x14ac:dyDescent="0.25">
      <c r="A327">
        <v>326</v>
      </c>
      <c r="B327">
        <v>2025</v>
      </c>
      <c r="C327">
        <v>9</v>
      </c>
      <c r="D327">
        <v>31</v>
      </c>
      <c r="E327">
        <v>8</v>
      </c>
      <c r="F327" t="str">
        <v>50DK730</v>
      </c>
      <c r="G327">
        <v>87</v>
      </c>
      <c r="H327" t="str">
        <v>hour</v>
      </c>
      <c r="J327">
        <v>46</v>
      </c>
      <c r="K327" s="123">
        <v>45901</v>
      </c>
    </row>
    <row r="328" spans="1:11" hidden="1" x14ac:dyDescent="0.25">
      <c r="A328">
        <v>327</v>
      </c>
      <c r="B328">
        <v>2025</v>
      </c>
      <c r="C328">
        <v>9</v>
      </c>
      <c r="D328">
        <v>31</v>
      </c>
      <c r="E328">
        <v>8</v>
      </c>
      <c r="F328" t="str">
        <v>50EF902</v>
      </c>
      <c r="G328">
        <v>21.999999999999972</v>
      </c>
      <c r="H328" t="str">
        <v>hour</v>
      </c>
      <c r="J328">
        <v>48</v>
      </c>
      <c r="K328" s="123">
        <v>45901</v>
      </c>
    </row>
    <row r="329" spans="1:11" hidden="1" x14ac:dyDescent="0.25">
      <c r="A329">
        <v>328</v>
      </c>
      <c r="B329">
        <v>2025</v>
      </c>
      <c r="C329">
        <v>9</v>
      </c>
      <c r="D329">
        <v>31</v>
      </c>
      <c r="E329">
        <v>8</v>
      </c>
      <c r="F329" t="str">
        <v>55CB633</v>
      </c>
      <c r="G329">
        <v>114.99999999999999</v>
      </c>
      <c r="H329" t="str">
        <v>hour</v>
      </c>
      <c r="J329">
        <v>56</v>
      </c>
      <c r="K329" s="123">
        <v>45901</v>
      </c>
    </row>
    <row r="330" spans="1:11" hidden="1" x14ac:dyDescent="0.25">
      <c r="A330">
        <v>329</v>
      </c>
      <c r="B330">
        <v>2025</v>
      </c>
      <c r="C330">
        <v>9</v>
      </c>
      <c r="D330">
        <v>31</v>
      </c>
      <c r="E330">
        <v>8</v>
      </c>
      <c r="F330" t="str">
        <v>77UR032</v>
      </c>
      <c r="G330">
        <v>32.999999999999986</v>
      </c>
      <c r="H330" t="str">
        <v>hour</v>
      </c>
      <c r="J330">
        <v>76</v>
      </c>
      <c r="K330" s="123">
        <v>45901</v>
      </c>
    </row>
    <row r="331" spans="1:11" hidden="1" x14ac:dyDescent="0.25">
      <c r="A331">
        <v>330</v>
      </c>
      <c r="B331">
        <v>2025</v>
      </c>
      <c r="C331">
        <v>9</v>
      </c>
      <c r="D331">
        <v>31</v>
      </c>
      <c r="E331">
        <v>8</v>
      </c>
      <c r="F331" t="str">
        <v>90LS143</v>
      </c>
      <c r="G331">
        <v>30.999999999999986</v>
      </c>
      <c r="H331" t="str">
        <v>hour</v>
      </c>
      <c r="J331">
        <v>80</v>
      </c>
      <c r="K331" s="123">
        <v>45901</v>
      </c>
    </row>
    <row r="332" spans="1:11" hidden="1" x14ac:dyDescent="0.25">
      <c r="A332">
        <v>331</v>
      </c>
      <c r="B332">
        <v>2025</v>
      </c>
      <c r="C332">
        <v>9</v>
      </c>
      <c r="D332">
        <v>31</v>
      </c>
      <c r="E332">
        <v>8</v>
      </c>
      <c r="F332" t="str">
        <v>90SL686</v>
      </c>
      <c r="G332">
        <v>46.999999999999986</v>
      </c>
      <c r="H332" t="str">
        <v>hour</v>
      </c>
      <c r="J332">
        <v>20</v>
      </c>
      <c r="K332" s="123">
        <v>45901</v>
      </c>
    </row>
    <row r="333" spans="1:11" hidden="1" x14ac:dyDescent="0.25">
      <c r="A333">
        <v>332</v>
      </c>
      <c r="B333">
        <v>2025</v>
      </c>
      <c r="C333">
        <v>9</v>
      </c>
      <c r="D333">
        <v>31</v>
      </c>
      <c r="E333">
        <v>8</v>
      </c>
      <c r="F333" t="str">
        <v>90VS316</v>
      </c>
      <c r="G333">
        <v>97.999999999999986</v>
      </c>
      <c r="H333" t="str">
        <v>hour</v>
      </c>
      <c r="J333">
        <v>86</v>
      </c>
      <c r="K333" s="123">
        <v>45901</v>
      </c>
    </row>
    <row r="334" spans="1:11" hidden="1" x14ac:dyDescent="0.25">
      <c r="A334">
        <v>333</v>
      </c>
      <c r="B334">
        <v>2025</v>
      </c>
      <c r="C334">
        <v>9</v>
      </c>
      <c r="D334">
        <v>31</v>
      </c>
      <c r="E334">
        <v>8</v>
      </c>
      <c r="F334" t="str">
        <v>99BT339</v>
      </c>
      <c r="G334">
        <v>50.999999999999986</v>
      </c>
      <c r="H334" t="str">
        <v>hour</v>
      </c>
      <c r="J334">
        <v>92</v>
      </c>
      <c r="K334" s="123">
        <v>45901</v>
      </c>
    </row>
    <row r="335" spans="1:11" hidden="1" x14ac:dyDescent="0.25">
      <c r="A335">
        <v>334</v>
      </c>
      <c r="B335">
        <v>2025</v>
      </c>
      <c r="C335">
        <v>9</v>
      </c>
      <c r="D335">
        <v>31</v>
      </c>
      <c r="E335">
        <v>8</v>
      </c>
      <c r="F335" t="str">
        <v>99CN447</v>
      </c>
      <c r="G335">
        <v>29.999999999999986</v>
      </c>
      <c r="H335" t="str">
        <v>hour</v>
      </c>
      <c r="J335">
        <v>95</v>
      </c>
      <c r="K335" s="123">
        <v>45901</v>
      </c>
    </row>
    <row r="336" spans="1:11" hidden="1" x14ac:dyDescent="0.25">
      <c r="A336">
        <v>335</v>
      </c>
      <c r="B336">
        <v>2025</v>
      </c>
      <c r="C336">
        <v>9</v>
      </c>
      <c r="D336">
        <v>31</v>
      </c>
      <c r="E336">
        <v>8</v>
      </c>
      <c r="F336" t="str">
        <v>99FO779</v>
      </c>
      <c r="G336">
        <v>44.000000000000014</v>
      </c>
      <c r="H336" t="str">
        <v>hour</v>
      </c>
      <c r="J336">
        <v>102</v>
      </c>
      <c r="K336" s="123">
        <v>45901</v>
      </c>
    </row>
    <row r="337" spans="1:11" hidden="1" x14ac:dyDescent="0.25">
      <c r="A337">
        <v>336</v>
      </c>
      <c r="B337">
        <v>2025</v>
      </c>
      <c r="C337">
        <v>9</v>
      </c>
      <c r="D337">
        <v>31</v>
      </c>
      <c r="E337">
        <v>8</v>
      </c>
      <c r="F337" t="str">
        <v>99KL663</v>
      </c>
      <c r="G337">
        <v>37.999999999999986</v>
      </c>
      <c r="H337" t="str">
        <v>hour</v>
      </c>
      <c r="J337">
        <v>105</v>
      </c>
      <c r="K337" s="123">
        <v>45901</v>
      </c>
    </row>
    <row r="338" spans="1:11" hidden="1" x14ac:dyDescent="0.25">
      <c r="A338">
        <v>337</v>
      </c>
      <c r="B338">
        <v>2025</v>
      </c>
      <c r="C338">
        <v>9</v>
      </c>
      <c r="D338">
        <v>31</v>
      </c>
      <c r="E338">
        <v>8</v>
      </c>
      <c r="F338" t="str">
        <v>99LM412</v>
      </c>
      <c r="G338">
        <v>49.999999999999986</v>
      </c>
      <c r="H338" t="str">
        <v>hour</v>
      </c>
      <c r="J338">
        <v>115</v>
      </c>
      <c r="K338" s="123">
        <v>45901</v>
      </c>
    </row>
    <row r="339" spans="1:11" hidden="1" x14ac:dyDescent="0.25">
      <c r="A339">
        <v>338</v>
      </c>
      <c r="B339">
        <v>2025</v>
      </c>
      <c r="C339">
        <v>9</v>
      </c>
      <c r="D339">
        <v>31</v>
      </c>
      <c r="E339">
        <v>8</v>
      </c>
      <c r="F339" t="str">
        <v>99MN472</v>
      </c>
      <c r="G339">
        <v>90</v>
      </c>
      <c r="H339" t="str">
        <v>hour</v>
      </c>
      <c r="J339">
        <v>107</v>
      </c>
      <c r="K339" s="123">
        <v>45901</v>
      </c>
    </row>
    <row r="340" spans="1:11" hidden="1" x14ac:dyDescent="0.25">
      <c r="A340">
        <v>339</v>
      </c>
      <c r="B340">
        <v>2025</v>
      </c>
      <c r="C340">
        <v>9</v>
      </c>
      <c r="D340">
        <v>31</v>
      </c>
      <c r="E340">
        <v>8</v>
      </c>
      <c r="F340" t="str">
        <v>99UK314</v>
      </c>
      <c r="G340">
        <v>90</v>
      </c>
      <c r="H340" t="str">
        <v>hour</v>
      </c>
      <c r="J340">
        <v>113</v>
      </c>
      <c r="K340" s="123">
        <v>45901</v>
      </c>
    </row>
    <row r="341" spans="1:11" hidden="1" x14ac:dyDescent="0.25">
      <c r="A341">
        <v>340</v>
      </c>
      <c r="B341">
        <v>2025</v>
      </c>
      <c r="C341">
        <v>9</v>
      </c>
      <c r="D341">
        <v>51</v>
      </c>
      <c r="E341">
        <v>2</v>
      </c>
      <c r="F341" t="str">
        <v>10BA857</v>
      </c>
      <c r="G341">
        <v>10</v>
      </c>
      <c r="H341" t="str">
        <v>hour</v>
      </c>
      <c r="J341">
        <v>4</v>
      </c>
      <c r="K341" s="123">
        <v>45901</v>
      </c>
    </row>
    <row r="342" spans="1:11" hidden="1" x14ac:dyDescent="0.25">
      <c r="A342">
        <v>341</v>
      </c>
      <c r="B342">
        <v>2025</v>
      </c>
      <c r="C342">
        <v>9</v>
      </c>
      <c r="D342">
        <v>85</v>
      </c>
      <c r="E342">
        <v>4</v>
      </c>
      <c r="F342" t="str">
        <v>77SN951</v>
      </c>
      <c r="G342">
        <v>30.999999999999979</v>
      </c>
      <c r="H342" t="str">
        <v>hour</v>
      </c>
      <c r="J342">
        <v>2</v>
      </c>
      <c r="K342" s="123">
        <v>45901</v>
      </c>
    </row>
    <row r="343" spans="1:11" hidden="1" x14ac:dyDescent="0.25">
      <c r="A343">
        <v>342</v>
      </c>
      <c r="B343">
        <v>2025</v>
      </c>
      <c r="C343">
        <v>9</v>
      </c>
      <c r="D343">
        <v>98</v>
      </c>
      <c r="E343">
        <v>3</v>
      </c>
      <c r="F343" t="str">
        <v>50BD416</v>
      </c>
      <c r="G343">
        <v>6.9999999999999947</v>
      </c>
      <c r="H343" t="str">
        <v>hour</v>
      </c>
      <c r="J343">
        <v>2</v>
      </c>
      <c r="K343" s="123">
        <v>45901</v>
      </c>
    </row>
    <row r="344" spans="1:11" hidden="1" x14ac:dyDescent="0.25">
      <c r="A344">
        <v>343</v>
      </c>
      <c r="B344">
        <v>2025</v>
      </c>
      <c r="C344">
        <v>9</v>
      </c>
      <c r="D344">
        <v>99</v>
      </c>
      <c r="E344">
        <v>3</v>
      </c>
      <c r="F344" t="str">
        <v>50BX301</v>
      </c>
      <c r="G344">
        <v>43</v>
      </c>
      <c r="H344" t="str">
        <v>hour</v>
      </c>
      <c r="J344">
        <v>2</v>
      </c>
      <c r="K344" s="123">
        <v>45901</v>
      </c>
    </row>
    <row r="345" spans="1:11" hidden="1" x14ac:dyDescent="0.25">
      <c r="A345">
        <v>344</v>
      </c>
      <c r="B345">
        <v>2025</v>
      </c>
      <c r="C345">
        <v>9</v>
      </c>
      <c r="D345">
        <v>102</v>
      </c>
      <c r="E345">
        <v>2</v>
      </c>
      <c r="F345" t="str">
        <v>99HQ687</v>
      </c>
      <c r="G345">
        <v>43</v>
      </c>
      <c r="H345" t="str">
        <v>hour</v>
      </c>
      <c r="J345">
        <v>2</v>
      </c>
      <c r="K345" s="123">
        <v>45901</v>
      </c>
    </row>
    <row r="346" spans="1:11" hidden="1" x14ac:dyDescent="0.25">
      <c r="A346">
        <v>345</v>
      </c>
      <c r="B346">
        <v>2025</v>
      </c>
      <c r="C346">
        <v>9</v>
      </c>
      <c r="D346">
        <v>102</v>
      </c>
      <c r="E346">
        <v>2</v>
      </c>
      <c r="F346" t="str">
        <v>10MF640</v>
      </c>
      <c r="G346">
        <v>65</v>
      </c>
      <c r="H346" t="str">
        <v>hour</v>
      </c>
      <c r="J346">
        <v>4</v>
      </c>
      <c r="K346" s="123">
        <v>45901</v>
      </c>
    </row>
    <row r="347" spans="1:11" hidden="1" x14ac:dyDescent="0.25">
      <c r="A347">
        <v>346</v>
      </c>
      <c r="B347">
        <v>2025</v>
      </c>
      <c r="C347">
        <v>10</v>
      </c>
      <c r="D347">
        <v>31</v>
      </c>
      <c r="E347">
        <v>9</v>
      </c>
      <c r="F347" t="str">
        <v>10RN527</v>
      </c>
      <c r="G347">
        <v>31</v>
      </c>
      <c r="H347" t="str">
        <v>single</v>
      </c>
      <c r="J347">
        <v>32</v>
      </c>
      <c r="K347" s="123">
        <v>45931</v>
      </c>
    </row>
    <row r="348" spans="1:11" hidden="1" x14ac:dyDescent="0.25">
      <c r="A348">
        <v>347</v>
      </c>
      <c r="B348">
        <v>2025</v>
      </c>
      <c r="C348">
        <v>10</v>
      </c>
      <c r="D348">
        <v>31</v>
      </c>
      <c r="E348">
        <v>9</v>
      </c>
      <c r="F348" t="str">
        <v>17BE358</v>
      </c>
      <c r="G348">
        <v>1</v>
      </c>
      <c r="H348" t="str">
        <v>single</v>
      </c>
      <c r="J348">
        <v>37</v>
      </c>
      <c r="K348" s="123">
        <v>45931</v>
      </c>
    </row>
    <row r="349" spans="1:11" hidden="1" x14ac:dyDescent="0.25">
      <c r="A349">
        <v>348</v>
      </c>
      <c r="B349">
        <v>2025</v>
      </c>
      <c r="C349">
        <v>10</v>
      </c>
      <c r="D349">
        <v>31</v>
      </c>
      <c r="E349">
        <v>9</v>
      </c>
      <c r="F349" t="str">
        <v>21BF442</v>
      </c>
      <c r="G349">
        <v>29</v>
      </c>
      <c r="H349" t="str">
        <v>single</v>
      </c>
      <c r="J349">
        <v>39</v>
      </c>
      <c r="K349" s="123">
        <v>45931</v>
      </c>
    </row>
    <row r="350" spans="1:11" hidden="1" x14ac:dyDescent="0.25">
      <c r="A350">
        <v>349</v>
      </c>
      <c r="B350">
        <v>2025</v>
      </c>
      <c r="C350">
        <v>10</v>
      </c>
      <c r="D350">
        <v>31</v>
      </c>
      <c r="E350">
        <v>9</v>
      </c>
      <c r="F350" t="str">
        <v>50BD165</v>
      </c>
      <c r="G350">
        <v>31</v>
      </c>
      <c r="H350" t="str">
        <v>single</v>
      </c>
      <c r="J350">
        <v>41</v>
      </c>
      <c r="K350" s="123">
        <v>45931</v>
      </c>
    </row>
    <row r="351" spans="1:11" hidden="1" x14ac:dyDescent="0.25">
      <c r="A351">
        <v>350</v>
      </c>
      <c r="B351">
        <v>2025</v>
      </c>
      <c r="C351">
        <v>10</v>
      </c>
      <c r="D351">
        <v>31</v>
      </c>
      <c r="E351">
        <v>9</v>
      </c>
      <c r="F351" t="str">
        <v>50BN724</v>
      </c>
      <c r="G351">
        <v>17</v>
      </c>
      <c r="H351" t="str">
        <v>single</v>
      </c>
      <c r="J351">
        <v>43</v>
      </c>
      <c r="K351" s="123">
        <v>45931</v>
      </c>
    </row>
    <row r="352" spans="1:11" hidden="1" x14ac:dyDescent="0.25">
      <c r="A352">
        <v>351</v>
      </c>
      <c r="B352">
        <v>2025</v>
      </c>
      <c r="C352">
        <v>10</v>
      </c>
      <c r="D352">
        <v>31</v>
      </c>
      <c r="E352">
        <v>9</v>
      </c>
      <c r="F352" t="str">
        <v>50CN929</v>
      </c>
      <c r="G352">
        <v>24</v>
      </c>
      <c r="H352" t="str">
        <v>single</v>
      </c>
      <c r="J352">
        <v>45</v>
      </c>
      <c r="K352" s="123">
        <v>45931</v>
      </c>
    </row>
    <row r="353" spans="1:11" hidden="1" x14ac:dyDescent="0.25">
      <c r="A353">
        <v>352</v>
      </c>
      <c r="B353">
        <v>2025</v>
      </c>
      <c r="C353">
        <v>10</v>
      </c>
      <c r="D353">
        <v>31</v>
      </c>
      <c r="E353">
        <v>9</v>
      </c>
      <c r="F353" t="str">
        <v>50DK730</v>
      </c>
      <c r="G353">
        <v>30</v>
      </c>
      <c r="H353" t="str">
        <v>single</v>
      </c>
      <c r="J353">
        <v>47</v>
      </c>
      <c r="K353" s="123">
        <v>45931</v>
      </c>
    </row>
    <row r="354" spans="1:11" hidden="1" x14ac:dyDescent="0.25">
      <c r="A354">
        <v>353</v>
      </c>
      <c r="B354">
        <v>2025</v>
      </c>
      <c r="C354">
        <v>10</v>
      </c>
      <c r="D354">
        <v>31</v>
      </c>
      <c r="E354">
        <v>9</v>
      </c>
      <c r="F354" t="str">
        <v>50EF902</v>
      </c>
      <c r="G354">
        <v>31</v>
      </c>
      <c r="H354" t="str">
        <v>single</v>
      </c>
      <c r="J354">
        <v>49</v>
      </c>
      <c r="K354" s="123">
        <v>45931</v>
      </c>
    </row>
    <row r="355" spans="1:11" hidden="1" x14ac:dyDescent="0.25">
      <c r="A355">
        <v>354</v>
      </c>
      <c r="B355">
        <v>2025</v>
      </c>
      <c r="C355">
        <v>10</v>
      </c>
      <c r="D355">
        <v>31</v>
      </c>
      <c r="E355">
        <v>9</v>
      </c>
      <c r="F355" t="str">
        <v>50FB264</v>
      </c>
      <c r="G355">
        <v>19</v>
      </c>
      <c r="H355" t="str">
        <v>single</v>
      </c>
      <c r="J355">
        <v>23</v>
      </c>
      <c r="K355" s="123">
        <v>45931</v>
      </c>
    </row>
    <row r="356" spans="1:11" hidden="1" x14ac:dyDescent="0.25">
      <c r="A356">
        <v>355</v>
      </c>
      <c r="B356">
        <v>2025</v>
      </c>
      <c r="C356">
        <v>10</v>
      </c>
      <c r="D356">
        <v>31</v>
      </c>
      <c r="E356">
        <v>9</v>
      </c>
      <c r="F356" t="str">
        <v>53BD338</v>
      </c>
      <c r="G356">
        <v>2</v>
      </c>
      <c r="H356" t="str">
        <v>single</v>
      </c>
      <c r="J356">
        <v>55</v>
      </c>
      <c r="K356" s="123">
        <v>45931</v>
      </c>
    </row>
    <row r="357" spans="1:11" hidden="1" x14ac:dyDescent="0.25">
      <c r="A357">
        <v>356</v>
      </c>
      <c r="B357">
        <v>2025</v>
      </c>
      <c r="C357">
        <v>10</v>
      </c>
      <c r="D357">
        <v>31</v>
      </c>
      <c r="E357">
        <v>9</v>
      </c>
      <c r="F357" t="str">
        <v>55CB633</v>
      </c>
      <c r="G357">
        <v>30</v>
      </c>
      <c r="H357" t="str">
        <v>single</v>
      </c>
      <c r="J357">
        <v>57</v>
      </c>
      <c r="K357" s="123">
        <v>45931</v>
      </c>
    </row>
    <row r="358" spans="1:11" hidden="1" x14ac:dyDescent="0.25">
      <c r="A358">
        <v>357</v>
      </c>
      <c r="B358">
        <v>2025</v>
      </c>
      <c r="C358">
        <v>10</v>
      </c>
      <c r="D358">
        <v>31</v>
      </c>
      <c r="E358">
        <v>9</v>
      </c>
      <c r="F358" t="str">
        <v>77AT386</v>
      </c>
      <c r="G358">
        <v>30</v>
      </c>
      <c r="H358" t="str">
        <v>single</v>
      </c>
      <c r="J358">
        <v>13</v>
      </c>
      <c r="K358" s="123">
        <v>45931</v>
      </c>
    </row>
    <row r="359" spans="1:11" hidden="1" x14ac:dyDescent="0.25">
      <c r="A359">
        <v>358</v>
      </c>
      <c r="B359">
        <v>2025</v>
      </c>
      <c r="C359">
        <v>10</v>
      </c>
      <c r="D359">
        <v>31</v>
      </c>
      <c r="E359">
        <v>9</v>
      </c>
      <c r="F359" t="str">
        <v>77DK884</v>
      </c>
      <c r="G359">
        <v>7</v>
      </c>
      <c r="H359" t="str">
        <v>single</v>
      </c>
      <c r="J359">
        <v>21</v>
      </c>
      <c r="K359" s="123">
        <v>45931</v>
      </c>
    </row>
    <row r="360" spans="1:11" hidden="1" x14ac:dyDescent="0.25">
      <c r="A360">
        <v>359</v>
      </c>
      <c r="B360">
        <v>2025</v>
      </c>
      <c r="C360">
        <v>10</v>
      </c>
      <c r="D360">
        <v>31</v>
      </c>
      <c r="E360">
        <v>9</v>
      </c>
      <c r="F360" t="str">
        <v>77SR538</v>
      </c>
      <c r="G360">
        <v>30</v>
      </c>
      <c r="H360" t="str">
        <v>single</v>
      </c>
      <c r="J360">
        <v>73</v>
      </c>
      <c r="K360" s="123">
        <v>45931</v>
      </c>
    </row>
    <row r="361" spans="1:11" hidden="1" x14ac:dyDescent="0.25">
      <c r="A361">
        <v>360</v>
      </c>
      <c r="B361">
        <v>2025</v>
      </c>
      <c r="C361">
        <v>10</v>
      </c>
      <c r="D361">
        <v>31</v>
      </c>
      <c r="E361">
        <v>9</v>
      </c>
      <c r="F361" t="str">
        <v>77TG971</v>
      </c>
      <c r="G361">
        <v>28</v>
      </c>
      <c r="H361" t="str">
        <v>single</v>
      </c>
      <c r="J361">
        <v>75</v>
      </c>
      <c r="K361" s="123">
        <v>45931</v>
      </c>
    </row>
    <row r="362" spans="1:11" hidden="1" x14ac:dyDescent="0.25">
      <c r="A362">
        <v>361</v>
      </c>
      <c r="B362">
        <v>2025</v>
      </c>
      <c r="C362">
        <v>10</v>
      </c>
      <c r="D362">
        <v>31</v>
      </c>
      <c r="E362">
        <v>9</v>
      </c>
      <c r="F362" t="str">
        <v>77UR032</v>
      </c>
      <c r="G362">
        <v>29</v>
      </c>
      <c r="H362" t="str">
        <v>single</v>
      </c>
      <c r="J362">
        <v>77</v>
      </c>
      <c r="K362" s="123">
        <v>45931</v>
      </c>
    </row>
    <row r="363" spans="1:11" hidden="1" x14ac:dyDescent="0.25">
      <c r="A363">
        <v>362</v>
      </c>
      <c r="B363">
        <v>2025</v>
      </c>
      <c r="C363">
        <v>10</v>
      </c>
      <c r="D363">
        <v>31</v>
      </c>
      <c r="E363">
        <v>9</v>
      </c>
      <c r="F363" t="str">
        <v>77VL420</v>
      </c>
      <c r="G363">
        <v>31</v>
      </c>
      <c r="H363" t="str">
        <v>single</v>
      </c>
      <c r="J363">
        <v>118</v>
      </c>
      <c r="K363" s="123">
        <v>45931</v>
      </c>
    </row>
    <row r="364" spans="1:11" hidden="1" x14ac:dyDescent="0.25">
      <c r="A364">
        <v>363</v>
      </c>
      <c r="B364">
        <v>2025</v>
      </c>
      <c r="C364">
        <v>10</v>
      </c>
      <c r="D364">
        <v>31</v>
      </c>
      <c r="E364">
        <v>9</v>
      </c>
      <c r="F364" t="str">
        <v>90EC344</v>
      </c>
      <c r="G364">
        <v>30</v>
      </c>
      <c r="H364" t="str">
        <v>single</v>
      </c>
      <c r="J364">
        <v>79</v>
      </c>
      <c r="K364" s="123">
        <v>45931</v>
      </c>
    </row>
    <row r="365" spans="1:11" hidden="1" x14ac:dyDescent="0.25">
      <c r="A365">
        <v>364</v>
      </c>
      <c r="B365">
        <v>2025</v>
      </c>
      <c r="C365">
        <v>10</v>
      </c>
      <c r="D365">
        <v>31</v>
      </c>
      <c r="E365">
        <v>9</v>
      </c>
      <c r="F365" t="str">
        <v>90LS143</v>
      </c>
      <c r="G365">
        <v>31</v>
      </c>
      <c r="H365" t="str">
        <v>single</v>
      </c>
      <c r="J365">
        <v>81</v>
      </c>
      <c r="K365" s="123">
        <v>45931</v>
      </c>
    </row>
    <row r="366" spans="1:11" hidden="1" x14ac:dyDescent="0.25">
      <c r="A366">
        <v>365</v>
      </c>
      <c r="B366">
        <v>2025</v>
      </c>
      <c r="C366">
        <v>10</v>
      </c>
      <c r="D366">
        <v>31</v>
      </c>
      <c r="E366">
        <v>9</v>
      </c>
      <c r="F366" t="str">
        <v>90OE402</v>
      </c>
      <c r="G366">
        <v>30</v>
      </c>
      <c r="H366" t="str">
        <v>single</v>
      </c>
      <c r="J366">
        <v>83</v>
      </c>
      <c r="K366" s="123">
        <v>45931</v>
      </c>
    </row>
    <row r="367" spans="1:11" hidden="1" x14ac:dyDescent="0.25">
      <c r="A367">
        <v>366</v>
      </c>
      <c r="B367">
        <v>2025</v>
      </c>
      <c r="C367">
        <v>10</v>
      </c>
      <c r="D367">
        <v>31</v>
      </c>
      <c r="E367">
        <v>9</v>
      </c>
      <c r="F367" t="str">
        <v>90PY548</v>
      </c>
      <c r="G367">
        <v>30</v>
      </c>
      <c r="H367" t="str">
        <v>single</v>
      </c>
      <c r="J367">
        <v>85</v>
      </c>
      <c r="K367" s="123">
        <v>45931</v>
      </c>
    </row>
    <row r="368" spans="1:11" hidden="1" x14ac:dyDescent="0.25">
      <c r="A368">
        <v>367</v>
      </c>
      <c r="B368">
        <v>2025</v>
      </c>
      <c r="C368">
        <v>10</v>
      </c>
      <c r="D368">
        <v>31</v>
      </c>
      <c r="E368">
        <v>9</v>
      </c>
      <c r="F368" t="str">
        <v>90VS316</v>
      </c>
      <c r="G368">
        <v>31</v>
      </c>
      <c r="H368" t="str">
        <v>single</v>
      </c>
      <c r="J368">
        <v>87</v>
      </c>
      <c r="K368" s="123">
        <v>45931</v>
      </c>
    </row>
    <row r="369" spans="1:11" hidden="1" x14ac:dyDescent="0.25">
      <c r="A369">
        <v>368</v>
      </c>
      <c r="B369">
        <v>2025</v>
      </c>
      <c r="C369">
        <v>10</v>
      </c>
      <c r="D369">
        <v>31</v>
      </c>
      <c r="E369">
        <v>9</v>
      </c>
      <c r="F369" t="str">
        <v>90YN163</v>
      </c>
      <c r="G369">
        <v>30</v>
      </c>
      <c r="H369" t="str">
        <v>single</v>
      </c>
      <c r="J369">
        <v>89</v>
      </c>
      <c r="K369" s="123">
        <v>45931</v>
      </c>
    </row>
    <row r="370" spans="1:11" hidden="1" x14ac:dyDescent="0.25">
      <c r="A370">
        <v>369</v>
      </c>
      <c r="B370">
        <v>2025</v>
      </c>
      <c r="C370">
        <v>10</v>
      </c>
      <c r="D370">
        <v>31</v>
      </c>
      <c r="E370">
        <v>9</v>
      </c>
      <c r="F370" t="str">
        <v>99BT339</v>
      </c>
      <c r="G370">
        <v>31</v>
      </c>
      <c r="H370" t="str">
        <v>single</v>
      </c>
      <c r="J370">
        <v>93</v>
      </c>
      <c r="K370" s="123">
        <v>45931</v>
      </c>
    </row>
    <row r="371" spans="1:11" hidden="1" x14ac:dyDescent="0.25">
      <c r="A371">
        <v>370</v>
      </c>
      <c r="B371">
        <v>2025</v>
      </c>
      <c r="C371">
        <v>10</v>
      </c>
      <c r="D371">
        <v>31</v>
      </c>
      <c r="E371">
        <v>9</v>
      </c>
      <c r="F371" t="str">
        <v>99CN447</v>
      </c>
      <c r="G371">
        <v>30</v>
      </c>
      <c r="H371" t="str">
        <v>single</v>
      </c>
      <c r="J371">
        <v>94</v>
      </c>
      <c r="K371" s="123">
        <v>45931</v>
      </c>
    </row>
    <row r="372" spans="1:11" hidden="1" x14ac:dyDescent="0.25">
      <c r="A372">
        <v>371</v>
      </c>
      <c r="B372">
        <v>2025</v>
      </c>
      <c r="C372">
        <v>10</v>
      </c>
      <c r="D372">
        <v>31</v>
      </c>
      <c r="E372">
        <v>9</v>
      </c>
      <c r="F372" t="str">
        <v>99FO779</v>
      </c>
      <c r="G372">
        <v>30</v>
      </c>
      <c r="H372" t="str">
        <v>single</v>
      </c>
      <c r="J372">
        <v>101</v>
      </c>
      <c r="K372" s="123">
        <v>45931</v>
      </c>
    </row>
    <row r="373" spans="1:11" hidden="1" x14ac:dyDescent="0.25">
      <c r="A373">
        <v>372</v>
      </c>
      <c r="B373">
        <v>2025</v>
      </c>
      <c r="C373">
        <v>10</v>
      </c>
      <c r="D373">
        <v>31</v>
      </c>
      <c r="E373">
        <v>9</v>
      </c>
      <c r="F373" t="str">
        <v>99GZ612</v>
      </c>
      <c r="G373">
        <v>12</v>
      </c>
      <c r="H373" t="str">
        <v>single</v>
      </c>
      <c r="J373">
        <v>104</v>
      </c>
      <c r="K373" s="123">
        <v>45931</v>
      </c>
    </row>
    <row r="374" spans="1:11" hidden="1" x14ac:dyDescent="0.25">
      <c r="A374">
        <v>373</v>
      </c>
      <c r="B374">
        <v>2025</v>
      </c>
      <c r="C374">
        <v>10</v>
      </c>
      <c r="D374">
        <v>31</v>
      </c>
      <c r="E374">
        <v>9</v>
      </c>
      <c r="F374" t="str">
        <v>99HZ395</v>
      </c>
      <c r="G374">
        <v>29</v>
      </c>
      <c r="H374" t="str">
        <v>single</v>
      </c>
      <c r="J374">
        <v>3</v>
      </c>
      <c r="K374" s="123">
        <v>45931</v>
      </c>
    </row>
    <row r="375" spans="1:11" hidden="1" x14ac:dyDescent="0.25">
      <c r="A375">
        <v>374</v>
      </c>
      <c r="B375">
        <v>2025</v>
      </c>
      <c r="C375">
        <v>10</v>
      </c>
      <c r="D375">
        <v>31</v>
      </c>
      <c r="E375">
        <v>9</v>
      </c>
      <c r="F375" t="str">
        <v>99KL663</v>
      </c>
      <c r="G375">
        <v>31</v>
      </c>
      <c r="H375" t="str">
        <v>single</v>
      </c>
      <c r="J375">
        <v>106</v>
      </c>
      <c r="K375" s="123">
        <v>45931</v>
      </c>
    </row>
    <row r="376" spans="1:11" hidden="1" x14ac:dyDescent="0.25">
      <c r="A376">
        <v>375</v>
      </c>
      <c r="B376">
        <v>2025</v>
      </c>
      <c r="C376">
        <v>10</v>
      </c>
      <c r="D376">
        <v>31</v>
      </c>
      <c r="E376">
        <v>9</v>
      </c>
      <c r="F376" t="str">
        <v>99LM412</v>
      </c>
      <c r="G376">
        <v>31</v>
      </c>
      <c r="H376" t="str">
        <v>single</v>
      </c>
      <c r="J376">
        <v>116</v>
      </c>
      <c r="K376" s="123">
        <v>45931</v>
      </c>
    </row>
    <row r="377" spans="1:11" hidden="1" x14ac:dyDescent="0.25">
      <c r="A377">
        <v>376</v>
      </c>
      <c r="B377">
        <v>2025</v>
      </c>
      <c r="C377">
        <v>10</v>
      </c>
      <c r="D377">
        <v>31</v>
      </c>
      <c r="E377">
        <v>9</v>
      </c>
      <c r="F377" t="str">
        <v>99MN472</v>
      </c>
      <c r="G377">
        <v>28</v>
      </c>
      <c r="H377" t="str">
        <v>single</v>
      </c>
      <c r="J377">
        <v>108</v>
      </c>
      <c r="K377" s="123">
        <v>45931</v>
      </c>
    </row>
    <row r="378" spans="1:11" hidden="1" x14ac:dyDescent="0.25">
      <c r="A378">
        <v>377</v>
      </c>
      <c r="B378">
        <v>2025</v>
      </c>
      <c r="C378">
        <v>10</v>
      </c>
      <c r="D378">
        <v>31</v>
      </c>
      <c r="E378">
        <v>9</v>
      </c>
      <c r="F378" t="str">
        <v>99OR961</v>
      </c>
      <c r="G378">
        <v>30</v>
      </c>
      <c r="H378" t="str">
        <v>single</v>
      </c>
      <c r="J378">
        <v>109</v>
      </c>
      <c r="K378" s="123">
        <v>45931</v>
      </c>
    </row>
    <row r="379" spans="1:11" hidden="1" x14ac:dyDescent="0.25">
      <c r="A379">
        <v>378</v>
      </c>
      <c r="B379">
        <v>2025</v>
      </c>
      <c r="C379">
        <v>10</v>
      </c>
      <c r="D379">
        <v>31</v>
      </c>
      <c r="E379">
        <v>9</v>
      </c>
      <c r="F379" t="str">
        <v>99UK314</v>
      </c>
      <c r="G379">
        <v>31</v>
      </c>
      <c r="H379" t="str">
        <v>single</v>
      </c>
      <c r="J379">
        <v>114</v>
      </c>
      <c r="K379" s="123">
        <v>45931</v>
      </c>
    </row>
    <row r="380" spans="1:11" hidden="1" x14ac:dyDescent="0.25">
      <c r="A380">
        <v>379</v>
      </c>
      <c r="B380">
        <v>2025</v>
      </c>
      <c r="C380">
        <v>10</v>
      </c>
      <c r="D380">
        <v>46</v>
      </c>
      <c r="E380">
        <v>6</v>
      </c>
      <c r="F380" t="str">
        <v>110FY524</v>
      </c>
      <c r="G380">
        <v>19</v>
      </c>
      <c r="H380" t="str">
        <v>single</v>
      </c>
      <c r="J380">
        <v>7</v>
      </c>
      <c r="K380" s="123">
        <v>45931</v>
      </c>
    </row>
    <row r="381" spans="1:11" hidden="1" x14ac:dyDescent="0.25">
      <c r="A381">
        <v>380</v>
      </c>
      <c r="B381">
        <v>2025</v>
      </c>
      <c r="C381">
        <v>10</v>
      </c>
      <c r="D381">
        <v>46</v>
      </c>
      <c r="E381">
        <v>6</v>
      </c>
      <c r="F381" t="str">
        <v>10AD801</v>
      </c>
      <c r="G381">
        <v>1</v>
      </c>
      <c r="H381" t="str">
        <v>single</v>
      </c>
      <c r="J381">
        <v>4</v>
      </c>
      <c r="K381" s="123">
        <v>45931</v>
      </c>
    </row>
    <row r="382" spans="1:11" hidden="1" x14ac:dyDescent="0.25">
      <c r="A382">
        <v>381</v>
      </c>
      <c r="B382">
        <v>2025</v>
      </c>
      <c r="C382">
        <v>10</v>
      </c>
      <c r="D382">
        <v>50</v>
      </c>
      <c r="E382">
        <v>5</v>
      </c>
      <c r="F382" t="str">
        <v>61AB256</v>
      </c>
      <c r="G382">
        <v>28</v>
      </c>
      <c r="H382" t="str">
        <v>single</v>
      </c>
      <c r="J382">
        <v>1</v>
      </c>
      <c r="K382" s="123">
        <v>45931</v>
      </c>
    </row>
    <row r="383" spans="1:11" hidden="1" x14ac:dyDescent="0.25">
      <c r="A383">
        <v>382</v>
      </c>
      <c r="B383">
        <v>2025</v>
      </c>
      <c r="C383">
        <v>10</v>
      </c>
      <c r="D383">
        <v>51</v>
      </c>
      <c r="E383">
        <v>3</v>
      </c>
      <c r="F383" t="str">
        <v>10BA857</v>
      </c>
      <c r="G383">
        <v>31</v>
      </c>
      <c r="H383" t="str">
        <v>single</v>
      </c>
      <c r="J383">
        <v>3</v>
      </c>
      <c r="K383" s="123">
        <v>45931</v>
      </c>
    </row>
    <row r="384" spans="1:11" hidden="1" x14ac:dyDescent="0.25">
      <c r="A384">
        <v>383</v>
      </c>
      <c r="B384">
        <v>2025</v>
      </c>
      <c r="C384">
        <v>10</v>
      </c>
      <c r="D384">
        <v>65</v>
      </c>
      <c r="E384">
        <v>6</v>
      </c>
      <c r="F384" t="str">
        <v>01BA176</v>
      </c>
      <c r="G384">
        <v>14</v>
      </c>
      <c r="H384" t="str">
        <v>single</v>
      </c>
      <c r="J384">
        <v>1</v>
      </c>
      <c r="K384" s="123">
        <v>45931</v>
      </c>
    </row>
    <row r="385" spans="1:11" hidden="1" x14ac:dyDescent="0.25">
      <c r="A385">
        <v>384</v>
      </c>
      <c r="B385">
        <v>2025</v>
      </c>
      <c r="C385">
        <v>10</v>
      </c>
      <c r="D385">
        <v>65</v>
      </c>
      <c r="E385">
        <v>6</v>
      </c>
      <c r="F385" t="str">
        <v>10BD252</v>
      </c>
      <c r="G385">
        <v>29</v>
      </c>
      <c r="H385" t="str">
        <v>single</v>
      </c>
      <c r="J385">
        <v>2</v>
      </c>
      <c r="K385" s="123">
        <v>45931</v>
      </c>
    </row>
    <row r="386" spans="1:11" hidden="1" x14ac:dyDescent="0.25">
      <c r="A386">
        <v>385</v>
      </c>
      <c r="B386">
        <v>2025</v>
      </c>
      <c r="C386">
        <v>10</v>
      </c>
      <c r="D386">
        <v>85</v>
      </c>
      <c r="E386">
        <v>5</v>
      </c>
      <c r="F386" t="str">
        <v>77SN951</v>
      </c>
      <c r="G386">
        <v>29</v>
      </c>
      <c r="H386" t="str">
        <v>single</v>
      </c>
      <c r="J386">
        <v>1</v>
      </c>
      <c r="K386" s="123">
        <v>45931</v>
      </c>
    </row>
    <row r="387" spans="1:11" hidden="1" x14ac:dyDescent="0.25">
      <c r="A387">
        <v>386</v>
      </c>
      <c r="B387">
        <v>2025</v>
      </c>
      <c r="C387">
        <v>10</v>
      </c>
      <c r="D387">
        <v>98</v>
      </c>
      <c r="E387">
        <v>4</v>
      </c>
      <c r="F387" t="str">
        <v>50BD416</v>
      </c>
      <c r="G387">
        <v>28</v>
      </c>
      <c r="H387" t="str">
        <v>single</v>
      </c>
      <c r="J387">
        <v>1</v>
      </c>
      <c r="K387" s="123">
        <v>45931</v>
      </c>
    </row>
    <row r="388" spans="1:11" hidden="1" x14ac:dyDescent="0.25">
      <c r="A388">
        <v>387</v>
      </c>
      <c r="B388">
        <v>2025</v>
      </c>
      <c r="C388">
        <v>10</v>
      </c>
      <c r="D388">
        <v>99</v>
      </c>
      <c r="E388">
        <v>4</v>
      </c>
      <c r="F388" t="str">
        <v>50BX301</v>
      </c>
      <c r="G388">
        <v>31</v>
      </c>
      <c r="H388" t="str">
        <v>single</v>
      </c>
      <c r="J388">
        <v>1</v>
      </c>
      <c r="K388" s="123">
        <v>45931</v>
      </c>
    </row>
    <row r="389" spans="1:11" hidden="1" x14ac:dyDescent="0.25">
      <c r="A389">
        <v>388</v>
      </c>
      <c r="B389">
        <v>2025</v>
      </c>
      <c r="C389">
        <v>10</v>
      </c>
      <c r="D389">
        <v>100</v>
      </c>
      <c r="E389">
        <v>4</v>
      </c>
      <c r="F389" t="str">
        <v>22AB273</v>
      </c>
      <c r="G389">
        <v>29</v>
      </c>
      <c r="H389" t="str">
        <v>single</v>
      </c>
      <c r="J389">
        <v>1</v>
      </c>
      <c r="K389" s="123">
        <v>45931</v>
      </c>
    </row>
    <row r="390" spans="1:11" hidden="1" x14ac:dyDescent="0.25">
      <c r="A390">
        <v>389</v>
      </c>
      <c r="B390">
        <v>2025</v>
      </c>
      <c r="C390">
        <v>10</v>
      </c>
      <c r="D390">
        <v>102</v>
      </c>
      <c r="E390">
        <v>3</v>
      </c>
      <c r="F390" t="str">
        <v>99HQ687</v>
      </c>
      <c r="G390">
        <v>31</v>
      </c>
      <c r="H390" t="str">
        <v>single</v>
      </c>
      <c r="J390">
        <v>1</v>
      </c>
      <c r="K390" s="123">
        <v>45931</v>
      </c>
    </row>
    <row r="391" spans="1:11" hidden="1" x14ac:dyDescent="0.25">
      <c r="A391">
        <v>390</v>
      </c>
      <c r="B391">
        <v>2025</v>
      </c>
      <c r="C391">
        <v>10</v>
      </c>
      <c r="D391">
        <v>102</v>
      </c>
      <c r="E391">
        <v>3</v>
      </c>
      <c r="F391" t="str">
        <v>10MF640</v>
      </c>
      <c r="G391">
        <v>31</v>
      </c>
      <c r="H391" t="str">
        <v>single</v>
      </c>
      <c r="J391">
        <v>3</v>
      </c>
      <c r="K391" s="123">
        <v>45931</v>
      </c>
    </row>
    <row r="392" spans="1:11" hidden="1" x14ac:dyDescent="0.25">
      <c r="A392">
        <v>391</v>
      </c>
      <c r="B392">
        <v>2025</v>
      </c>
      <c r="C392">
        <v>10</v>
      </c>
      <c r="D392">
        <v>102</v>
      </c>
      <c r="E392">
        <v>3</v>
      </c>
      <c r="F392" t="str">
        <v>54BM823</v>
      </c>
      <c r="G392">
        <v>31</v>
      </c>
      <c r="H392" t="str">
        <v>single</v>
      </c>
      <c r="J392">
        <v>5</v>
      </c>
      <c r="K392" s="123">
        <v>45931</v>
      </c>
    </row>
    <row r="393" spans="1:11" hidden="1" x14ac:dyDescent="0.25">
      <c r="A393">
        <v>392</v>
      </c>
      <c r="B393">
        <v>2025</v>
      </c>
      <c r="C393">
        <v>10</v>
      </c>
      <c r="D393">
        <v>110</v>
      </c>
      <c r="E393">
        <v>3</v>
      </c>
      <c r="F393" t="str">
        <v>99XC106</v>
      </c>
      <c r="G393">
        <v>30</v>
      </c>
      <c r="H393" t="str">
        <v>single</v>
      </c>
      <c r="J393">
        <v>1</v>
      </c>
      <c r="K393" s="123">
        <v>45931</v>
      </c>
    </row>
    <row r="394" spans="1:11" hidden="1" x14ac:dyDescent="0.25">
      <c r="A394">
        <v>393</v>
      </c>
      <c r="B394">
        <v>2025</v>
      </c>
      <c r="C394">
        <v>10</v>
      </c>
      <c r="D394">
        <v>121</v>
      </c>
      <c r="E394">
        <v>1</v>
      </c>
      <c r="F394" t="str">
        <v>11BC843</v>
      </c>
      <c r="G394">
        <v>28</v>
      </c>
      <c r="H394" t="str">
        <v>single</v>
      </c>
      <c r="J394">
        <v>1</v>
      </c>
      <c r="K394" s="123">
        <v>45931</v>
      </c>
    </row>
    <row r="395" spans="1:11" hidden="1" x14ac:dyDescent="0.25">
      <c r="A395">
        <v>394</v>
      </c>
      <c r="B395">
        <v>2025</v>
      </c>
      <c r="C395">
        <v>10</v>
      </c>
      <c r="D395">
        <v>31</v>
      </c>
      <c r="E395">
        <v>9</v>
      </c>
      <c r="F395" t="str">
        <v>77GR998</v>
      </c>
      <c r="G395">
        <v>31</v>
      </c>
      <c r="H395" t="str">
        <v>double</v>
      </c>
      <c r="J395">
        <v>63</v>
      </c>
      <c r="K395" s="123">
        <v>45931</v>
      </c>
    </row>
    <row r="396" spans="1:11" hidden="1" x14ac:dyDescent="0.25">
      <c r="A396">
        <v>395</v>
      </c>
      <c r="B396">
        <v>2025</v>
      </c>
      <c r="C396">
        <v>10</v>
      </c>
      <c r="D396">
        <v>31</v>
      </c>
      <c r="E396">
        <v>9</v>
      </c>
      <c r="F396" t="str">
        <v>99EM163</v>
      </c>
      <c r="G396">
        <v>31</v>
      </c>
      <c r="H396" t="str">
        <v>double</v>
      </c>
      <c r="J396">
        <v>98</v>
      </c>
      <c r="K396" s="123">
        <v>45931</v>
      </c>
    </row>
    <row r="397" spans="1:11" hidden="1" x14ac:dyDescent="0.25">
      <c r="A397">
        <v>396</v>
      </c>
      <c r="B397">
        <v>2025</v>
      </c>
      <c r="C397">
        <v>10</v>
      </c>
      <c r="D397">
        <v>46</v>
      </c>
      <c r="E397">
        <v>6</v>
      </c>
      <c r="F397" t="str">
        <v>110FY523</v>
      </c>
      <c r="G397">
        <v>29</v>
      </c>
      <c r="H397" t="str">
        <v>double</v>
      </c>
      <c r="J397">
        <v>2</v>
      </c>
      <c r="K397" s="123">
        <v>45931</v>
      </c>
    </row>
    <row r="398" spans="1:11" hidden="1" x14ac:dyDescent="0.25">
      <c r="A398">
        <v>397</v>
      </c>
      <c r="B398">
        <v>2025</v>
      </c>
      <c r="C398">
        <v>10</v>
      </c>
      <c r="D398">
        <v>46</v>
      </c>
      <c r="E398">
        <v>6</v>
      </c>
      <c r="F398" t="str">
        <v>110FY524</v>
      </c>
      <c r="G398">
        <v>11</v>
      </c>
      <c r="H398" t="str">
        <v>double</v>
      </c>
      <c r="J398">
        <v>8</v>
      </c>
      <c r="K398" s="123">
        <v>45931</v>
      </c>
    </row>
    <row r="399" spans="1:11" hidden="1" x14ac:dyDescent="0.25">
      <c r="A399">
        <v>398</v>
      </c>
      <c r="B399">
        <v>2025</v>
      </c>
      <c r="C399">
        <v>10</v>
      </c>
      <c r="D399">
        <v>46</v>
      </c>
      <c r="E399">
        <v>6</v>
      </c>
      <c r="F399" t="str">
        <v>10AD801</v>
      </c>
      <c r="G399">
        <v>28</v>
      </c>
      <c r="H399" t="str">
        <v>double</v>
      </c>
      <c r="J399">
        <v>5</v>
      </c>
      <c r="K399" s="123">
        <v>45931</v>
      </c>
    </row>
    <row r="400" spans="1:11" hidden="1" x14ac:dyDescent="0.25">
      <c r="A400">
        <v>399</v>
      </c>
      <c r="B400">
        <v>2025</v>
      </c>
      <c r="C400">
        <v>10</v>
      </c>
      <c r="D400">
        <v>31</v>
      </c>
      <c r="E400">
        <v>9</v>
      </c>
      <c r="F400" t="str">
        <v>10RN527</v>
      </c>
      <c r="G400">
        <v>87</v>
      </c>
      <c r="H400" t="str">
        <v>hour</v>
      </c>
      <c r="J400">
        <v>30</v>
      </c>
      <c r="K400" s="123">
        <v>45931</v>
      </c>
    </row>
    <row r="401" spans="1:11" hidden="1" x14ac:dyDescent="0.25">
      <c r="A401">
        <v>400</v>
      </c>
      <c r="B401">
        <v>2025</v>
      </c>
      <c r="C401">
        <v>10</v>
      </c>
      <c r="D401">
        <v>31</v>
      </c>
      <c r="E401">
        <v>9</v>
      </c>
      <c r="F401" t="str">
        <v>21BF442</v>
      </c>
      <c r="G401">
        <v>87</v>
      </c>
      <c r="H401" t="str">
        <v>hour</v>
      </c>
      <c r="J401">
        <v>38</v>
      </c>
      <c r="K401" s="123">
        <v>45931</v>
      </c>
    </row>
    <row r="402" spans="1:11" hidden="1" x14ac:dyDescent="0.25">
      <c r="A402">
        <v>401</v>
      </c>
      <c r="B402">
        <v>2025</v>
      </c>
      <c r="C402">
        <v>10</v>
      </c>
      <c r="D402">
        <v>31</v>
      </c>
      <c r="E402">
        <v>9</v>
      </c>
      <c r="F402" t="str">
        <v>50BD165</v>
      </c>
      <c r="G402">
        <v>28.999999999999975</v>
      </c>
      <c r="H402" t="str">
        <v>hour</v>
      </c>
      <c r="J402">
        <v>40</v>
      </c>
      <c r="K402" s="123">
        <v>45931</v>
      </c>
    </row>
    <row r="403" spans="1:11" hidden="1" x14ac:dyDescent="0.25">
      <c r="A403">
        <v>402</v>
      </c>
      <c r="B403">
        <v>2025</v>
      </c>
      <c r="C403">
        <v>10</v>
      </c>
      <c r="D403">
        <v>31</v>
      </c>
      <c r="E403">
        <v>9</v>
      </c>
      <c r="F403" t="str">
        <v>50BN724</v>
      </c>
      <c r="G403">
        <v>35.999999999999943</v>
      </c>
      <c r="H403" t="str">
        <v>hour</v>
      </c>
      <c r="J403">
        <v>42</v>
      </c>
      <c r="K403" s="123">
        <v>45931</v>
      </c>
    </row>
    <row r="404" spans="1:11" hidden="1" x14ac:dyDescent="0.25">
      <c r="A404">
        <v>403</v>
      </c>
      <c r="B404">
        <v>2025</v>
      </c>
      <c r="C404">
        <v>10</v>
      </c>
      <c r="D404">
        <v>31</v>
      </c>
      <c r="E404">
        <v>9</v>
      </c>
      <c r="F404" t="str">
        <v>50CN929</v>
      </c>
      <c r="G404">
        <v>72</v>
      </c>
      <c r="H404" t="str">
        <v>hour</v>
      </c>
      <c r="J404">
        <v>44</v>
      </c>
      <c r="K404" s="123">
        <v>45931</v>
      </c>
    </row>
    <row r="405" spans="1:11" hidden="1" x14ac:dyDescent="0.25">
      <c r="A405">
        <v>404</v>
      </c>
      <c r="B405">
        <v>2025</v>
      </c>
      <c r="C405">
        <v>10</v>
      </c>
      <c r="D405">
        <v>31</v>
      </c>
      <c r="E405">
        <v>9</v>
      </c>
      <c r="F405" t="str">
        <v>50DK730</v>
      </c>
      <c r="G405">
        <v>90</v>
      </c>
      <c r="H405" t="str">
        <v>hour</v>
      </c>
      <c r="J405">
        <v>46</v>
      </c>
      <c r="K405" s="123">
        <v>45931</v>
      </c>
    </row>
    <row r="406" spans="1:11" hidden="1" x14ac:dyDescent="0.25">
      <c r="A406">
        <v>405</v>
      </c>
      <c r="B406">
        <v>2025</v>
      </c>
      <c r="C406">
        <v>10</v>
      </c>
      <c r="D406">
        <v>31</v>
      </c>
      <c r="E406">
        <v>9</v>
      </c>
      <c r="F406" t="str">
        <v>50EF902</v>
      </c>
      <c r="G406">
        <v>63.999999999999943</v>
      </c>
      <c r="H406" t="str">
        <v>hour</v>
      </c>
      <c r="J406">
        <v>48</v>
      </c>
      <c r="K406" s="123">
        <v>45931</v>
      </c>
    </row>
    <row r="407" spans="1:11" hidden="1" x14ac:dyDescent="0.25">
      <c r="A407">
        <v>406</v>
      </c>
      <c r="B407">
        <v>2025</v>
      </c>
      <c r="C407">
        <v>10</v>
      </c>
      <c r="D407">
        <v>31</v>
      </c>
      <c r="E407">
        <v>9</v>
      </c>
      <c r="F407" t="str">
        <v>50FB264</v>
      </c>
      <c r="G407">
        <v>44.999999999999957</v>
      </c>
      <c r="H407" t="str">
        <v>hour</v>
      </c>
      <c r="J407">
        <v>24</v>
      </c>
      <c r="K407" s="123">
        <v>45931</v>
      </c>
    </row>
    <row r="408" spans="1:11" hidden="1" x14ac:dyDescent="0.25">
      <c r="A408">
        <v>407</v>
      </c>
      <c r="B408">
        <v>2025</v>
      </c>
      <c r="C408">
        <v>10</v>
      </c>
      <c r="D408">
        <v>31</v>
      </c>
      <c r="E408">
        <v>9</v>
      </c>
      <c r="F408" t="str">
        <v>55CB633</v>
      </c>
      <c r="G408">
        <v>89</v>
      </c>
      <c r="H408" t="str">
        <v>hour</v>
      </c>
      <c r="J408">
        <v>56</v>
      </c>
      <c r="K408" s="123">
        <v>45931</v>
      </c>
    </row>
    <row r="409" spans="1:11" hidden="1" x14ac:dyDescent="0.25">
      <c r="A409">
        <v>408</v>
      </c>
      <c r="B409">
        <v>2025</v>
      </c>
      <c r="C409">
        <v>10</v>
      </c>
      <c r="D409">
        <v>31</v>
      </c>
      <c r="E409">
        <v>9</v>
      </c>
      <c r="F409" t="str">
        <v>77TG971</v>
      </c>
      <c r="G409">
        <v>7.9999999999999858</v>
      </c>
      <c r="H409" t="str">
        <v>hour</v>
      </c>
      <c r="J409">
        <v>74</v>
      </c>
      <c r="K409" s="123">
        <v>45931</v>
      </c>
    </row>
    <row r="410" spans="1:11" hidden="1" x14ac:dyDescent="0.25">
      <c r="A410">
        <v>409</v>
      </c>
      <c r="B410">
        <v>2025</v>
      </c>
      <c r="C410">
        <v>10</v>
      </c>
      <c r="D410">
        <v>31</v>
      </c>
      <c r="E410">
        <v>9</v>
      </c>
      <c r="F410" t="str">
        <v>90EC344</v>
      </c>
      <c r="G410">
        <v>41</v>
      </c>
      <c r="H410" t="str">
        <v>hour</v>
      </c>
      <c r="J410">
        <v>78</v>
      </c>
      <c r="K410" s="123">
        <v>45931</v>
      </c>
    </row>
    <row r="411" spans="1:11" hidden="1" x14ac:dyDescent="0.25">
      <c r="A411">
        <v>410</v>
      </c>
      <c r="B411">
        <v>2025</v>
      </c>
      <c r="C411">
        <v>10</v>
      </c>
      <c r="D411">
        <v>31</v>
      </c>
      <c r="E411">
        <v>9</v>
      </c>
      <c r="F411" t="str">
        <v>90LS143</v>
      </c>
      <c r="G411">
        <v>25.999999999999986</v>
      </c>
      <c r="H411" t="str">
        <v>hour</v>
      </c>
      <c r="J411">
        <v>80</v>
      </c>
      <c r="K411" s="123">
        <v>45931</v>
      </c>
    </row>
    <row r="412" spans="1:11" hidden="1" x14ac:dyDescent="0.25">
      <c r="A412">
        <v>411</v>
      </c>
      <c r="B412">
        <v>2025</v>
      </c>
      <c r="C412">
        <v>10</v>
      </c>
      <c r="D412">
        <v>31</v>
      </c>
      <c r="E412">
        <v>9</v>
      </c>
      <c r="F412" t="str">
        <v>90VS316</v>
      </c>
      <c r="G412">
        <v>76.999999999999986</v>
      </c>
      <c r="H412" t="str">
        <v>hour</v>
      </c>
      <c r="J412">
        <v>86</v>
      </c>
      <c r="K412" s="123">
        <v>45931</v>
      </c>
    </row>
    <row r="413" spans="1:11" hidden="1" x14ac:dyDescent="0.25">
      <c r="A413">
        <v>412</v>
      </c>
      <c r="B413">
        <v>2025</v>
      </c>
      <c r="C413">
        <v>10</v>
      </c>
      <c r="D413">
        <v>31</v>
      </c>
      <c r="E413">
        <v>9</v>
      </c>
      <c r="F413" t="str">
        <v>99BT339</v>
      </c>
      <c r="G413">
        <v>55.999999999999972</v>
      </c>
      <c r="H413" t="str">
        <v>hour</v>
      </c>
      <c r="J413">
        <v>92</v>
      </c>
      <c r="K413" s="123">
        <v>45931</v>
      </c>
    </row>
    <row r="414" spans="1:11" hidden="1" x14ac:dyDescent="0.25">
      <c r="A414">
        <v>413</v>
      </c>
      <c r="B414">
        <v>2025</v>
      </c>
      <c r="C414">
        <v>10</v>
      </c>
      <c r="D414">
        <v>31</v>
      </c>
      <c r="E414">
        <v>9</v>
      </c>
      <c r="F414" t="str">
        <v>99CN447</v>
      </c>
      <c r="G414">
        <v>73.999999999999972</v>
      </c>
      <c r="H414" t="str">
        <v>hour</v>
      </c>
      <c r="J414">
        <v>95</v>
      </c>
      <c r="K414" s="123">
        <v>45931</v>
      </c>
    </row>
    <row r="415" spans="1:11" hidden="1" x14ac:dyDescent="0.25">
      <c r="A415">
        <v>414</v>
      </c>
      <c r="B415">
        <v>2025</v>
      </c>
      <c r="C415">
        <v>10</v>
      </c>
      <c r="D415">
        <v>31</v>
      </c>
      <c r="E415">
        <v>9</v>
      </c>
      <c r="F415" t="str">
        <v>99FO779</v>
      </c>
      <c r="G415">
        <v>86.999999999999986</v>
      </c>
      <c r="H415" t="str">
        <v>hour</v>
      </c>
      <c r="J415">
        <v>102</v>
      </c>
      <c r="K415" s="123">
        <v>45931</v>
      </c>
    </row>
    <row r="416" spans="1:11" hidden="1" x14ac:dyDescent="0.25">
      <c r="A416">
        <v>415</v>
      </c>
      <c r="B416">
        <v>2025</v>
      </c>
      <c r="C416">
        <v>10</v>
      </c>
      <c r="D416">
        <v>31</v>
      </c>
      <c r="E416">
        <v>9</v>
      </c>
      <c r="F416" t="str">
        <v>99KL663</v>
      </c>
      <c r="G416">
        <v>74.999999999999986</v>
      </c>
      <c r="H416" t="str">
        <v>hour</v>
      </c>
      <c r="J416">
        <v>105</v>
      </c>
      <c r="K416" s="123">
        <v>45931</v>
      </c>
    </row>
    <row r="417" spans="1:11" hidden="1" x14ac:dyDescent="0.25">
      <c r="A417">
        <v>416</v>
      </c>
      <c r="B417">
        <v>2025</v>
      </c>
      <c r="C417">
        <v>10</v>
      </c>
      <c r="D417">
        <v>31</v>
      </c>
      <c r="E417">
        <v>9</v>
      </c>
      <c r="F417" t="str">
        <v>99LM412</v>
      </c>
      <c r="G417">
        <v>49.999999999999943</v>
      </c>
      <c r="H417" t="str">
        <v>hour</v>
      </c>
      <c r="J417">
        <v>115</v>
      </c>
      <c r="K417" s="123">
        <v>45931</v>
      </c>
    </row>
    <row r="418" spans="1:11" hidden="1" x14ac:dyDescent="0.25">
      <c r="A418">
        <v>417</v>
      </c>
      <c r="B418">
        <v>2025</v>
      </c>
      <c r="C418">
        <v>10</v>
      </c>
      <c r="D418">
        <v>31</v>
      </c>
      <c r="E418">
        <v>9</v>
      </c>
      <c r="F418" t="str">
        <v>99MN472</v>
      </c>
      <c r="G418">
        <v>83</v>
      </c>
      <c r="H418" t="str">
        <v>hour</v>
      </c>
      <c r="J418">
        <v>107</v>
      </c>
      <c r="K418" s="123">
        <v>45931</v>
      </c>
    </row>
    <row r="419" spans="1:11" hidden="1" x14ac:dyDescent="0.25">
      <c r="A419">
        <v>418</v>
      </c>
      <c r="B419">
        <v>2025</v>
      </c>
      <c r="C419">
        <v>10</v>
      </c>
      <c r="D419">
        <v>31</v>
      </c>
      <c r="E419">
        <v>9</v>
      </c>
      <c r="F419" t="str">
        <v>99OR961</v>
      </c>
      <c r="G419">
        <v>40.999999999999986</v>
      </c>
      <c r="H419" t="str">
        <v>hour</v>
      </c>
      <c r="J419">
        <v>110</v>
      </c>
      <c r="K419" s="123">
        <v>45931</v>
      </c>
    </row>
    <row r="420" spans="1:11" hidden="1" x14ac:dyDescent="0.25">
      <c r="A420">
        <v>419</v>
      </c>
      <c r="B420">
        <v>2025</v>
      </c>
      <c r="C420">
        <v>10</v>
      </c>
      <c r="D420">
        <v>31</v>
      </c>
      <c r="E420">
        <v>9</v>
      </c>
      <c r="F420" t="str">
        <v>99UK314</v>
      </c>
      <c r="G420">
        <v>101</v>
      </c>
      <c r="H420" t="str">
        <v>hour</v>
      </c>
      <c r="J420">
        <v>113</v>
      </c>
      <c r="K420" s="123">
        <v>45931</v>
      </c>
    </row>
    <row r="421" spans="1:11" hidden="1" x14ac:dyDescent="0.25">
      <c r="A421">
        <v>420</v>
      </c>
      <c r="B421">
        <v>2025</v>
      </c>
      <c r="C421">
        <v>10</v>
      </c>
      <c r="D421">
        <v>51</v>
      </c>
      <c r="E421">
        <v>3</v>
      </c>
      <c r="F421" t="str">
        <v>10BA857</v>
      </c>
      <c r="G421">
        <v>45.999999999999972</v>
      </c>
      <c r="H421" t="str">
        <v>hour</v>
      </c>
      <c r="J421">
        <v>4</v>
      </c>
      <c r="K421" s="123">
        <v>45931</v>
      </c>
    </row>
    <row r="422" spans="1:11" hidden="1" x14ac:dyDescent="0.25">
      <c r="A422">
        <v>421</v>
      </c>
      <c r="B422">
        <v>2025</v>
      </c>
      <c r="C422">
        <v>10</v>
      </c>
      <c r="D422">
        <v>85</v>
      </c>
      <c r="E422">
        <v>5</v>
      </c>
      <c r="F422" t="str">
        <v>77SN951</v>
      </c>
      <c r="G422">
        <v>6</v>
      </c>
      <c r="H422" t="str">
        <v>hour</v>
      </c>
      <c r="J422">
        <v>2</v>
      </c>
      <c r="K422" s="123">
        <v>45931</v>
      </c>
    </row>
    <row r="423" spans="1:11" hidden="1" x14ac:dyDescent="0.25">
      <c r="A423">
        <v>422</v>
      </c>
      <c r="B423">
        <v>2025</v>
      </c>
      <c r="C423">
        <v>10</v>
      </c>
      <c r="D423">
        <v>98</v>
      </c>
      <c r="E423">
        <v>4</v>
      </c>
      <c r="F423" t="str">
        <v>50BD416</v>
      </c>
      <c r="G423">
        <v>9.9999999999999893</v>
      </c>
      <c r="H423" t="str">
        <v>hour</v>
      </c>
      <c r="J423">
        <v>2</v>
      </c>
      <c r="K423" s="123">
        <v>45931</v>
      </c>
    </row>
    <row r="424" spans="1:11" hidden="1" x14ac:dyDescent="0.25">
      <c r="A424">
        <v>423</v>
      </c>
      <c r="B424">
        <v>2025</v>
      </c>
      <c r="C424">
        <v>10</v>
      </c>
      <c r="D424">
        <v>102</v>
      </c>
      <c r="E424">
        <v>3</v>
      </c>
      <c r="F424" t="str">
        <v>10MF640</v>
      </c>
      <c r="G424">
        <v>55</v>
      </c>
      <c r="H424" t="str">
        <v>hour</v>
      </c>
      <c r="J424">
        <v>4</v>
      </c>
      <c r="K424" s="123">
        <v>45931</v>
      </c>
    </row>
    <row r="425" spans="1:11" hidden="1" x14ac:dyDescent="0.25">
      <c r="A425">
        <v>424</v>
      </c>
      <c r="B425">
        <v>2025</v>
      </c>
      <c r="C425">
        <v>10</v>
      </c>
      <c r="D425">
        <v>121</v>
      </c>
      <c r="E425">
        <v>1</v>
      </c>
      <c r="F425" t="str">
        <v>11BC843</v>
      </c>
      <c r="G425">
        <v>8</v>
      </c>
      <c r="H425" t="str">
        <v>hour</v>
      </c>
      <c r="J425">
        <v>2</v>
      </c>
      <c r="K425" s="123">
        <v>45931</v>
      </c>
    </row>
    <row r="426" spans="1:11" hidden="1" x14ac:dyDescent="0.25">
      <c r="A426">
        <v>425</v>
      </c>
      <c r="B426">
        <v>2025</v>
      </c>
      <c r="C426">
        <v>11</v>
      </c>
      <c r="D426">
        <v>31</v>
      </c>
      <c r="E426">
        <v>10</v>
      </c>
      <c r="F426" t="str">
        <v>10RN527</v>
      </c>
      <c r="G426">
        <v>29</v>
      </c>
      <c r="H426" t="str">
        <v>single</v>
      </c>
      <c r="J426">
        <v>32</v>
      </c>
      <c r="K426" s="123">
        <v>45962</v>
      </c>
    </row>
    <row r="427" spans="1:11" x14ac:dyDescent="0.25">
      <c r="A427">
        <v>426</v>
      </c>
      <c r="B427">
        <v>2025</v>
      </c>
      <c r="C427">
        <v>11</v>
      </c>
      <c r="D427">
        <v>31</v>
      </c>
      <c r="E427">
        <v>10</v>
      </c>
      <c r="F427" t="str">
        <v>21BF442</v>
      </c>
      <c r="G427">
        <v>28</v>
      </c>
      <c r="H427" t="str">
        <v>single</v>
      </c>
      <c r="J427">
        <v>39</v>
      </c>
      <c r="K427" s="123">
        <v>45962</v>
      </c>
    </row>
    <row r="428" spans="1:11" x14ac:dyDescent="0.25">
      <c r="A428">
        <v>427</v>
      </c>
      <c r="B428">
        <v>2025</v>
      </c>
      <c r="C428">
        <v>11</v>
      </c>
      <c r="D428">
        <v>31</v>
      </c>
      <c r="E428">
        <v>10</v>
      </c>
      <c r="F428" t="str">
        <v>50BD165</v>
      </c>
      <c r="G428">
        <v>12</v>
      </c>
      <c r="H428" t="str">
        <v>single</v>
      </c>
      <c r="J428">
        <v>41</v>
      </c>
      <c r="K428" s="123">
        <v>45962</v>
      </c>
    </row>
    <row r="429" spans="1:11" x14ac:dyDescent="0.25">
      <c r="A429">
        <v>428</v>
      </c>
      <c r="B429">
        <v>2025</v>
      </c>
      <c r="C429">
        <v>11</v>
      </c>
      <c r="D429">
        <v>31</v>
      </c>
      <c r="E429">
        <v>10</v>
      </c>
      <c r="F429" t="str">
        <v>50DK730</v>
      </c>
      <c r="G429">
        <v>29</v>
      </c>
      <c r="H429" t="str">
        <v>single</v>
      </c>
      <c r="J429">
        <v>47</v>
      </c>
      <c r="K429" s="123">
        <v>45962</v>
      </c>
    </row>
    <row r="430" spans="1:11" x14ac:dyDescent="0.25">
      <c r="A430">
        <v>429</v>
      </c>
      <c r="B430">
        <v>2025</v>
      </c>
      <c r="C430">
        <v>11</v>
      </c>
      <c r="D430">
        <v>31</v>
      </c>
      <c r="E430">
        <v>10</v>
      </c>
      <c r="F430" t="str">
        <v>50EF902</v>
      </c>
      <c r="G430">
        <v>28</v>
      </c>
      <c r="H430" t="str">
        <v>single</v>
      </c>
      <c r="J430">
        <v>49</v>
      </c>
      <c r="K430" s="123">
        <v>45962</v>
      </c>
    </row>
    <row r="431" spans="1:11" x14ac:dyDescent="0.25">
      <c r="A431">
        <v>430</v>
      </c>
      <c r="B431">
        <v>2025</v>
      </c>
      <c r="C431">
        <v>11</v>
      </c>
      <c r="D431">
        <v>31</v>
      </c>
      <c r="E431">
        <v>10</v>
      </c>
      <c r="F431" t="str">
        <v>55CB633</v>
      </c>
      <c r="G431">
        <v>29</v>
      </c>
      <c r="H431" t="str">
        <v>single</v>
      </c>
      <c r="J431">
        <v>57</v>
      </c>
      <c r="K431" s="123">
        <v>45962</v>
      </c>
    </row>
    <row r="432" spans="1:11" x14ac:dyDescent="0.25">
      <c r="A432">
        <v>431</v>
      </c>
      <c r="B432">
        <v>2025</v>
      </c>
      <c r="C432">
        <v>11</v>
      </c>
      <c r="D432">
        <v>31</v>
      </c>
      <c r="E432">
        <v>10</v>
      </c>
      <c r="F432" t="str">
        <v>77SR538</v>
      </c>
      <c r="G432">
        <v>30</v>
      </c>
      <c r="H432" t="str">
        <v>single</v>
      </c>
      <c r="J432">
        <v>73</v>
      </c>
      <c r="K432" s="123">
        <v>45962</v>
      </c>
    </row>
    <row r="433" spans="1:11" x14ac:dyDescent="0.25">
      <c r="A433">
        <v>432</v>
      </c>
      <c r="B433">
        <v>2025</v>
      </c>
      <c r="C433">
        <v>11</v>
      </c>
      <c r="D433">
        <v>31</v>
      </c>
      <c r="E433">
        <v>10</v>
      </c>
      <c r="F433" t="str">
        <v>77TG971</v>
      </c>
      <c r="G433">
        <v>29</v>
      </c>
      <c r="H433" t="str">
        <v>single</v>
      </c>
      <c r="J433">
        <v>75</v>
      </c>
      <c r="K433" s="123">
        <v>45962</v>
      </c>
    </row>
    <row r="434" spans="1:11" x14ac:dyDescent="0.25">
      <c r="A434">
        <v>433</v>
      </c>
      <c r="B434">
        <v>2025</v>
      </c>
      <c r="C434">
        <v>11</v>
      </c>
      <c r="D434">
        <v>31</v>
      </c>
      <c r="E434">
        <v>10</v>
      </c>
      <c r="F434" t="str">
        <v>77UR032</v>
      </c>
      <c r="G434">
        <v>28</v>
      </c>
      <c r="H434" t="str">
        <v>single</v>
      </c>
      <c r="J434">
        <v>77</v>
      </c>
      <c r="K434" s="123">
        <v>45962</v>
      </c>
    </row>
    <row r="435" spans="1:11" x14ac:dyDescent="0.25">
      <c r="A435">
        <v>434</v>
      </c>
      <c r="B435">
        <v>2025</v>
      </c>
      <c r="C435">
        <v>11</v>
      </c>
      <c r="D435">
        <v>31</v>
      </c>
      <c r="E435">
        <v>10</v>
      </c>
      <c r="F435" t="str">
        <v>77VL420</v>
      </c>
      <c r="G435">
        <v>29</v>
      </c>
      <c r="H435" t="str">
        <v>single</v>
      </c>
      <c r="J435">
        <v>118</v>
      </c>
      <c r="K435" s="123">
        <v>45962</v>
      </c>
    </row>
    <row r="436" spans="1:11" x14ac:dyDescent="0.25">
      <c r="A436">
        <v>435</v>
      </c>
      <c r="B436">
        <v>2025</v>
      </c>
      <c r="C436">
        <v>11</v>
      </c>
      <c r="D436">
        <v>31</v>
      </c>
      <c r="E436">
        <v>10</v>
      </c>
      <c r="F436" t="str">
        <v>90EC344</v>
      </c>
      <c r="G436">
        <v>29</v>
      </c>
      <c r="H436" t="str">
        <v>single</v>
      </c>
      <c r="J436">
        <v>79</v>
      </c>
      <c r="K436" s="123">
        <v>45962</v>
      </c>
    </row>
    <row r="437" spans="1:11" x14ac:dyDescent="0.25">
      <c r="A437">
        <v>436</v>
      </c>
      <c r="B437">
        <v>2025</v>
      </c>
      <c r="C437">
        <v>11</v>
      </c>
      <c r="D437">
        <v>31</v>
      </c>
      <c r="E437">
        <v>10</v>
      </c>
      <c r="F437" t="str">
        <v>90LS143</v>
      </c>
      <c r="G437">
        <v>29</v>
      </c>
      <c r="H437" t="str">
        <v>single</v>
      </c>
      <c r="J437">
        <v>81</v>
      </c>
      <c r="K437" s="123">
        <v>45962</v>
      </c>
    </row>
    <row r="438" spans="1:11" x14ac:dyDescent="0.25">
      <c r="A438">
        <v>437</v>
      </c>
      <c r="B438">
        <v>2025</v>
      </c>
      <c r="C438">
        <v>11</v>
      </c>
      <c r="D438">
        <v>31</v>
      </c>
      <c r="E438">
        <v>10</v>
      </c>
      <c r="F438" t="str">
        <v>90OE402</v>
      </c>
      <c r="G438">
        <v>30</v>
      </c>
      <c r="H438" t="str">
        <v>single</v>
      </c>
      <c r="J438">
        <v>83</v>
      </c>
      <c r="K438" s="123">
        <v>45962</v>
      </c>
    </row>
    <row r="439" spans="1:11" x14ac:dyDescent="0.25">
      <c r="A439">
        <v>438</v>
      </c>
      <c r="B439">
        <v>2025</v>
      </c>
      <c r="C439">
        <v>11</v>
      </c>
      <c r="D439">
        <v>31</v>
      </c>
      <c r="E439">
        <v>10</v>
      </c>
      <c r="F439" t="str">
        <v>90VS316</v>
      </c>
      <c r="G439">
        <v>13</v>
      </c>
      <c r="H439" t="str">
        <v>single</v>
      </c>
      <c r="J439">
        <v>87</v>
      </c>
      <c r="K439" s="123">
        <v>45962</v>
      </c>
    </row>
    <row r="440" spans="1:11" x14ac:dyDescent="0.25">
      <c r="A440">
        <v>439</v>
      </c>
      <c r="B440">
        <v>2025</v>
      </c>
      <c r="C440">
        <v>11</v>
      </c>
      <c r="D440">
        <v>31</v>
      </c>
      <c r="E440">
        <v>10</v>
      </c>
      <c r="F440" t="str">
        <v>99BT339</v>
      </c>
      <c r="G440">
        <v>29</v>
      </c>
      <c r="H440" t="str">
        <v>single</v>
      </c>
      <c r="J440">
        <v>93</v>
      </c>
      <c r="K440" s="123">
        <v>45962</v>
      </c>
    </row>
    <row r="441" spans="1:11" x14ac:dyDescent="0.25">
      <c r="A441">
        <v>440</v>
      </c>
      <c r="B441">
        <v>2025</v>
      </c>
      <c r="C441">
        <v>11</v>
      </c>
      <c r="D441">
        <v>31</v>
      </c>
      <c r="E441">
        <v>10</v>
      </c>
      <c r="F441" t="str">
        <v>99CN447</v>
      </c>
      <c r="G441">
        <v>29</v>
      </c>
      <c r="H441" t="str">
        <v>single</v>
      </c>
      <c r="J441">
        <v>94</v>
      </c>
      <c r="K441" s="123">
        <v>45962</v>
      </c>
    </row>
    <row r="442" spans="1:11" x14ac:dyDescent="0.25">
      <c r="A442">
        <v>441</v>
      </c>
      <c r="B442">
        <v>2025</v>
      </c>
      <c r="C442">
        <v>11</v>
      </c>
      <c r="D442">
        <v>31</v>
      </c>
      <c r="E442">
        <v>10</v>
      </c>
      <c r="F442" t="str">
        <v>99EM163</v>
      </c>
      <c r="G442">
        <v>1</v>
      </c>
      <c r="H442" t="str">
        <v>single</v>
      </c>
      <c r="J442">
        <v>100</v>
      </c>
      <c r="K442" s="123">
        <v>45962</v>
      </c>
    </row>
    <row r="443" spans="1:11" x14ac:dyDescent="0.25">
      <c r="A443">
        <v>442</v>
      </c>
      <c r="B443">
        <v>2025</v>
      </c>
      <c r="C443">
        <v>11</v>
      </c>
      <c r="D443">
        <v>31</v>
      </c>
      <c r="E443">
        <v>10</v>
      </c>
      <c r="F443" t="str">
        <v>99FO779</v>
      </c>
      <c r="G443">
        <v>28</v>
      </c>
      <c r="H443" t="str">
        <v>single</v>
      </c>
      <c r="J443">
        <v>101</v>
      </c>
      <c r="K443" s="123">
        <v>45962</v>
      </c>
    </row>
    <row r="444" spans="1:11" x14ac:dyDescent="0.25">
      <c r="A444">
        <v>443</v>
      </c>
      <c r="B444">
        <v>2025</v>
      </c>
      <c r="C444">
        <v>11</v>
      </c>
      <c r="D444">
        <v>31</v>
      </c>
      <c r="E444">
        <v>10</v>
      </c>
      <c r="F444" t="str">
        <v>99KL663</v>
      </c>
      <c r="G444">
        <v>29</v>
      </c>
      <c r="H444" t="str">
        <v>single</v>
      </c>
      <c r="J444">
        <v>106</v>
      </c>
      <c r="K444" s="123">
        <v>45962</v>
      </c>
    </row>
    <row r="445" spans="1:11" x14ac:dyDescent="0.25">
      <c r="A445">
        <v>444</v>
      </c>
      <c r="B445">
        <v>2025</v>
      </c>
      <c r="C445">
        <v>11</v>
      </c>
      <c r="D445">
        <v>31</v>
      </c>
      <c r="E445">
        <v>10</v>
      </c>
      <c r="F445" t="str">
        <v>99LM412</v>
      </c>
      <c r="G445">
        <v>29</v>
      </c>
      <c r="H445" t="str">
        <v>single</v>
      </c>
      <c r="J445">
        <v>116</v>
      </c>
      <c r="K445" s="123">
        <v>45962</v>
      </c>
    </row>
    <row r="446" spans="1:11" x14ac:dyDescent="0.25">
      <c r="A446">
        <v>445</v>
      </c>
      <c r="B446">
        <v>2025</v>
      </c>
      <c r="C446">
        <v>11</v>
      </c>
      <c r="D446">
        <v>31</v>
      </c>
      <c r="E446">
        <v>10</v>
      </c>
      <c r="F446" t="str">
        <v>99MN472</v>
      </c>
      <c r="G446">
        <v>29</v>
      </c>
      <c r="H446" t="str">
        <v>single</v>
      </c>
      <c r="J446">
        <v>108</v>
      </c>
      <c r="K446" s="123">
        <v>45962</v>
      </c>
    </row>
    <row r="447" spans="1:11" x14ac:dyDescent="0.25">
      <c r="A447">
        <v>446</v>
      </c>
      <c r="B447">
        <v>2025</v>
      </c>
      <c r="C447">
        <v>11</v>
      </c>
      <c r="D447">
        <v>31</v>
      </c>
      <c r="E447">
        <v>10</v>
      </c>
      <c r="F447" t="str">
        <v>99OR961</v>
      </c>
      <c r="G447">
        <v>29</v>
      </c>
      <c r="H447" t="str">
        <v>single</v>
      </c>
      <c r="J447">
        <v>109</v>
      </c>
      <c r="K447" s="123">
        <v>45962</v>
      </c>
    </row>
    <row r="448" spans="1:11" x14ac:dyDescent="0.25">
      <c r="A448">
        <v>447</v>
      </c>
      <c r="B448">
        <v>2025</v>
      </c>
      <c r="C448">
        <v>11</v>
      </c>
      <c r="D448">
        <v>31</v>
      </c>
      <c r="E448">
        <v>10</v>
      </c>
      <c r="F448" t="str">
        <v>99UK314</v>
      </c>
      <c r="G448">
        <v>30</v>
      </c>
      <c r="H448" t="str">
        <v>single</v>
      </c>
      <c r="J448">
        <v>114</v>
      </c>
      <c r="K448" s="123">
        <v>45962</v>
      </c>
    </row>
    <row r="449" spans="1:11" x14ac:dyDescent="0.25">
      <c r="A449">
        <v>448</v>
      </c>
      <c r="B449">
        <v>2025</v>
      </c>
      <c r="C449">
        <v>11</v>
      </c>
      <c r="D449">
        <v>31</v>
      </c>
      <c r="E449">
        <v>10</v>
      </c>
      <c r="F449" t="str">
        <v>10NS184</v>
      </c>
      <c r="G449">
        <v>16</v>
      </c>
      <c r="H449" t="str">
        <v>single</v>
      </c>
      <c r="J449">
        <v>28</v>
      </c>
      <c r="K449" s="123">
        <v>45962</v>
      </c>
    </row>
    <row r="450" spans="1:11" x14ac:dyDescent="0.25">
      <c r="A450">
        <v>449</v>
      </c>
      <c r="B450">
        <v>2025</v>
      </c>
      <c r="C450">
        <v>11</v>
      </c>
      <c r="D450">
        <v>31</v>
      </c>
      <c r="E450">
        <v>10</v>
      </c>
      <c r="F450" t="str">
        <v>10ZS260</v>
      </c>
      <c r="G450">
        <v>1</v>
      </c>
      <c r="H450" t="str">
        <v>single</v>
      </c>
      <c r="J450">
        <v>33</v>
      </c>
      <c r="K450" s="123">
        <v>45962</v>
      </c>
    </row>
    <row r="451" spans="1:11" x14ac:dyDescent="0.25">
      <c r="A451">
        <v>450</v>
      </c>
      <c r="B451">
        <v>2025</v>
      </c>
      <c r="C451">
        <v>11</v>
      </c>
      <c r="D451">
        <v>31</v>
      </c>
      <c r="E451">
        <v>10</v>
      </c>
      <c r="F451" t="str">
        <v>50FB264</v>
      </c>
      <c r="G451">
        <v>28</v>
      </c>
      <c r="H451" t="str">
        <v>single</v>
      </c>
      <c r="J451">
        <v>23</v>
      </c>
      <c r="K451" s="123">
        <v>45962</v>
      </c>
    </row>
    <row r="452" spans="1:11" x14ac:dyDescent="0.25">
      <c r="A452">
        <v>451</v>
      </c>
      <c r="B452">
        <v>2025</v>
      </c>
      <c r="C452">
        <v>11</v>
      </c>
      <c r="D452">
        <v>31</v>
      </c>
      <c r="E452">
        <v>10</v>
      </c>
      <c r="F452" t="str">
        <v>57BV285</v>
      </c>
      <c r="G452">
        <v>13</v>
      </c>
      <c r="H452" t="str">
        <v>single</v>
      </c>
      <c r="J452">
        <v>119</v>
      </c>
      <c r="K452" s="123">
        <v>45962</v>
      </c>
    </row>
    <row r="453" spans="1:11" x14ac:dyDescent="0.25">
      <c r="A453">
        <v>452</v>
      </c>
      <c r="B453">
        <v>2025</v>
      </c>
      <c r="C453">
        <v>11</v>
      </c>
      <c r="D453">
        <v>31</v>
      </c>
      <c r="E453">
        <v>10</v>
      </c>
      <c r="F453" t="str">
        <v>77DK884</v>
      </c>
      <c r="G453">
        <v>29</v>
      </c>
      <c r="H453" t="str">
        <v>single</v>
      </c>
      <c r="J453">
        <v>21</v>
      </c>
      <c r="K453" s="123">
        <v>45962</v>
      </c>
    </row>
    <row r="454" spans="1:11" x14ac:dyDescent="0.25">
      <c r="A454">
        <v>453</v>
      </c>
      <c r="B454">
        <v>2025</v>
      </c>
      <c r="C454">
        <v>11</v>
      </c>
      <c r="D454">
        <v>31</v>
      </c>
      <c r="E454">
        <v>10</v>
      </c>
      <c r="F454" t="str">
        <v>90RC631</v>
      </c>
      <c r="G454">
        <v>4</v>
      </c>
      <c r="H454" t="str">
        <v>single</v>
      </c>
      <c r="J454">
        <v>125</v>
      </c>
      <c r="K454" s="123">
        <v>45962</v>
      </c>
    </row>
    <row r="455" spans="1:11" x14ac:dyDescent="0.25">
      <c r="A455">
        <v>454</v>
      </c>
      <c r="B455">
        <v>2025</v>
      </c>
      <c r="C455">
        <v>11</v>
      </c>
      <c r="D455">
        <v>31</v>
      </c>
      <c r="E455">
        <v>10</v>
      </c>
      <c r="F455" t="str">
        <v>90UX686</v>
      </c>
      <c r="G455">
        <v>16</v>
      </c>
      <c r="H455" t="str">
        <v>single</v>
      </c>
      <c r="J455">
        <v>121</v>
      </c>
      <c r="K455" s="123">
        <v>45962</v>
      </c>
    </row>
    <row r="456" spans="1:11" x14ac:dyDescent="0.25">
      <c r="A456">
        <v>455</v>
      </c>
      <c r="B456">
        <v>2025</v>
      </c>
      <c r="C456">
        <v>11</v>
      </c>
      <c r="D456">
        <v>31</v>
      </c>
      <c r="E456">
        <v>10</v>
      </c>
      <c r="F456" t="str">
        <v>99DT131</v>
      </c>
      <c r="G456">
        <v>21</v>
      </c>
      <c r="H456" t="str">
        <v>single</v>
      </c>
      <c r="J456">
        <v>123</v>
      </c>
      <c r="K456" s="123">
        <v>45962</v>
      </c>
    </row>
    <row r="457" spans="1:11" x14ac:dyDescent="0.25">
      <c r="A457">
        <v>456</v>
      </c>
      <c r="B457">
        <v>2025</v>
      </c>
      <c r="C457">
        <v>11</v>
      </c>
      <c r="D457">
        <v>31</v>
      </c>
      <c r="E457">
        <v>10</v>
      </c>
      <c r="F457" t="str">
        <v>77AT386</v>
      </c>
      <c r="G457">
        <v>30</v>
      </c>
      <c r="H457" t="str">
        <v>single</v>
      </c>
      <c r="J457">
        <v>13</v>
      </c>
      <c r="K457" s="123">
        <v>45962</v>
      </c>
    </row>
    <row r="458" spans="1:11" x14ac:dyDescent="0.25">
      <c r="A458">
        <v>457</v>
      </c>
      <c r="B458">
        <v>2025</v>
      </c>
      <c r="C458">
        <v>11</v>
      </c>
      <c r="D458">
        <v>31</v>
      </c>
      <c r="E458">
        <v>10</v>
      </c>
      <c r="F458" t="str">
        <v>90PY548</v>
      </c>
      <c r="G458">
        <v>30</v>
      </c>
      <c r="H458" t="str">
        <v>single</v>
      </c>
      <c r="J458">
        <v>85</v>
      </c>
      <c r="K458" s="123">
        <v>45962</v>
      </c>
    </row>
    <row r="459" spans="1:11" x14ac:dyDescent="0.25">
      <c r="A459">
        <v>458</v>
      </c>
      <c r="B459">
        <v>2025</v>
      </c>
      <c r="C459">
        <v>11</v>
      </c>
      <c r="D459">
        <v>31</v>
      </c>
      <c r="E459">
        <v>10</v>
      </c>
      <c r="F459" t="str">
        <v>99HZ395</v>
      </c>
      <c r="G459">
        <v>30</v>
      </c>
      <c r="H459" t="str">
        <v>single</v>
      </c>
      <c r="J459">
        <v>3</v>
      </c>
      <c r="K459" s="123">
        <v>45962</v>
      </c>
    </row>
    <row r="460" spans="1:11" x14ac:dyDescent="0.25">
      <c r="A460">
        <v>459</v>
      </c>
      <c r="B460">
        <v>2025</v>
      </c>
      <c r="C460">
        <v>11</v>
      </c>
      <c r="D460">
        <v>31</v>
      </c>
      <c r="E460">
        <v>10</v>
      </c>
      <c r="F460" t="str">
        <v>53BD338</v>
      </c>
      <c r="G460">
        <v>29</v>
      </c>
      <c r="H460" t="str">
        <v>single</v>
      </c>
      <c r="J460">
        <v>55</v>
      </c>
      <c r="K460" s="123">
        <v>45962</v>
      </c>
    </row>
    <row r="461" spans="1:11" x14ac:dyDescent="0.25">
      <c r="A461">
        <v>460</v>
      </c>
      <c r="B461">
        <v>2025</v>
      </c>
      <c r="C461">
        <v>11</v>
      </c>
      <c r="D461">
        <v>31</v>
      </c>
      <c r="E461">
        <v>10</v>
      </c>
      <c r="F461" t="str">
        <v>17BE358</v>
      </c>
      <c r="G461">
        <v>18</v>
      </c>
      <c r="H461" t="str">
        <v>single</v>
      </c>
      <c r="J461">
        <v>37</v>
      </c>
      <c r="K461" s="123">
        <v>45962</v>
      </c>
    </row>
    <row r="462" spans="1:11" x14ac:dyDescent="0.25">
      <c r="A462">
        <v>461</v>
      </c>
      <c r="B462">
        <v>2025</v>
      </c>
      <c r="C462">
        <v>11</v>
      </c>
      <c r="D462">
        <v>31</v>
      </c>
      <c r="E462">
        <v>10</v>
      </c>
      <c r="F462" t="str">
        <v>99GZ612</v>
      </c>
      <c r="G462">
        <v>29</v>
      </c>
      <c r="H462" t="str">
        <v>single</v>
      </c>
      <c r="J462">
        <v>104</v>
      </c>
      <c r="K462" s="123">
        <v>45962</v>
      </c>
    </row>
    <row r="463" spans="1:11" x14ac:dyDescent="0.25">
      <c r="A463">
        <v>462</v>
      </c>
      <c r="B463">
        <v>2025</v>
      </c>
      <c r="C463">
        <v>11</v>
      </c>
      <c r="D463">
        <v>31</v>
      </c>
      <c r="E463">
        <v>10</v>
      </c>
      <c r="F463" t="str">
        <v>77PV619</v>
      </c>
      <c r="G463">
        <v>30</v>
      </c>
      <c r="H463" t="str">
        <v>single</v>
      </c>
      <c r="J463">
        <v>67</v>
      </c>
      <c r="K463" s="123">
        <v>45962</v>
      </c>
    </row>
    <row r="464" spans="1:11" x14ac:dyDescent="0.25">
      <c r="A464">
        <v>463</v>
      </c>
      <c r="B464">
        <v>2025</v>
      </c>
      <c r="C464">
        <v>11</v>
      </c>
      <c r="D464">
        <v>46</v>
      </c>
      <c r="E464">
        <v>7</v>
      </c>
      <c r="F464" t="str">
        <v>110FY523</v>
      </c>
      <c r="G464">
        <v>28</v>
      </c>
      <c r="H464" t="str">
        <v>single</v>
      </c>
      <c r="J464">
        <v>1</v>
      </c>
      <c r="K464" s="123">
        <v>45962</v>
      </c>
    </row>
    <row r="465" spans="1:11" hidden="1" x14ac:dyDescent="0.25">
      <c r="A465">
        <v>464</v>
      </c>
      <c r="B465">
        <v>2025</v>
      </c>
      <c r="C465">
        <v>11</v>
      </c>
      <c r="D465">
        <v>46</v>
      </c>
      <c r="E465">
        <v>7</v>
      </c>
      <c r="F465" t="str">
        <v>10AD801</v>
      </c>
      <c r="G465">
        <v>19</v>
      </c>
      <c r="H465" t="str">
        <v>single</v>
      </c>
      <c r="J465">
        <v>4</v>
      </c>
      <c r="K465" s="123">
        <v>45962</v>
      </c>
    </row>
    <row r="466" spans="1:11" hidden="1" x14ac:dyDescent="0.25">
      <c r="A466">
        <v>465</v>
      </c>
      <c r="B466">
        <v>2025</v>
      </c>
      <c r="C466">
        <v>11</v>
      </c>
      <c r="D466">
        <v>50</v>
      </c>
      <c r="E466">
        <v>6</v>
      </c>
      <c r="F466" t="str">
        <v>61AB256</v>
      </c>
      <c r="G466">
        <v>28</v>
      </c>
      <c r="H466" t="str">
        <v>single</v>
      </c>
      <c r="J466">
        <v>1</v>
      </c>
      <c r="K466" s="123">
        <v>45962</v>
      </c>
    </row>
    <row r="467" spans="1:11" hidden="1" x14ac:dyDescent="0.25">
      <c r="A467">
        <v>466</v>
      </c>
      <c r="B467">
        <v>2025</v>
      </c>
      <c r="C467">
        <v>11</v>
      </c>
      <c r="D467">
        <v>51</v>
      </c>
      <c r="E467">
        <v>4</v>
      </c>
      <c r="F467" t="str">
        <v>10BA857</v>
      </c>
      <c r="G467">
        <v>29</v>
      </c>
      <c r="H467" t="str">
        <v>single</v>
      </c>
      <c r="J467">
        <v>3</v>
      </c>
      <c r="K467" s="123">
        <v>45962</v>
      </c>
    </row>
    <row r="468" spans="1:11" hidden="1" x14ac:dyDescent="0.25">
      <c r="A468">
        <v>467</v>
      </c>
      <c r="B468">
        <v>2025</v>
      </c>
      <c r="C468">
        <v>11</v>
      </c>
      <c r="D468">
        <v>65</v>
      </c>
      <c r="E468">
        <v>7</v>
      </c>
      <c r="F468" t="str">
        <v>01BA176</v>
      </c>
      <c r="G468">
        <v>27</v>
      </c>
      <c r="H468" t="str">
        <v>single</v>
      </c>
      <c r="J468">
        <v>1</v>
      </c>
      <c r="K468" s="123">
        <v>45962</v>
      </c>
    </row>
    <row r="469" spans="1:11" hidden="1" x14ac:dyDescent="0.25">
      <c r="A469">
        <v>468</v>
      </c>
      <c r="B469">
        <v>2025</v>
      </c>
      <c r="C469">
        <v>11</v>
      </c>
      <c r="D469">
        <v>65</v>
      </c>
      <c r="E469">
        <v>7</v>
      </c>
      <c r="F469" t="str">
        <v>10BD252</v>
      </c>
      <c r="G469">
        <v>28</v>
      </c>
      <c r="H469" t="str">
        <v>single</v>
      </c>
      <c r="J469">
        <v>2</v>
      </c>
      <c r="K469" s="123">
        <v>45962</v>
      </c>
    </row>
    <row r="470" spans="1:11" hidden="1" x14ac:dyDescent="0.25">
      <c r="A470">
        <v>469</v>
      </c>
      <c r="B470">
        <v>2025</v>
      </c>
      <c r="C470">
        <v>11</v>
      </c>
      <c r="D470">
        <v>85</v>
      </c>
      <c r="E470">
        <v>6</v>
      </c>
      <c r="F470" t="str">
        <v>77SN951</v>
      </c>
      <c r="G470">
        <v>29</v>
      </c>
      <c r="H470" t="str">
        <v>single</v>
      </c>
      <c r="J470">
        <v>1</v>
      </c>
      <c r="K470" s="123">
        <v>45962</v>
      </c>
    </row>
    <row r="471" spans="1:11" hidden="1" x14ac:dyDescent="0.25">
      <c r="A471">
        <v>470</v>
      </c>
      <c r="B471">
        <v>2025</v>
      </c>
      <c r="C471">
        <v>11</v>
      </c>
      <c r="D471">
        <v>98</v>
      </c>
      <c r="E471">
        <v>5</v>
      </c>
      <c r="F471" t="str">
        <v>50BD416</v>
      </c>
      <c r="G471">
        <v>27</v>
      </c>
      <c r="H471" t="str">
        <v>single</v>
      </c>
      <c r="J471">
        <v>1</v>
      </c>
      <c r="K471" s="123">
        <v>45962</v>
      </c>
    </row>
    <row r="472" spans="1:11" hidden="1" x14ac:dyDescent="0.25">
      <c r="A472">
        <v>471</v>
      </c>
      <c r="B472">
        <v>2025</v>
      </c>
      <c r="C472">
        <v>11</v>
      </c>
      <c r="D472">
        <v>100</v>
      </c>
      <c r="E472">
        <v>5</v>
      </c>
      <c r="F472" t="str">
        <v>22AB273</v>
      </c>
      <c r="G472">
        <v>28</v>
      </c>
      <c r="H472" t="str">
        <v>single</v>
      </c>
      <c r="J472">
        <v>1</v>
      </c>
      <c r="K472" s="123">
        <v>45962</v>
      </c>
    </row>
    <row r="473" spans="1:11" hidden="1" x14ac:dyDescent="0.25">
      <c r="A473">
        <v>472</v>
      </c>
      <c r="B473">
        <v>2025</v>
      </c>
      <c r="C473">
        <v>11</v>
      </c>
      <c r="D473">
        <v>102</v>
      </c>
      <c r="E473">
        <v>4</v>
      </c>
      <c r="F473" t="str">
        <v>99HQ687</v>
      </c>
      <c r="G473">
        <v>19</v>
      </c>
      <c r="H473" t="str">
        <v>single</v>
      </c>
      <c r="J473">
        <v>1</v>
      </c>
      <c r="K473" s="123">
        <v>45962</v>
      </c>
    </row>
    <row r="474" spans="1:11" hidden="1" x14ac:dyDescent="0.25">
      <c r="A474">
        <v>473</v>
      </c>
      <c r="B474">
        <v>2025</v>
      </c>
      <c r="C474">
        <v>11</v>
      </c>
      <c r="D474">
        <v>102</v>
      </c>
      <c r="E474">
        <v>4</v>
      </c>
      <c r="F474" t="str">
        <v>10MF640</v>
      </c>
      <c r="G474">
        <v>29</v>
      </c>
      <c r="H474" t="str">
        <v>single</v>
      </c>
      <c r="J474">
        <v>3</v>
      </c>
      <c r="K474" s="123">
        <v>45962</v>
      </c>
    </row>
    <row r="475" spans="1:11" hidden="1" x14ac:dyDescent="0.25">
      <c r="A475">
        <v>474</v>
      </c>
      <c r="B475">
        <v>2025</v>
      </c>
      <c r="C475">
        <v>11</v>
      </c>
      <c r="D475">
        <v>102</v>
      </c>
      <c r="E475">
        <v>4</v>
      </c>
      <c r="F475" t="str">
        <v>54BM823</v>
      </c>
      <c r="G475">
        <v>28</v>
      </c>
      <c r="H475" t="str">
        <v>single</v>
      </c>
      <c r="J475">
        <v>5</v>
      </c>
      <c r="K475" s="123">
        <v>45962</v>
      </c>
    </row>
    <row r="476" spans="1:11" hidden="1" x14ac:dyDescent="0.25">
      <c r="A476">
        <v>475</v>
      </c>
      <c r="B476">
        <v>2025</v>
      </c>
      <c r="C476">
        <v>11</v>
      </c>
      <c r="D476">
        <v>102</v>
      </c>
      <c r="E476">
        <v>4</v>
      </c>
      <c r="F476" t="str">
        <v>01BT754</v>
      </c>
      <c r="G476">
        <v>26</v>
      </c>
      <c r="H476" t="str">
        <v>single</v>
      </c>
      <c r="J476">
        <v>6</v>
      </c>
      <c r="K476" s="123">
        <v>45962</v>
      </c>
    </row>
    <row r="477" spans="1:11" hidden="1" x14ac:dyDescent="0.25">
      <c r="A477">
        <v>476</v>
      </c>
      <c r="B477">
        <v>2025</v>
      </c>
      <c r="C477">
        <v>11</v>
      </c>
      <c r="D477">
        <v>110</v>
      </c>
      <c r="E477">
        <v>4</v>
      </c>
      <c r="F477" t="str">
        <v>99XC106</v>
      </c>
      <c r="G477">
        <v>29</v>
      </c>
      <c r="H477" t="str">
        <v>single</v>
      </c>
      <c r="J477">
        <v>1</v>
      </c>
      <c r="K477" s="123">
        <v>45962</v>
      </c>
    </row>
    <row r="478" spans="1:11" hidden="1" x14ac:dyDescent="0.25">
      <c r="A478">
        <v>477</v>
      </c>
      <c r="B478">
        <v>2025</v>
      </c>
      <c r="C478">
        <v>11</v>
      </c>
      <c r="D478">
        <v>121</v>
      </c>
      <c r="E478">
        <v>2</v>
      </c>
      <c r="F478" t="str">
        <v>11BC843</v>
      </c>
      <c r="G478">
        <v>29</v>
      </c>
      <c r="H478" t="str">
        <v>single</v>
      </c>
      <c r="J478">
        <v>1</v>
      </c>
      <c r="K478" s="123">
        <v>45962</v>
      </c>
    </row>
    <row r="479" spans="1:11" hidden="1" x14ac:dyDescent="0.25">
      <c r="A479">
        <v>478</v>
      </c>
      <c r="B479">
        <v>2025</v>
      </c>
      <c r="C479">
        <v>11</v>
      </c>
      <c r="D479">
        <v>141</v>
      </c>
      <c r="E479">
        <v>1</v>
      </c>
      <c r="F479" t="str">
        <v>10V288</v>
      </c>
      <c r="G479">
        <v>24</v>
      </c>
      <c r="H479" t="str">
        <v>single</v>
      </c>
      <c r="J479">
        <v>1</v>
      </c>
      <c r="K479" s="123">
        <v>45962</v>
      </c>
    </row>
    <row r="480" spans="1:11" x14ac:dyDescent="0.25">
      <c r="A480">
        <v>479</v>
      </c>
      <c r="B480">
        <v>2025</v>
      </c>
      <c r="C480">
        <v>11</v>
      </c>
      <c r="D480">
        <v>31</v>
      </c>
      <c r="E480">
        <v>10</v>
      </c>
      <c r="F480" t="str">
        <v>77GR998</v>
      </c>
      <c r="G480">
        <v>30</v>
      </c>
      <c r="H480" t="str">
        <v>double</v>
      </c>
      <c r="J480">
        <v>63</v>
      </c>
      <c r="K480" s="123">
        <v>45962</v>
      </c>
    </row>
    <row r="481" spans="1:11" x14ac:dyDescent="0.25">
      <c r="A481">
        <v>480</v>
      </c>
      <c r="B481">
        <v>2025</v>
      </c>
      <c r="C481">
        <v>11</v>
      </c>
      <c r="D481">
        <v>31</v>
      </c>
      <c r="E481">
        <v>10</v>
      </c>
      <c r="F481" t="str">
        <v>99EM163</v>
      </c>
      <c r="G481">
        <v>26</v>
      </c>
      <c r="H481" t="str">
        <v>double</v>
      </c>
      <c r="J481">
        <v>98</v>
      </c>
      <c r="K481" s="123">
        <v>45962</v>
      </c>
    </row>
    <row r="482" spans="1:11" x14ac:dyDescent="0.25">
      <c r="A482">
        <v>481</v>
      </c>
      <c r="B482">
        <v>2025</v>
      </c>
      <c r="C482">
        <v>11</v>
      </c>
      <c r="D482">
        <v>31</v>
      </c>
      <c r="E482">
        <v>10</v>
      </c>
      <c r="F482" t="str">
        <v>10RN527</v>
      </c>
      <c r="G482">
        <v>84</v>
      </c>
      <c r="H482" t="str">
        <v>hour</v>
      </c>
      <c r="J482">
        <v>30</v>
      </c>
      <c r="K482" s="123">
        <v>45962</v>
      </c>
    </row>
    <row r="483" spans="1:11" x14ac:dyDescent="0.25">
      <c r="A483">
        <v>482</v>
      </c>
      <c r="B483">
        <v>2025</v>
      </c>
      <c r="C483">
        <v>11</v>
      </c>
      <c r="D483">
        <v>31</v>
      </c>
      <c r="E483">
        <v>10</v>
      </c>
      <c r="F483" t="str">
        <v>21BF442</v>
      </c>
      <c r="G483">
        <v>84</v>
      </c>
      <c r="H483" t="str">
        <v>hour</v>
      </c>
      <c r="J483">
        <v>38</v>
      </c>
      <c r="K483" s="123">
        <v>45962</v>
      </c>
    </row>
    <row r="484" spans="1:11" x14ac:dyDescent="0.25">
      <c r="A484">
        <v>483</v>
      </c>
      <c r="B484">
        <v>2025</v>
      </c>
      <c r="C484">
        <v>11</v>
      </c>
      <c r="D484">
        <v>31</v>
      </c>
      <c r="E484">
        <v>10</v>
      </c>
      <c r="F484" t="str">
        <v>50DK730</v>
      </c>
      <c r="G484">
        <v>87</v>
      </c>
      <c r="H484" t="str">
        <v>hour</v>
      </c>
      <c r="J484">
        <v>46</v>
      </c>
      <c r="K484" s="123">
        <v>45962</v>
      </c>
    </row>
    <row r="485" spans="1:11" x14ac:dyDescent="0.25">
      <c r="A485">
        <v>484</v>
      </c>
      <c r="B485">
        <v>2025</v>
      </c>
      <c r="C485">
        <v>11</v>
      </c>
      <c r="D485">
        <v>31</v>
      </c>
      <c r="E485">
        <v>10</v>
      </c>
      <c r="F485" t="str">
        <v>50EF902</v>
      </c>
      <c r="G485">
        <v>27.999999999999972</v>
      </c>
      <c r="H485" t="str">
        <v>hour</v>
      </c>
      <c r="J485">
        <v>48</v>
      </c>
      <c r="K485" s="123">
        <v>45962</v>
      </c>
    </row>
    <row r="486" spans="1:11" x14ac:dyDescent="0.25">
      <c r="A486">
        <v>485</v>
      </c>
      <c r="B486">
        <v>2025</v>
      </c>
      <c r="C486">
        <v>11</v>
      </c>
      <c r="D486">
        <v>31</v>
      </c>
      <c r="E486">
        <v>10</v>
      </c>
      <c r="F486" t="str">
        <v>55CB633</v>
      </c>
      <c r="G486">
        <v>60.999999999999986</v>
      </c>
      <c r="H486" t="str">
        <v>hour</v>
      </c>
      <c r="J486">
        <v>56</v>
      </c>
      <c r="K486" s="123">
        <v>45962</v>
      </c>
    </row>
    <row r="487" spans="1:11" x14ac:dyDescent="0.25">
      <c r="A487">
        <v>486</v>
      </c>
      <c r="B487">
        <v>2025</v>
      </c>
      <c r="C487">
        <v>11</v>
      </c>
      <c r="D487">
        <v>31</v>
      </c>
      <c r="E487">
        <v>10</v>
      </c>
      <c r="F487" t="str">
        <v>77SR538</v>
      </c>
      <c r="G487">
        <v>108</v>
      </c>
      <c r="H487" t="str">
        <v>hour</v>
      </c>
      <c r="J487">
        <v>72</v>
      </c>
      <c r="K487" s="123">
        <v>45962</v>
      </c>
    </row>
    <row r="488" spans="1:11" x14ac:dyDescent="0.25">
      <c r="A488">
        <v>487</v>
      </c>
      <c r="B488">
        <v>2025</v>
      </c>
      <c r="C488">
        <v>11</v>
      </c>
      <c r="D488">
        <v>31</v>
      </c>
      <c r="E488">
        <v>10</v>
      </c>
      <c r="F488" t="str">
        <v>90EC344</v>
      </c>
      <c r="G488">
        <v>39.999999999999972</v>
      </c>
      <c r="H488" t="str">
        <v>hour</v>
      </c>
      <c r="J488">
        <v>78</v>
      </c>
      <c r="K488" s="123">
        <v>45962</v>
      </c>
    </row>
    <row r="489" spans="1:11" x14ac:dyDescent="0.25">
      <c r="A489">
        <v>488</v>
      </c>
      <c r="B489">
        <v>2025</v>
      </c>
      <c r="C489">
        <v>11</v>
      </c>
      <c r="D489">
        <v>31</v>
      </c>
      <c r="E489">
        <v>10</v>
      </c>
      <c r="F489" t="str">
        <v>90LS143</v>
      </c>
      <c r="G489">
        <v>47</v>
      </c>
      <c r="H489" t="str">
        <v>hour</v>
      </c>
      <c r="J489">
        <v>80</v>
      </c>
      <c r="K489" s="123">
        <v>45962</v>
      </c>
    </row>
    <row r="490" spans="1:11" x14ac:dyDescent="0.25">
      <c r="A490">
        <v>489</v>
      </c>
      <c r="B490">
        <v>2025</v>
      </c>
      <c r="C490">
        <v>11</v>
      </c>
      <c r="D490">
        <v>31</v>
      </c>
      <c r="E490">
        <v>10</v>
      </c>
      <c r="F490" t="str">
        <v>90OE402</v>
      </c>
      <c r="G490">
        <v>59.999999999999943</v>
      </c>
      <c r="H490" t="str">
        <v>hour</v>
      </c>
      <c r="J490">
        <v>82</v>
      </c>
      <c r="K490" s="123">
        <v>45962</v>
      </c>
    </row>
    <row r="491" spans="1:11" x14ac:dyDescent="0.25">
      <c r="A491">
        <v>490</v>
      </c>
      <c r="B491">
        <v>2025</v>
      </c>
      <c r="C491">
        <v>11</v>
      </c>
      <c r="D491">
        <v>31</v>
      </c>
      <c r="E491">
        <v>10</v>
      </c>
      <c r="F491" t="str">
        <v>90VS316</v>
      </c>
      <c r="G491">
        <v>20.999999999999993</v>
      </c>
      <c r="H491" t="str">
        <v>hour</v>
      </c>
      <c r="J491">
        <v>86</v>
      </c>
      <c r="K491" s="123">
        <v>45962</v>
      </c>
    </row>
    <row r="492" spans="1:11" x14ac:dyDescent="0.25">
      <c r="A492">
        <v>491</v>
      </c>
      <c r="B492">
        <v>2025</v>
      </c>
      <c r="C492">
        <v>11</v>
      </c>
      <c r="D492">
        <v>31</v>
      </c>
      <c r="E492">
        <v>10</v>
      </c>
      <c r="F492" t="str">
        <v>99BT339</v>
      </c>
      <c r="G492">
        <v>46</v>
      </c>
      <c r="H492" t="str">
        <v>hour</v>
      </c>
      <c r="J492">
        <v>92</v>
      </c>
      <c r="K492" s="123">
        <v>45962</v>
      </c>
    </row>
    <row r="493" spans="1:11" x14ac:dyDescent="0.25">
      <c r="A493">
        <v>492</v>
      </c>
      <c r="B493">
        <v>2025</v>
      </c>
      <c r="C493">
        <v>11</v>
      </c>
      <c r="D493">
        <v>31</v>
      </c>
      <c r="E493">
        <v>10</v>
      </c>
      <c r="F493" t="str">
        <v>99CN447</v>
      </c>
      <c r="G493">
        <v>30</v>
      </c>
      <c r="H493" t="str">
        <v>hour</v>
      </c>
      <c r="J493">
        <v>95</v>
      </c>
      <c r="K493" s="123">
        <v>45962</v>
      </c>
    </row>
    <row r="494" spans="1:11" x14ac:dyDescent="0.25">
      <c r="A494">
        <v>493</v>
      </c>
      <c r="B494">
        <v>2025</v>
      </c>
      <c r="C494">
        <v>11</v>
      </c>
      <c r="D494">
        <v>31</v>
      </c>
      <c r="E494">
        <v>10</v>
      </c>
      <c r="F494" t="str">
        <v>99FO779</v>
      </c>
      <c r="G494">
        <v>65</v>
      </c>
      <c r="H494" t="str">
        <v>hour</v>
      </c>
      <c r="J494">
        <v>102</v>
      </c>
      <c r="K494" s="123">
        <v>45962</v>
      </c>
    </row>
    <row r="495" spans="1:11" x14ac:dyDescent="0.25">
      <c r="A495">
        <v>494</v>
      </c>
      <c r="B495">
        <v>2025</v>
      </c>
      <c r="C495">
        <v>11</v>
      </c>
      <c r="D495">
        <v>31</v>
      </c>
      <c r="E495">
        <v>10</v>
      </c>
      <c r="F495" t="str">
        <v>99KL663</v>
      </c>
      <c r="G495">
        <v>70.999999999999986</v>
      </c>
      <c r="H495" t="str">
        <v>hour</v>
      </c>
      <c r="J495">
        <v>105</v>
      </c>
      <c r="K495" s="123">
        <v>45962</v>
      </c>
    </row>
    <row r="496" spans="1:11" x14ac:dyDescent="0.25">
      <c r="A496">
        <v>495</v>
      </c>
      <c r="B496">
        <v>2025</v>
      </c>
      <c r="C496">
        <v>11</v>
      </c>
      <c r="D496">
        <v>31</v>
      </c>
      <c r="E496">
        <v>10</v>
      </c>
      <c r="F496" t="str">
        <v>99LM412</v>
      </c>
      <c r="G496">
        <v>59.999999999999943</v>
      </c>
      <c r="H496" t="str">
        <v>hour</v>
      </c>
      <c r="J496">
        <v>115</v>
      </c>
      <c r="K496" s="123">
        <v>45962</v>
      </c>
    </row>
    <row r="497" spans="1:11" x14ac:dyDescent="0.25">
      <c r="A497">
        <v>496</v>
      </c>
      <c r="B497">
        <v>2025</v>
      </c>
      <c r="C497">
        <v>11</v>
      </c>
      <c r="D497">
        <v>31</v>
      </c>
      <c r="E497">
        <v>10</v>
      </c>
      <c r="F497" t="str">
        <v>99MN472</v>
      </c>
      <c r="G497">
        <v>86.999999999999986</v>
      </c>
      <c r="H497" t="str">
        <v>hour</v>
      </c>
      <c r="J497">
        <v>107</v>
      </c>
      <c r="K497" s="123">
        <v>45962</v>
      </c>
    </row>
    <row r="498" spans="1:11" x14ac:dyDescent="0.25">
      <c r="A498">
        <v>497</v>
      </c>
      <c r="B498">
        <v>2025</v>
      </c>
      <c r="C498">
        <v>11</v>
      </c>
      <c r="D498">
        <v>31</v>
      </c>
      <c r="E498">
        <v>10</v>
      </c>
      <c r="F498" t="str">
        <v>99OR961</v>
      </c>
      <c r="G498">
        <v>36.999999999999993</v>
      </c>
      <c r="H498" t="str">
        <v>hour</v>
      </c>
      <c r="J498">
        <v>110</v>
      </c>
      <c r="K498" s="123">
        <v>45962</v>
      </c>
    </row>
    <row r="499" spans="1:11" x14ac:dyDescent="0.25">
      <c r="A499">
        <v>498</v>
      </c>
      <c r="B499">
        <v>2025</v>
      </c>
      <c r="C499">
        <v>11</v>
      </c>
      <c r="D499">
        <v>31</v>
      </c>
      <c r="E499">
        <v>10</v>
      </c>
      <c r="F499" t="str">
        <v>99UK314</v>
      </c>
      <c r="G499">
        <v>98</v>
      </c>
      <c r="H499" t="str">
        <v>hour</v>
      </c>
      <c r="J499">
        <v>113</v>
      </c>
      <c r="K499" s="123">
        <v>45962</v>
      </c>
    </row>
    <row r="500" spans="1:11" x14ac:dyDescent="0.25">
      <c r="A500">
        <v>499</v>
      </c>
      <c r="B500">
        <v>2025</v>
      </c>
      <c r="C500">
        <v>11</v>
      </c>
      <c r="D500">
        <v>31</v>
      </c>
      <c r="E500">
        <v>10</v>
      </c>
      <c r="F500" t="str">
        <v>10NS184</v>
      </c>
      <c r="G500">
        <v>3</v>
      </c>
      <c r="H500" t="str">
        <v>hour</v>
      </c>
      <c r="J500">
        <v>27</v>
      </c>
      <c r="K500" s="123">
        <v>45962</v>
      </c>
    </row>
    <row r="501" spans="1:11" x14ac:dyDescent="0.25">
      <c r="A501">
        <v>500</v>
      </c>
      <c r="B501">
        <v>2025</v>
      </c>
      <c r="C501">
        <v>11</v>
      </c>
      <c r="D501">
        <v>31</v>
      </c>
      <c r="E501">
        <v>10</v>
      </c>
      <c r="F501" t="str">
        <v>50FB264</v>
      </c>
      <c r="G501">
        <v>79.999999999999986</v>
      </c>
      <c r="H501" t="str">
        <v>hour</v>
      </c>
      <c r="J501">
        <v>24</v>
      </c>
      <c r="K501" s="123">
        <v>45962</v>
      </c>
    </row>
    <row r="502" spans="1:11" x14ac:dyDescent="0.25">
      <c r="A502">
        <v>501</v>
      </c>
      <c r="B502">
        <v>2025</v>
      </c>
      <c r="C502">
        <v>11</v>
      </c>
      <c r="D502">
        <v>31</v>
      </c>
      <c r="E502">
        <v>10</v>
      </c>
      <c r="F502" t="str">
        <v>57BV285</v>
      </c>
      <c r="G502">
        <v>22.999999999999993</v>
      </c>
      <c r="H502" t="str">
        <v>hour</v>
      </c>
      <c r="J502">
        <v>120</v>
      </c>
      <c r="K502" s="123">
        <v>45962</v>
      </c>
    </row>
    <row r="503" spans="1:11" x14ac:dyDescent="0.25">
      <c r="A503">
        <v>502</v>
      </c>
      <c r="B503">
        <v>2025</v>
      </c>
      <c r="C503">
        <v>11</v>
      </c>
      <c r="D503">
        <v>31</v>
      </c>
      <c r="E503">
        <v>10</v>
      </c>
      <c r="F503" t="str">
        <v>77DK884</v>
      </c>
      <c r="G503">
        <v>94.999999999999986</v>
      </c>
      <c r="H503" t="str">
        <v>hour</v>
      </c>
      <c r="J503">
        <v>22</v>
      </c>
      <c r="K503" s="123">
        <v>45962</v>
      </c>
    </row>
    <row r="504" spans="1:11" x14ac:dyDescent="0.25">
      <c r="A504">
        <v>503</v>
      </c>
      <c r="B504">
        <v>2025</v>
      </c>
      <c r="C504">
        <v>11</v>
      </c>
      <c r="D504">
        <v>31</v>
      </c>
      <c r="E504">
        <v>10</v>
      </c>
      <c r="F504" t="str">
        <v>90UX686</v>
      </c>
      <c r="G504">
        <v>21.999999999999986</v>
      </c>
      <c r="H504" t="str">
        <v>hour</v>
      </c>
      <c r="J504">
        <v>122</v>
      </c>
      <c r="K504" s="123">
        <v>45962</v>
      </c>
    </row>
    <row r="505" spans="1:11" x14ac:dyDescent="0.25">
      <c r="A505">
        <v>504</v>
      </c>
      <c r="B505">
        <v>2025</v>
      </c>
      <c r="C505">
        <v>11</v>
      </c>
      <c r="D505">
        <v>31</v>
      </c>
      <c r="E505">
        <v>10</v>
      </c>
      <c r="F505" t="str">
        <v>99DT131</v>
      </c>
      <c r="G505">
        <v>7.9999999999999982</v>
      </c>
      <c r="H505" t="str">
        <v>hour</v>
      </c>
      <c r="J505">
        <v>124</v>
      </c>
      <c r="K505" s="123">
        <v>45962</v>
      </c>
    </row>
    <row r="506" spans="1:11" x14ac:dyDescent="0.25">
      <c r="A506">
        <v>505</v>
      </c>
      <c r="B506">
        <v>2025</v>
      </c>
      <c r="C506">
        <v>11</v>
      </c>
      <c r="D506">
        <v>31</v>
      </c>
      <c r="E506">
        <v>10</v>
      </c>
      <c r="F506" t="str">
        <v>99HZ395</v>
      </c>
      <c r="G506">
        <v>84</v>
      </c>
      <c r="H506" t="str">
        <v>hour</v>
      </c>
      <c r="J506">
        <v>4</v>
      </c>
      <c r="K506" s="123">
        <v>45962</v>
      </c>
    </row>
    <row r="507" spans="1:11" x14ac:dyDescent="0.25">
      <c r="A507">
        <v>506</v>
      </c>
      <c r="B507">
        <v>2025</v>
      </c>
      <c r="C507">
        <v>11</v>
      </c>
      <c r="D507">
        <v>31</v>
      </c>
      <c r="E507">
        <v>10</v>
      </c>
      <c r="F507" t="str">
        <v>53BD338</v>
      </c>
      <c r="G507">
        <v>37.999999999999979</v>
      </c>
      <c r="H507" t="str">
        <v>hour</v>
      </c>
      <c r="J507">
        <v>54</v>
      </c>
      <c r="K507" s="123">
        <v>45962</v>
      </c>
    </row>
    <row r="508" spans="1:11" x14ac:dyDescent="0.25">
      <c r="A508">
        <v>507</v>
      </c>
      <c r="B508">
        <v>2025</v>
      </c>
      <c r="C508">
        <v>11</v>
      </c>
      <c r="D508">
        <v>31</v>
      </c>
      <c r="E508">
        <v>10</v>
      </c>
      <c r="F508" t="str">
        <v>99GZ612</v>
      </c>
      <c r="G508">
        <v>20</v>
      </c>
      <c r="H508" t="str">
        <v>hour</v>
      </c>
      <c r="J508">
        <v>103</v>
      </c>
      <c r="K508" s="123">
        <v>45962</v>
      </c>
    </row>
    <row r="509" spans="1:11" hidden="1" x14ac:dyDescent="0.25">
      <c r="A509">
        <v>508</v>
      </c>
      <c r="B509">
        <v>2025</v>
      </c>
      <c r="C509">
        <v>11</v>
      </c>
      <c r="D509">
        <v>51</v>
      </c>
      <c r="E509">
        <v>4</v>
      </c>
      <c r="F509" t="str">
        <v>10BA857</v>
      </c>
      <c r="G509">
        <v>46.999999999999972</v>
      </c>
      <c r="H509" t="str">
        <v>hour</v>
      </c>
      <c r="J509">
        <v>4</v>
      </c>
      <c r="K509" s="123">
        <v>45962</v>
      </c>
    </row>
    <row r="510" spans="1:11" hidden="1" x14ac:dyDescent="0.25">
      <c r="A510">
        <v>509</v>
      </c>
      <c r="B510">
        <v>2025</v>
      </c>
      <c r="C510">
        <v>11</v>
      </c>
      <c r="D510">
        <v>85</v>
      </c>
      <c r="E510">
        <v>6</v>
      </c>
      <c r="F510" t="str">
        <v>77SN951</v>
      </c>
      <c r="G510">
        <v>51.999999999999972</v>
      </c>
      <c r="H510" t="str">
        <v>hour</v>
      </c>
      <c r="J510">
        <v>2</v>
      </c>
      <c r="K510" s="123">
        <v>45962</v>
      </c>
    </row>
    <row r="511" spans="1:11" hidden="1" x14ac:dyDescent="0.25">
      <c r="A511">
        <v>510</v>
      </c>
      <c r="B511">
        <v>2025</v>
      </c>
      <c r="C511">
        <v>11</v>
      </c>
      <c r="D511">
        <v>98</v>
      </c>
      <c r="E511">
        <v>5</v>
      </c>
      <c r="F511" t="str">
        <v>50BD416</v>
      </c>
      <c r="G511">
        <v>7.9999999999999911</v>
      </c>
      <c r="H511" t="str">
        <v>hour</v>
      </c>
      <c r="J511">
        <v>2</v>
      </c>
      <c r="K511" s="123">
        <v>45962</v>
      </c>
    </row>
    <row r="512" spans="1:11" hidden="1" x14ac:dyDescent="0.25">
      <c r="A512">
        <v>511</v>
      </c>
      <c r="B512">
        <v>2025</v>
      </c>
      <c r="C512">
        <v>11</v>
      </c>
      <c r="D512">
        <v>102</v>
      </c>
      <c r="E512">
        <v>4</v>
      </c>
      <c r="F512" t="str">
        <v>10MF640</v>
      </c>
      <c r="G512">
        <v>28</v>
      </c>
      <c r="H512" t="str">
        <v>hour</v>
      </c>
      <c r="J512">
        <v>4</v>
      </c>
      <c r="K512" s="123">
        <v>45962</v>
      </c>
    </row>
    <row r="513" spans="1:11" hidden="1" x14ac:dyDescent="0.25">
      <c r="A513">
        <v>512</v>
      </c>
      <c r="B513">
        <v>2025</v>
      </c>
      <c r="C513">
        <v>11</v>
      </c>
      <c r="D513">
        <v>121</v>
      </c>
      <c r="E513">
        <v>2</v>
      </c>
      <c r="F513" t="str">
        <v>11BC843</v>
      </c>
      <c r="G513">
        <v>8</v>
      </c>
      <c r="H513" t="str">
        <v>hour</v>
      </c>
      <c r="J513">
        <v>2</v>
      </c>
      <c r="K513" s="123">
        <v>45962</v>
      </c>
    </row>
    <row r="514" spans="1:11" hidden="1" x14ac:dyDescent="0.25">
      <c r="A514">
        <v>513</v>
      </c>
      <c r="B514">
        <v>2025</v>
      </c>
      <c r="C514">
        <v>11</v>
      </c>
      <c r="D514">
        <v>141</v>
      </c>
      <c r="E514">
        <v>1</v>
      </c>
      <c r="F514" t="str">
        <v>10V288</v>
      </c>
      <c r="G514">
        <v>24</v>
      </c>
      <c r="H514" t="str">
        <v>hour</v>
      </c>
      <c r="J514">
        <v>2</v>
      </c>
      <c r="K514" s="123">
        <v>45962</v>
      </c>
    </row>
    <row r="515" spans="1:11" hidden="1" x14ac:dyDescent="0.25">
      <c r="A515">
        <v>514</v>
      </c>
      <c r="B515">
        <v>2025</v>
      </c>
      <c r="C515">
        <v>12</v>
      </c>
      <c r="D515">
        <v>98</v>
      </c>
      <c r="E515">
        <v>6</v>
      </c>
      <c r="F515" t="str">
        <v>50BD416</v>
      </c>
      <c r="G515">
        <v>27</v>
      </c>
      <c r="H515" t="str">
        <v>single</v>
      </c>
      <c r="J515">
        <v>1</v>
      </c>
      <c r="K515" s="123">
        <v>45992</v>
      </c>
    </row>
    <row r="516" spans="1:11" hidden="1" x14ac:dyDescent="0.25">
      <c r="A516">
        <v>515</v>
      </c>
      <c r="B516">
        <v>2025</v>
      </c>
      <c r="C516">
        <v>12</v>
      </c>
      <c r="D516">
        <v>110</v>
      </c>
      <c r="E516">
        <v>5</v>
      </c>
      <c r="F516" t="str">
        <v>99XC106</v>
      </c>
      <c r="G516">
        <v>25</v>
      </c>
      <c r="H516" t="str">
        <v>single</v>
      </c>
      <c r="J516">
        <v>1</v>
      </c>
      <c r="K516" s="123">
        <v>45992</v>
      </c>
    </row>
    <row r="517" spans="1:11" hidden="1" x14ac:dyDescent="0.25">
      <c r="A517">
        <v>516</v>
      </c>
      <c r="B517">
        <v>2025</v>
      </c>
      <c r="C517">
        <v>12</v>
      </c>
      <c r="D517">
        <v>121</v>
      </c>
      <c r="E517">
        <v>3</v>
      </c>
      <c r="F517" t="str">
        <v>11BC843</v>
      </c>
      <c r="G517">
        <v>28</v>
      </c>
      <c r="H517" t="str">
        <v>single</v>
      </c>
      <c r="J517">
        <v>1</v>
      </c>
      <c r="K517" s="123">
        <v>45992</v>
      </c>
    </row>
    <row r="518" spans="1:11" hidden="1" x14ac:dyDescent="0.25">
      <c r="A518">
        <v>517</v>
      </c>
      <c r="B518">
        <v>2025</v>
      </c>
      <c r="C518">
        <v>12</v>
      </c>
      <c r="D518">
        <v>141</v>
      </c>
      <c r="E518">
        <v>2</v>
      </c>
      <c r="F518" t="str">
        <v>10V288</v>
      </c>
      <c r="G518">
        <v>28</v>
      </c>
      <c r="H518" t="str">
        <v>single</v>
      </c>
      <c r="J518">
        <v>1</v>
      </c>
      <c r="K518" s="123">
        <v>45992</v>
      </c>
    </row>
    <row r="519" spans="1:11" hidden="1" x14ac:dyDescent="0.25">
      <c r="A519">
        <v>518</v>
      </c>
      <c r="B519">
        <v>2025</v>
      </c>
      <c r="C519">
        <v>12</v>
      </c>
      <c r="D519">
        <v>65</v>
      </c>
      <c r="E519">
        <v>8</v>
      </c>
      <c r="F519" t="str">
        <v>01BA176</v>
      </c>
      <c r="G519">
        <v>28</v>
      </c>
      <c r="H519" t="str">
        <v>single</v>
      </c>
      <c r="J519">
        <v>1</v>
      </c>
      <c r="K519" s="123">
        <v>45992</v>
      </c>
    </row>
    <row r="520" spans="1:11" hidden="1" x14ac:dyDescent="0.25">
      <c r="A520">
        <v>519</v>
      </c>
      <c r="B520">
        <v>2025</v>
      </c>
      <c r="C520">
        <v>12</v>
      </c>
      <c r="D520">
        <v>46</v>
      </c>
      <c r="E520">
        <v>8</v>
      </c>
      <c r="F520" t="str">
        <v>110FY523</v>
      </c>
      <c r="G520">
        <v>9</v>
      </c>
      <c r="H520" t="str">
        <v>single</v>
      </c>
      <c r="J520">
        <v>1</v>
      </c>
      <c r="K520" s="123">
        <v>45992</v>
      </c>
    </row>
    <row r="521" spans="1:11" hidden="1" x14ac:dyDescent="0.25">
      <c r="A521">
        <v>520</v>
      </c>
      <c r="B521">
        <v>2025</v>
      </c>
      <c r="C521">
        <v>12</v>
      </c>
      <c r="D521">
        <v>50</v>
      </c>
      <c r="E521">
        <v>7</v>
      </c>
      <c r="F521" t="str">
        <v>61AB256</v>
      </c>
      <c r="G521">
        <v>28</v>
      </c>
      <c r="H521" t="str">
        <v>single</v>
      </c>
      <c r="J521">
        <v>1</v>
      </c>
      <c r="K521" s="123">
        <v>45992</v>
      </c>
    </row>
    <row r="522" spans="1:11" x14ac:dyDescent="0.25">
      <c r="A522">
        <v>521</v>
      </c>
      <c r="B522">
        <v>2025</v>
      </c>
      <c r="C522">
        <v>12</v>
      </c>
      <c r="D522">
        <v>141</v>
      </c>
      <c r="E522">
        <v>2</v>
      </c>
      <c r="F522" t="str">
        <v>10V288</v>
      </c>
      <c r="G522">
        <v>10</v>
      </c>
      <c r="H522" t="str">
        <v>hour</v>
      </c>
      <c r="J522">
        <v>2</v>
      </c>
      <c r="K522" s="123">
        <v>45992</v>
      </c>
    </row>
  </sheetData>
  <autoFilter ref="A1:K521" xr:uid="{D2E62AAB-7FDA-4332-B2B3-45345956D28A}">
    <filterColumn colId="3">
      <filters>
        <filter val="31"/>
      </filters>
    </filterColumn>
    <filterColumn colId="4">
      <filters>
        <filter val="10"/>
      </filters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A1315-BAD3-4C60-86F8-9D1802B865A3}">
  <sheetPr codeName="Sheet11">
    <pageSetUpPr fitToPage="1"/>
  </sheetPr>
  <dimension ref="B1:N37"/>
  <sheetViews>
    <sheetView view="pageBreakPreview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48" t="s">
        <v>74</v>
      </c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50"/>
    </row>
    <row r="3" spans="2:14" ht="39.75" customHeight="1" x14ac:dyDescent="0.25">
      <c r="B3" s="351" t="s">
        <v>75</v>
      </c>
      <c r="C3" s="352"/>
      <c r="D3" s="353" t="str">
        <f>view__cover!$C$4</f>
        <v>Construction of the facilities and buildings, storages, and other structures, including roads and all industrial utilities for establishment of “Sitalchay 2” Production Plant</v>
      </c>
      <c r="E3" s="354"/>
      <c r="F3" s="354"/>
      <c r="G3" s="354"/>
      <c r="H3" s="354"/>
      <c r="I3" s="354"/>
      <c r="J3" s="354"/>
      <c r="K3" s="355"/>
      <c r="L3" s="73" t="s">
        <v>16</v>
      </c>
      <c r="M3" s="74">
        <f>view__cover!$K$2</f>
        <v>5</v>
      </c>
    </row>
    <row r="4" spans="2:14" x14ac:dyDescent="0.25">
      <c r="B4" s="356" t="s">
        <v>76</v>
      </c>
      <c r="C4" s="357"/>
      <c r="D4" s="360" t="str">
        <f>view__cover!$C$8</f>
        <v>Rental Vehicle
Kiralıq Vasitə</v>
      </c>
      <c r="E4" s="361"/>
      <c r="F4" s="361"/>
      <c r="G4" s="361"/>
      <c r="H4" s="361"/>
      <c r="I4" s="361"/>
      <c r="J4" s="361"/>
      <c r="K4" s="362"/>
      <c r="L4" s="75" t="s">
        <v>77</v>
      </c>
      <c r="M4" s="74">
        <f>N4</f>
        <v>1</v>
      </c>
      <c r="N4" s="16">
        <v>1</v>
      </c>
    </row>
    <row r="5" spans="2:14" x14ac:dyDescent="0.25">
      <c r="B5" s="358"/>
      <c r="C5" s="359"/>
      <c r="D5" s="363"/>
      <c r="E5" s="364"/>
      <c r="F5" s="364"/>
      <c r="G5" s="364"/>
      <c r="H5" s="364"/>
      <c r="I5" s="364"/>
      <c r="J5" s="364"/>
      <c r="K5" s="365"/>
      <c r="L5" s="76" t="s">
        <v>78</v>
      </c>
      <c r="M5" s="77" t="str">
        <f>N5</f>
        <v>m²</v>
      </c>
      <c r="N5" s="16" t="s">
        <v>80</v>
      </c>
    </row>
    <row r="6" spans="2:14" x14ac:dyDescent="0.25">
      <c r="B6" s="346" t="s">
        <v>76</v>
      </c>
      <c r="C6" s="340"/>
      <c r="D6" s="340"/>
      <c r="E6" s="340"/>
      <c r="F6" s="340"/>
      <c r="G6" s="340"/>
      <c r="H6" s="340"/>
      <c r="I6" s="340"/>
      <c r="J6" s="340"/>
      <c r="K6" s="340"/>
      <c r="L6" s="340" t="s">
        <v>79</v>
      </c>
      <c r="M6" s="341"/>
    </row>
    <row r="7" spans="2:14" x14ac:dyDescent="0.25">
      <c r="B7" s="347"/>
      <c r="C7" s="340"/>
      <c r="D7" s="340"/>
      <c r="E7" s="340"/>
      <c r="F7" s="78"/>
      <c r="G7" s="78" t="s">
        <v>71</v>
      </c>
      <c r="H7" s="78" t="s">
        <v>71</v>
      </c>
      <c r="I7" s="78" t="s">
        <v>71</v>
      </c>
      <c r="J7" s="78" t="s">
        <v>80</v>
      </c>
      <c r="K7" s="78"/>
      <c r="L7" s="79" t="s">
        <v>81</v>
      </c>
      <c r="M7" s="77" t="s">
        <v>82</v>
      </c>
    </row>
    <row r="8" spans="2:14" ht="60" customHeight="1" x14ac:dyDescent="0.25">
      <c r="B8" s="342" t="e">
        <f>VLOOKUP($M$4,#REF!, 2,FALSE)</f>
        <v>#REF!</v>
      </c>
      <c r="C8" s="343"/>
      <c r="D8" s="343"/>
      <c r="E8" s="119" t="s">
        <v>83</v>
      </c>
      <c r="F8" s="80" t="s">
        <v>84</v>
      </c>
      <c r="G8" s="81" t="s">
        <v>85</v>
      </c>
      <c r="H8" s="82" t="s">
        <v>86</v>
      </c>
      <c r="I8" s="82" t="s">
        <v>87</v>
      </c>
      <c r="J8" s="82" t="s">
        <v>88</v>
      </c>
      <c r="K8" s="82" t="s">
        <v>89</v>
      </c>
      <c r="L8" s="83"/>
      <c r="M8" s="84"/>
    </row>
    <row r="9" spans="2:14" x14ac:dyDescent="0.25">
      <c r="B9" s="344"/>
      <c r="C9" s="345"/>
      <c r="D9" s="345"/>
      <c r="E9" s="116"/>
      <c r="F9" s="85"/>
      <c r="G9" s="86"/>
      <c r="H9" s="87"/>
      <c r="I9" s="88"/>
      <c r="J9" s="88"/>
      <c r="K9" s="89"/>
      <c r="L9" s="90"/>
      <c r="M9" s="91"/>
    </row>
    <row r="10" spans="2:14" x14ac:dyDescent="0.25">
      <c r="B10" s="337"/>
      <c r="C10" s="338"/>
      <c r="D10" s="339"/>
      <c r="E10" s="118">
        <v>1</v>
      </c>
      <c r="F10" s="100">
        <v>1</v>
      </c>
      <c r="G10" s="93">
        <v>700</v>
      </c>
      <c r="H10" s="92"/>
      <c r="I10" s="92"/>
      <c r="J10" s="92"/>
      <c r="K10" s="94"/>
      <c r="L10" s="95"/>
      <c r="M10" s="96">
        <f>PRODUCT(F10:K10)</f>
        <v>700</v>
      </c>
    </row>
    <row r="11" spans="2:14" x14ac:dyDescent="0.25">
      <c r="B11" s="337"/>
      <c r="C11" s="338"/>
      <c r="D11" s="339"/>
      <c r="E11" s="118"/>
      <c r="F11" s="100"/>
      <c r="G11" s="93"/>
      <c r="H11" s="92"/>
      <c r="I11" s="92"/>
      <c r="J11" s="92"/>
      <c r="K11" s="94"/>
      <c r="L11" s="95"/>
      <c r="M11" s="96">
        <f>PRODUCT(F11:K11)</f>
        <v>0</v>
      </c>
    </row>
    <row r="12" spans="2:14" x14ac:dyDescent="0.25">
      <c r="B12" s="337"/>
      <c r="C12" s="338"/>
      <c r="D12" s="339"/>
      <c r="E12" s="118"/>
      <c r="F12" s="100"/>
      <c r="G12" s="93"/>
      <c r="H12" s="92"/>
      <c r="I12" s="92"/>
      <c r="J12" s="92"/>
      <c r="K12" s="94"/>
      <c r="L12" s="95"/>
      <c r="M12" s="96">
        <f>PRODUCT(F12:K12)</f>
        <v>0</v>
      </c>
    </row>
    <row r="13" spans="2:14" x14ac:dyDescent="0.25">
      <c r="B13" s="337"/>
      <c r="C13" s="338"/>
      <c r="D13" s="339"/>
      <c r="E13" s="118"/>
      <c r="F13" s="100"/>
      <c r="G13" s="93"/>
      <c r="H13" s="92"/>
      <c r="I13" s="92"/>
      <c r="J13" s="92"/>
      <c r="K13" s="94"/>
      <c r="L13" s="95"/>
      <c r="M13" s="96">
        <f t="shared" ref="M13:M33" si="0">PRODUCT(F13:K13)</f>
        <v>0</v>
      </c>
    </row>
    <row r="14" spans="2:14" x14ac:dyDescent="0.25">
      <c r="B14" s="337"/>
      <c r="C14" s="338"/>
      <c r="D14" s="339"/>
      <c r="E14" s="118"/>
      <c r="F14" s="100"/>
      <c r="G14" s="93"/>
      <c r="H14" s="92"/>
      <c r="I14" s="92"/>
      <c r="J14" s="92"/>
      <c r="K14" s="94"/>
      <c r="L14" s="95"/>
      <c r="M14" s="96">
        <f t="shared" si="0"/>
        <v>0</v>
      </c>
    </row>
    <row r="15" spans="2:14" x14ac:dyDescent="0.25">
      <c r="B15" s="337"/>
      <c r="C15" s="338"/>
      <c r="D15" s="339"/>
      <c r="E15" s="118"/>
      <c r="F15" s="100"/>
      <c r="G15" s="93"/>
      <c r="H15" s="92"/>
      <c r="I15" s="92"/>
      <c r="J15" s="92"/>
      <c r="K15" s="94"/>
      <c r="L15" s="95"/>
      <c r="M15" s="96">
        <f t="shared" si="0"/>
        <v>0</v>
      </c>
    </row>
    <row r="16" spans="2:14" x14ac:dyDescent="0.25">
      <c r="B16" s="337"/>
      <c r="C16" s="338"/>
      <c r="D16" s="339"/>
      <c r="E16" s="118"/>
      <c r="F16" s="100"/>
      <c r="G16" s="93"/>
      <c r="H16" s="92"/>
      <c r="I16" s="92"/>
      <c r="J16" s="92"/>
      <c r="K16" s="94"/>
      <c r="L16" s="95"/>
      <c r="M16" s="96">
        <f t="shared" si="0"/>
        <v>0</v>
      </c>
    </row>
    <row r="17" spans="2:13" x14ac:dyDescent="0.25">
      <c r="B17" s="337"/>
      <c r="C17" s="338"/>
      <c r="D17" s="339"/>
      <c r="E17" s="118"/>
      <c r="F17" s="100"/>
      <c r="G17" s="93"/>
      <c r="H17" s="92"/>
      <c r="I17" s="92"/>
      <c r="J17" s="92"/>
      <c r="K17" s="94"/>
      <c r="L17" s="95"/>
      <c r="M17" s="96">
        <f t="shared" si="0"/>
        <v>0</v>
      </c>
    </row>
    <row r="18" spans="2:13" x14ac:dyDescent="0.25">
      <c r="B18" s="337"/>
      <c r="C18" s="338"/>
      <c r="D18" s="339"/>
      <c r="E18" s="118"/>
      <c r="F18" s="100"/>
      <c r="G18" s="93"/>
      <c r="H18" s="92"/>
      <c r="I18" s="92"/>
      <c r="J18" s="92"/>
      <c r="K18" s="94"/>
      <c r="L18" s="95"/>
      <c r="M18" s="96">
        <f t="shared" si="0"/>
        <v>0</v>
      </c>
    </row>
    <row r="19" spans="2:13" x14ac:dyDescent="0.25">
      <c r="B19" s="337"/>
      <c r="C19" s="338"/>
      <c r="D19" s="339"/>
      <c r="E19" s="118"/>
      <c r="F19" s="100"/>
      <c r="G19" s="93"/>
      <c r="H19" s="92"/>
      <c r="I19" s="92"/>
      <c r="J19" s="92"/>
      <c r="K19" s="94"/>
      <c r="L19" s="95"/>
      <c r="M19" s="96">
        <f t="shared" si="0"/>
        <v>0</v>
      </c>
    </row>
    <row r="20" spans="2:13" x14ac:dyDescent="0.25">
      <c r="B20" s="337"/>
      <c r="C20" s="338"/>
      <c r="D20" s="339"/>
      <c r="E20" s="118"/>
      <c r="F20" s="100"/>
      <c r="G20" s="93"/>
      <c r="H20" s="92"/>
      <c r="I20" s="92"/>
      <c r="J20" s="92"/>
      <c r="K20" s="94"/>
      <c r="L20" s="95"/>
      <c r="M20" s="96">
        <f t="shared" si="0"/>
        <v>0</v>
      </c>
    </row>
    <row r="21" spans="2:13" x14ac:dyDescent="0.25">
      <c r="B21" s="337"/>
      <c r="C21" s="338"/>
      <c r="D21" s="339"/>
      <c r="E21" s="118"/>
      <c r="F21" s="100"/>
      <c r="G21" s="93"/>
      <c r="H21" s="92"/>
      <c r="I21" s="92"/>
      <c r="J21" s="92"/>
      <c r="K21" s="94"/>
      <c r="L21" s="95"/>
      <c r="M21" s="96">
        <f t="shared" si="0"/>
        <v>0</v>
      </c>
    </row>
    <row r="22" spans="2:13" x14ac:dyDescent="0.25">
      <c r="B22" s="337"/>
      <c r="C22" s="338"/>
      <c r="D22" s="339"/>
      <c r="E22" s="118"/>
      <c r="F22" s="100"/>
      <c r="G22" s="93"/>
      <c r="H22" s="92"/>
      <c r="I22" s="92"/>
      <c r="J22" s="92"/>
      <c r="K22" s="94"/>
      <c r="L22" s="95"/>
      <c r="M22" s="96">
        <f t="shared" si="0"/>
        <v>0</v>
      </c>
    </row>
    <row r="23" spans="2:13" x14ac:dyDescent="0.25">
      <c r="B23" s="337"/>
      <c r="C23" s="338"/>
      <c r="D23" s="339"/>
      <c r="E23" s="118"/>
      <c r="F23" s="100"/>
      <c r="G23" s="93"/>
      <c r="H23" s="92"/>
      <c r="I23" s="92"/>
      <c r="J23" s="92"/>
      <c r="K23" s="94"/>
      <c r="L23" s="95"/>
      <c r="M23" s="96">
        <f t="shared" si="0"/>
        <v>0</v>
      </c>
    </row>
    <row r="24" spans="2:13" x14ac:dyDescent="0.25">
      <c r="B24" s="337"/>
      <c r="C24" s="338"/>
      <c r="D24" s="339"/>
      <c r="E24" s="118"/>
      <c r="F24" s="100"/>
      <c r="G24" s="93"/>
      <c r="H24" s="92"/>
      <c r="I24" s="92"/>
      <c r="J24" s="92"/>
      <c r="K24" s="94"/>
      <c r="L24" s="95"/>
      <c r="M24" s="96">
        <f t="shared" si="0"/>
        <v>0</v>
      </c>
    </row>
    <row r="25" spans="2:13" x14ac:dyDescent="0.25">
      <c r="B25" s="337"/>
      <c r="C25" s="338"/>
      <c r="D25" s="339"/>
      <c r="E25" s="118"/>
      <c r="F25" s="100"/>
      <c r="G25" s="93"/>
      <c r="H25" s="92"/>
      <c r="I25" s="92"/>
      <c r="J25" s="92"/>
      <c r="K25" s="94"/>
      <c r="L25" s="95"/>
      <c r="M25" s="96">
        <f t="shared" si="0"/>
        <v>0</v>
      </c>
    </row>
    <row r="26" spans="2:13" x14ac:dyDescent="0.25">
      <c r="B26" s="337"/>
      <c r="C26" s="338"/>
      <c r="D26" s="339"/>
      <c r="E26" s="118"/>
      <c r="F26" s="100"/>
      <c r="G26" s="93"/>
      <c r="H26" s="92"/>
      <c r="I26" s="92"/>
      <c r="J26" s="92"/>
      <c r="K26" s="94"/>
      <c r="L26" s="95"/>
      <c r="M26" s="96">
        <f t="shared" si="0"/>
        <v>0</v>
      </c>
    </row>
    <row r="27" spans="2:13" x14ac:dyDescent="0.25">
      <c r="B27" s="337"/>
      <c r="C27" s="338"/>
      <c r="D27" s="339"/>
      <c r="E27" s="118"/>
      <c r="F27" s="100"/>
      <c r="G27" s="93"/>
      <c r="H27" s="92"/>
      <c r="I27" s="92"/>
      <c r="J27" s="92"/>
      <c r="K27" s="94"/>
      <c r="L27" s="95"/>
      <c r="M27" s="96">
        <f t="shared" si="0"/>
        <v>0</v>
      </c>
    </row>
    <row r="28" spans="2:13" x14ac:dyDescent="0.25">
      <c r="B28" s="337"/>
      <c r="C28" s="338"/>
      <c r="D28" s="339"/>
      <c r="E28" s="118"/>
      <c r="F28" s="100"/>
      <c r="G28" s="93"/>
      <c r="H28" s="92"/>
      <c r="I28" s="92"/>
      <c r="J28" s="92"/>
      <c r="K28" s="94"/>
      <c r="L28" s="95"/>
      <c r="M28" s="96">
        <f t="shared" si="0"/>
        <v>0</v>
      </c>
    </row>
    <row r="29" spans="2:13" x14ac:dyDescent="0.25">
      <c r="B29" s="337"/>
      <c r="C29" s="338"/>
      <c r="D29" s="339"/>
      <c r="E29" s="118"/>
      <c r="F29" s="100"/>
      <c r="G29" s="93"/>
      <c r="H29" s="92"/>
      <c r="I29" s="92"/>
      <c r="J29" s="92"/>
      <c r="K29" s="94"/>
      <c r="L29" s="95"/>
      <c r="M29" s="96">
        <f t="shared" si="0"/>
        <v>0</v>
      </c>
    </row>
    <row r="30" spans="2:13" x14ac:dyDescent="0.25">
      <c r="B30" s="337"/>
      <c r="C30" s="338"/>
      <c r="D30" s="339"/>
      <c r="E30" s="118"/>
      <c r="F30" s="100"/>
      <c r="G30" s="93"/>
      <c r="H30" s="92"/>
      <c r="I30" s="92"/>
      <c r="J30" s="92"/>
      <c r="K30" s="94"/>
      <c r="L30" s="95"/>
      <c r="M30" s="96">
        <f t="shared" si="0"/>
        <v>0</v>
      </c>
    </row>
    <row r="31" spans="2:13" x14ac:dyDescent="0.25">
      <c r="B31" s="337"/>
      <c r="C31" s="338"/>
      <c r="D31" s="339"/>
      <c r="E31" s="118"/>
      <c r="F31" s="100"/>
      <c r="G31" s="93"/>
      <c r="H31" s="92"/>
      <c r="I31" s="92"/>
      <c r="J31" s="92"/>
      <c r="K31" s="94"/>
      <c r="L31" s="95"/>
      <c r="M31" s="96">
        <f t="shared" si="0"/>
        <v>0</v>
      </c>
    </row>
    <row r="32" spans="2:13" x14ac:dyDescent="0.25">
      <c r="B32" s="337"/>
      <c r="C32" s="338"/>
      <c r="D32" s="339"/>
      <c r="E32" s="118"/>
      <c r="F32" s="100"/>
      <c r="G32" s="93"/>
      <c r="H32" s="92"/>
      <c r="I32" s="92"/>
      <c r="J32" s="92"/>
      <c r="K32" s="94"/>
      <c r="L32" s="95"/>
      <c r="M32" s="96">
        <f t="shared" si="0"/>
        <v>0</v>
      </c>
    </row>
    <row r="33" spans="2:13" x14ac:dyDescent="0.25">
      <c r="B33" s="337"/>
      <c r="C33" s="338"/>
      <c r="D33" s="339"/>
      <c r="E33" s="118"/>
      <c r="F33" s="100"/>
      <c r="G33" s="93"/>
      <c r="H33" s="92"/>
      <c r="I33" s="92"/>
      <c r="J33" s="92"/>
      <c r="K33" s="94"/>
      <c r="L33" s="95"/>
      <c r="M33" s="96">
        <f t="shared" si="0"/>
        <v>0</v>
      </c>
    </row>
    <row r="34" spans="2:13" x14ac:dyDescent="0.25">
      <c r="B34" s="370" t="s">
        <v>79</v>
      </c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>
        <f>ROUND(SUM(M9:M33),2)</f>
        <v>700</v>
      </c>
    </row>
    <row r="35" spans="2:13" ht="45" customHeight="1" x14ac:dyDescent="0.25">
      <c r="B35" s="375"/>
      <c r="C35" s="376"/>
      <c r="D35" s="376"/>
      <c r="E35" s="376"/>
      <c r="F35" s="376"/>
      <c r="G35" s="376"/>
      <c r="H35" s="376"/>
      <c r="I35" s="376"/>
      <c r="J35" s="377"/>
      <c r="K35" s="377"/>
      <c r="L35" s="377"/>
      <c r="M35" s="378"/>
    </row>
    <row r="36" spans="2:13" x14ac:dyDescent="0.25">
      <c r="B36" s="381" t="str">
        <f>view__cover!$A$29</f>
        <v>INTERMAK GROUP MMC</v>
      </c>
      <c r="C36" s="382"/>
      <c r="D36" s="382"/>
      <c r="E36" s="382"/>
      <c r="F36" s="373"/>
      <c r="G36" s="373"/>
      <c r="H36" s="373"/>
      <c r="I36" s="373"/>
      <c r="J36" s="368" t="str">
        <f>view__cover!D29</f>
        <v xml:space="preserve">ERDİNÇ DELİBAŞI
</v>
      </c>
      <c r="K36" s="368"/>
      <c r="L36" s="368"/>
      <c r="M36" s="369"/>
    </row>
    <row r="37" spans="2:13" ht="29.25" customHeight="1" thickBot="1" x14ac:dyDescent="0.3">
      <c r="B37" s="379" t="s">
        <v>24</v>
      </c>
      <c r="C37" s="380"/>
      <c r="D37" s="380"/>
      <c r="E37" s="380"/>
      <c r="F37" s="374"/>
      <c r="G37" s="374"/>
      <c r="H37" s="374"/>
      <c r="I37" s="374"/>
      <c r="J37" s="366" t="str">
        <f>view__cover!D24</f>
        <v>Technical Office Manager 
Texniki Şöbə Rəhbəri</v>
      </c>
      <c r="K37" s="366"/>
      <c r="L37" s="366"/>
      <c r="M37" s="367"/>
    </row>
  </sheetData>
  <mergeCells count="44">
    <mergeCell ref="B27:D27"/>
    <mergeCell ref="J37:M37"/>
    <mergeCell ref="J36:M36"/>
    <mergeCell ref="B30:D30"/>
    <mergeCell ref="B33:D33"/>
    <mergeCell ref="B34:L34"/>
    <mergeCell ref="F36:I36"/>
    <mergeCell ref="F37:I37"/>
    <mergeCell ref="B31:D31"/>
    <mergeCell ref="B35:E35"/>
    <mergeCell ref="J35:M35"/>
    <mergeCell ref="F35:I35"/>
    <mergeCell ref="B37:E37"/>
    <mergeCell ref="B36:E36"/>
    <mergeCell ref="B32:D32"/>
    <mergeCell ref="B2:M2"/>
    <mergeCell ref="B3:C3"/>
    <mergeCell ref="D3:K3"/>
    <mergeCell ref="B4:C5"/>
    <mergeCell ref="D4:K5"/>
    <mergeCell ref="B25:D25"/>
    <mergeCell ref="B15:D15"/>
    <mergeCell ref="B29:D29"/>
    <mergeCell ref="B22:D22"/>
    <mergeCell ref="B6:E7"/>
    <mergeCell ref="B28:D28"/>
    <mergeCell ref="B10:D10"/>
    <mergeCell ref="B11:D11"/>
    <mergeCell ref="B14:D14"/>
    <mergeCell ref="B16:D16"/>
    <mergeCell ref="B19:D19"/>
    <mergeCell ref="B17:D17"/>
    <mergeCell ref="B20:D20"/>
    <mergeCell ref="B23:D23"/>
    <mergeCell ref="B26:D26"/>
    <mergeCell ref="B18:D18"/>
    <mergeCell ref="B21:D21"/>
    <mergeCell ref="B24:D24"/>
    <mergeCell ref="F6:K6"/>
    <mergeCell ref="L6:M6"/>
    <mergeCell ref="B8:D8"/>
    <mergeCell ref="B9:D9"/>
    <mergeCell ref="B13:D13"/>
    <mergeCell ref="B12:D12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26BF-1BEA-4802-821F-A9FEBD62CC47}">
  <sheetPr codeName="Sheet12">
    <pageSetUpPr fitToPage="1"/>
  </sheetPr>
  <dimension ref="B1:P33"/>
  <sheetViews>
    <sheetView view="pageBreakPreview" topLeftCell="A2" zoomScaleNormal="100" zoomScaleSheetLayoutView="100" workbookViewId="0">
      <selection activeCell="K16" sqref="K16:M23"/>
    </sheetView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6" ht="15.75" thickBot="1" x14ac:dyDescent="0.3"/>
    <row r="2" spans="2:16" ht="19.5" thickTop="1" x14ac:dyDescent="0.25">
      <c r="B2" s="348" t="s">
        <v>74</v>
      </c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50"/>
    </row>
    <row r="3" spans="2:16" ht="39.75" customHeight="1" x14ac:dyDescent="0.25">
      <c r="B3" s="351" t="s">
        <v>75</v>
      </c>
      <c r="C3" s="352"/>
      <c r="D3" s="353" t="str">
        <f>view__cover!$C$4</f>
        <v>Construction of the facilities and buildings, storages, and other structures, including roads and all industrial utilities for establishment of “Sitalchay 2” Production Plant</v>
      </c>
      <c r="E3" s="354"/>
      <c r="F3" s="354"/>
      <c r="G3" s="354"/>
      <c r="H3" s="354"/>
      <c r="I3" s="354"/>
      <c r="J3" s="354"/>
      <c r="K3" s="355"/>
      <c r="L3" s="73" t="s">
        <v>16</v>
      </c>
      <c r="M3" s="74">
        <f>view__cover!$K$2</f>
        <v>5</v>
      </c>
    </row>
    <row r="4" spans="2:16" x14ac:dyDescent="0.25">
      <c r="B4" s="356" t="s">
        <v>76</v>
      </c>
      <c r="C4" s="357"/>
      <c r="D4" s="360" t="str">
        <f>view__cover!$C$8</f>
        <v>Rental Vehicle
Kiralıq Vasitə</v>
      </c>
      <c r="E4" s="361"/>
      <c r="F4" s="361"/>
      <c r="G4" s="361"/>
      <c r="H4" s="361"/>
      <c r="I4" s="361"/>
      <c r="J4" s="361"/>
      <c r="K4" s="362"/>
      <c r="L4" s="75" t="s">
        <v>77</v>
      </c>
      <c r="M4" s="74">
        <f>N4</f>
        <v>2</v>
      </c>
      <c r="N4" s="16">
        <v>2</v>
      </c>
    </row>
    <row r="5" spans="2:16" x14ac:dyDescent="0.25">
      <c r="B5" s="358"/>
      <c r="C5" s="359"/>
      <c r="D5" s="363"/>
      <c r="E5" s="364"/>
      <c r="F5" s="364"/>
      <c r="G5" s="364"/>
      <c r="H5" s="364"/>
      <c r="I5" s="364"/>
      <c r="J5" s="364"/>
      <c r="K5" s="365"/>
      <c r="L5" s="76" t="s">
        <v>78</v>
      </c>
      <c r="M5" s="77" t="str">
        <f>N5</f>
        <v>m²</v>
      </c>
      <c r="N5" s="16" t="s">
        <v>80</v>
      </c>
    </row>
    <row r="6" spans="2:16" x14ac:dyDescent="0.25">
      <c r="B6" s="346" t="s">
        <v>76</v>
      </c>
      <c r="C6" s="340"/>
      <c r="D6" s="340"/>
      <c r="E6" s="340"/>
      <c r="F6" s="340"/>
      <c r="G6" s="340"/>
      <c r="H6" s="340"/>
      <c r="I6" s="340"/>
      <c r="J6" s="340"/>
      <c r="K6" s="340"/>
      <c r="L6" s="340" t="s">
        <v>79</v>
      </c>
      <c r="M6" s="341"/>
    </row>
    <row r="7" spans="2:16" x14ac:dyDescent="0.25">
      <c r="B7" s="347"/>
      <c r="C7" s="340"/>
      <c r="D7" s="340"/>
      <c r="E7" s="340"/>
      <c r="F7" s="78"/>
      <c r="G7" s="78" t="s">
        <v>71</v>
      </c>
      <c r="H7" s="78" t="s">
        <v>71</v>
      </c>
      <c r="I7" s="78" t="s">
        <v>71</v>
      </c>
      <c r="J7" s="78" t="s">
        <v>80</v>
      </c>
      <c r="K7" s="78"/>
      <c r="L7" s="79" t="s">
        <v>81</v>
      </c>
      <c r="M7" s="77" t="s">
        <v>82</v>
      </c>
    </row>
    <row r="8" spans="2:16" ht="44.25" customHeight="1" x14ac:dyDescent="0.25">
      <c r="B8" s="342" t="e">
        <f>VLOOKUP($M$4,#REF!, 2,FALSE)</f>
        <v>#REF!</v>
      </c>
      <c r="C8" s="343"/>
      <c r="D8" s="343"/>
      <c r="E8" s="119" t="s">
        <v>83</v>
      </c>
      <c r="F8" s="80" t="s">
        <v>84</v>
      </c>
      <c r="G8" s="81" t="s">
        <v>85</v>
      </c>
      <c r="H8" s="82" t="s">
        <v>86</v>
      </c>
      <c r="I8" s="82" t="s">
        <v>87</v>
      </c>
      <c r="J8" s="82" t="s">
        <v>88</v>
      </c>
      <c r="K8" s="82" t="s">
        <v>89</v>
      </c>
      <c r="L8" s="83"/>
      <c r="M8" s="84"/>
    </row>
    <row r="9" spans="2:16" x14ac:dyDescent="0.25">
      <c r="B9" s="344"/>
      <c r="C9" s="345"/>
      <c r="D9" s="345"/>
      <c r="E9" s="116"/>
      <c r="F9" s="85"/>
      <c r="G9" s="86"/>
      <c r="H9" s="87"/>
      <c r="I9" s="88"/>
      <c r="J9" s="88"/>
      <c r="K9" s="89"/>
      <c r="L9" s="90"/>
      <c r="M9" s="91"/>
    </row>
    <row r="10" spans="2:16" x14ac:dyDescent="0.25">
      <c r="B10" s="337"/>
      <c r="C10" s="338"/>
      <c r="D10" s="339"/>
      <c r="E10" s="118">
        <v>1</v>
      </c>
      <c r="F10" s="100">
        <v>1</v>
      </c>
      <c r="G10" s="93">
        <v>500</v>
      </c>
      <c r="H10" s="92"/>
      <c r="I10" s="92"/>
      <c r="J10" s="92"/>
      <c r="K10" s="94"/>
      <c r="L10" s="95"/>
      <c r="M10" s="96">
        <f t="shared" ref="M10:M29" si="0">PRODUCT(F10:K10)</f>
        <v>500</v>
      </c>
    </row>
    <row r="11" spans="2:16" x14ac:dyDescent="0.25">
      <c r="B11" s="337"/>
      <c r="C11" s="338"/>
      <c r="D11" s="339"/>
      <c r="E11" s="118"/>
      <c r="F11" s="100"/>
      <c r="G11" s="93"/>
      <c r="H11" s="92"/>
      <c r="I11" s="92"/>
      <c r="J11" s="92"/>
      <c r="K11" s="94"/>
      <c r="L11" s="95"/>
      <c r="M11" s="96">
        <f t="shared" si="0"/>
        <v>0</v>
      </c>
    </row>
    <row r="12" spans="2:16" x14ac:dyDescent="0.25">
      <c r="B12" s="337"/>
      <c r="C12" s="338"/>
      <c r="D12" s="339"/>
      <c r="E12" s="118"/>
      <c r="F12" s="100"/>
      <c r="G12" s="93"/>
      <c r="H12" s="92"/>
      <c r="I12" s="92"/>
      <c r="J12" s="92"/>
      <c r="K12" s="94"/>
      <c r="L12" s="95"/>
      <c r="M12" s="96">
        <f t="shared" si="0"/>
        <v>0</v>
      </c>
    </row>
    <row r="13" spans="2:16" x14ac:dyDescent="0.25">
      <c r="B13" s="337"/>
      <c r="C13" s="338"/>
      <c r="D13" s="339"/>
      <c r="E13" s="118"/>
      <c r="F13" s="100"/>
      <c r="G13" s="93"/>
      <c r="H13" s="92"/>
      <c r="I13" s="92"/>
      <c r="J13" s="92"/>
      <c r="K13" s="94"/>
      <c r="L13" s="95"/>
      <c r="M13" s="96">
        <f t="shared" si="0"/>
        <v>0</v>
      </c>
    </row>
    <row r="14" spans="2:16" x14ac:dyDescent="0.25">
      <c r="B14" s="337"/>
      <c r="C14" s="338"/>
      <c r="D14" s="339"/>
      <c r="E14" s="118"/>
      <c r="F14" s="100"/>
      <c r="G14" s="93"/>
      <c r="H14" s="92"/>
      <c r="I14" s="92"/>
      <c r="J14" s="92"/>
      <c r="K14" s="94"/>
      <c r="L14" s="95"/>
      <c r="M14" s="96">
        <f t="shared" si="0"/>
        <v>0</v>
      </c>
      <c r="P14">
        <f>+M10*30</f>
        <v>15000</v>
      </c>
    </row>
    <row r="15" spans="2:16" x14ac:dyDescent="0.25">
      <c r="B15" s="337"/>
      <c r="C15" s="338"/>
      <c r="D15" s="339"/>
      <c r="E15" s="118"/>
      <c r="F15" s="100"/>
      <c r="G15" s="93"/>
      <c r="H15" s="92"/>
      <c r="I15" s="92"/>
      <c r="J15" s="92"/>
      <c r="K15" s="94"/>
      <c r="L15" s="95"/>
      <c r="M15" s="96">
        <f t="shared" si="0"/>
        <v>0</v>
      </c>
    </row>
    <row r="16" spans="2:16" x14ac:dyDescent="0.25">
      <c r="B16" s="337"/>
      <c r="C16" s="338"/>
      <c r="D16" s="339"/>
      <c r="E16" s="118"/>
      <c r="F16" s="100"/>
      <c r="G16" s="93"/>
      <c r="H16" s="92"/>
      <c r="I16" s="92"/>
      <c r="J16" s="92"/>
      <c r="K16" s="94"/>
      <c r="L16" s="95"/>
      <c r="M16" s="96">
        <f t="shared" si="0"/>
        <v>0</v>
      </c>
    </row>
    <row r="17" spans="2:13" x14ac:dyDescent="0.25">
      <c r="B17" s="337"/>
      <c r="C17" s="338"/>
      <c r="D17" s="339"/>
      <c r="E17" s="118"/>
      <c r="F17" s="100"/>
      <c r="G17" s="93"/>
      <c r="H17" s="92"/>
      <c r="I17" s="92"/>
      <c r="J17" s="92"/>
      <c r="K17" s="94"/>
      <c r="L17" s="95"/>
      <c r="M17" s="96">
        <f t="shared" si="0"/>
        <v>0</v>
      </c>
    </row>
    <row r="18" spans="2:13" x14ac:dyDescent="0.25">
      <c r="B18" s="337"/>
      <c r="C18" s="338"/>
      <c r="D18" s="339"/>
      <c r="E18" s="118"/>
      <c r="F18" s="100"/>
      <c r="G18" s="93"/>
      <c r="H18" s="92"/>
      <c r="I18" s="92"/>
      <c r="J18" s="92"/>
      <c r="K18" s="94"/>
      <c r="L18" s="95"/>
      <c r="M18" s="96">
        <f t="shared" si="0"/>
        <v>0</v>
      </c>
    </row>
    <row r="19" spans="2:13" x14ac:dyDescent="0.25">
      <c r="B19" s="337"/>
      <c r="C19" s="338"/>
      <c r="D19" s="339"/>
      <c r="E19" s="118"/>
      <c r="F19" s="100"/>
      <c r="G19" s="93"/>
      <c r="H19" s="92"/>
      <c r="I19" s="92"/>
      <c r="J19" s="92"/>
      <c r="K19" s="94"/>
      <c r="L19" s="95"/>
      <c r="M19" s="96">
        <f t="shared" si="0"/>
        <v>0</v>
      </c>
    </row>
    <row r="20" spans="2:13" x14ac:dyDescent="0.25">
      <c r="B20" s="337"/>
      <c r="C20" s="338"/>
      <c r="D20" s="339"/>
      <c r="E20" s="118"/>
      <c r="F20" s="100"/>
      <c r="G20" s="93"/>
      <c r="H20" s="92"/>
      <c r="I20" s="92"/>
      <c r="J20" s="92"/>
      <c r="K20" s="94"/>
      <c r="L20" s="95"/>
      <c r="M20" s="96">
        <f t="shared" si="0"/>
        <v>0</v>
      </c>
    </row>
    <row r="21" spans="2:13" x14ac:dyDescent="0.25">
      <c r="B21" s="337"/>
      <c r="C21" s="338"/>
      <c r="D21" s="339"/>
      <c r="E21" s="118"/>
      <c r="F21" s="100"/>
      <c r="G21" s="93"/>
      <c r="H21" s="92"/>
      <c r="I21" s="92"/>
      <c r="J21" s="92"/>
      <c r="K21" s="94"/>
      <c r="L21" s="95"/>
      <c r="M21" s="96">
        <f t="shared" si="0"/>
        <v>0</v>
      </c>
    </row>
    <row r="22" spans="2:13" x14ac:dyDescent="0.25">
      <c r="B22" s="337"/>
      <c r="C22" s="338"/>
      <c r="D22" s="339"/>
      <c r="E22" s="118"/>
      <c r="F22" s="100"/>
      <c r="G22" s="93"/>
      <c r="H22" s="92"/>
      <c r="I22" s="92"/>
      <c r="J22" s="92"/>
      <c r="K22" s="94"/>
      <c r="L22" s="95"/>
      <c r="M22" s="96">
        <f t="shared" si="0"/>
        <v>0</v>
      </c>
    </row>
    <row r="23" spans="2:13" x14ac:dyDescent="0.25">
      <c r="B23" s="337"/>
      <c r="C23" s="338"/>
      <c r="D23" s="339"/>
      <c r="E23" s="118"/>
      <c r="F23" s="100"/>
      <c r="G23" s="93"/>
      <c r="H23" s="92"/>
      <c r="I23" s="92"/>
      <c r="J23" s="92"/>
      <c r="K23" s="94"/>
      <c r="L23" s="95"/>
      <c r="M23" s="96">
        <f t="shared" si="0"/>
        <v>0</v>
      </c>
    </row>
    <row r="24" spans="2:13" x14ac:dyDescent="0.25">
      <c r="B24" s="337"/>
      <c r="C24" s="338"/>
      <c r="D24" s="339"/>
      <c r="E24" s="118"/>
      <c r="F24" s="100"/>
      <c r="G24" s="93"/>
      <c r="H24" s="92"/>
      <c r="I24" s="92"/>
      <c r="J24" s="92"/>
      <c r="K24" s="94"/>
      <c r="L24" s="95"/>
      <c r="M24" s="96">
        <f t="shared" si="0"/>
        <v>0</v>
      </c>
    </row>
    <row r="25" spans="2:13" x14ac:dyDescent="0.25">
      <c r="B25" s="337"/>
      <c r="C25" s="338"/>
      <c r="D25" s="339"/>
      <c r="E25" s="118"/>
      <c r="F25" s="100"/>
      <c r="G25" s="93"/>
      <c r="H25" s="92"/>
      <c r="I25" s="92"/>
      <c r="J25" s="92"/>
      <c r="K25" s="94"/>
      <c r="L25" s="95"/>
      <c r="M25" s="96">
        <f t="shared" si="0"/>
        <v>0</v>
      </c>
    </row>
    <row r="26" spans="2:13" x14ac:dyDescent="0.25">
      <c r="B26" s="337"/>
      <c r="C26" s="338"/>
      <c r="D26" s="339"/>
      <c r="E26" s="118"/>
      <c r="F26" s="100"/>
      <c r="G26" s="93"/>
      <c r="H26" s="92"/>
      <c r="I26" s="92"/>
      <c r="J26" s="92"/>
      <c r="K26" s="94"/>
      <c r="L26" s="95"/>
      <c r="M26" s="96">
        <f t="shared" si="0"/>
        <v>0</v>
      </c>
    </row>
    <row r="27" spans="2:13" x14ac:dyDescent="0.25">
      <c r="B27" s="337"/>
      <c r="C27" s="338"/>
      <c r="D27" s="339"/>
      <c r="E27" s="118"/>
      <c r="F27" s="100"/>
      <c r="G27" s="93"/>
      <c r="H27" s="92"/>
      <c r="I27" s="92"/>
      <c r="J27" s="92"/>
      <c r="K27" s="94"/>
      <c r="L27" s="95"/>
      <c r="M27" s="96">
        <f t="shared" si="0"/>
        <v>0</v>
      </c>
    </row>
    <row r="28" spans="2:13" x14ac:dyDescent="0.25">
      <c r="B28" s="337"/>
      <c r="C28" s="338"/>
      <c r="D28" s="339"/>
      <c r="E28" s="118"/>
      <c r="F28" s="100"/>
      <c r="G28" s="93"/>
      <c r="H28" s="92"/>
      <c r="I28" s="92"/>
      <c r="J28" s="92"/>
      <c r="K28" s="94"/>
      <c r="L28" s="95"/>
      <c r="M28" s="96">
        <f t="shared" si="0"/>
        <v>0</v>
      </c>
    </row>
    <row r="29" spans="2:13" x14ac:dyDescent="0.25">
      <c r="B29" s="337"/>
      <c r="C29" s="338"/>
      <c r="D29" s="339"/>
      <c r="E29" s="118"/>
      <c r="F29" s="100"/>
      <c r="G29" s="93"/>
      <c r="H29" s="92"/>
      <c r="I29" s="92"/>
      <c r="J29" s="92"/>
      <c r="K29" s="94"/>
      <c r="L29" s="95"/>
      <c r="M29" s="96">
        <f t="shared" si="0"/>
        <v>0</v>
      </c>
    </row>
    <row r="30" spans="2:13" x14ac:dyDescent="0.25">
      <c r="B30" s="370" t="s">
        <v>79</v>
      </c>
      <c r="C30" s="371"/>
      <c r="D30" s="371"/>
      <c r="E30" s="371"/>
      <c r="F30" s="371"/>
      <c r="G30" s="371"/>
      <c r="H30" s="371"/>
      <c r="I30" s="371"/>
      <c r="J30" s="371"/>
      <c r="K30" s="371"/>
      <c r="L30" s="372"/>
      <c r="M30" s="99">
        <f>ROUND(SUM(M10:M29),2)</f>
        <v>500</v>
      </c>
    </row>
    <row r="31" spans="2:13" ht="45" customHeight="1" x14ac:dyDescent="0.25">
      <c r="B31" s="375"/>
      <c r="C31" s="376"/>
      <c r="D31" s="376"/>
      <c r="E31" s="376"/>
      <c r="F31" s="376"/>
      <c r="G31" s="376"/>
      <c r="H31" s="376"/>
      <c r="I31" s="376"/>
      <c r="J31" s="377"/>
      <c r="K31" s="377"/>
      <c r="L31" s="377"/>
      <c r="M31" s="378"/>
    </row>
    <row r="32" spans="2:13" x14ac:dyDescent="0.25">
      <c r="B32" s="381" t="str">
        <f>view__cover!$A$29</f>
        <v>INTERMAK GROUP MMC</v>
      </c>
      <c r="C32" s="382"/>
      <c r="D32" s="382"/>
      <c r="E32" s="382"/>
      <c r="F32" s="373"/>
      <c r="G32" s="373"/>
      <c r="H32" s="373"/>
      <c r="I32" s="373"/>
      <c r="J32" s="368" t="str">
        <f>view__cover!D29</f>
        <v xml:space="preserve">ERDİNÇ DELİBAŞI
</v>
      </c>
      <c r="K32" s="368"/>
      <c r="L32" s="368"/>
      <c r="M32" s="369"/>
    </row>
    <row r="33" spans="2:13" ht="29.25" customHeight="1" thickBot="1" x14ac:dyDescent="0.3">
      <c r="B33" s="379" t="s">
        <v>24</v>
      </c>
      <c r="C33" s="380"/>
      <c r="D33" s="380"/>
      <c r="E33" s="380"/>
      <c r="F33" s="374"/>
      <c r="G33" s="374"/>
      <c r="H33" s="374"/>
      <c r="I33" s="374"/>
      <c r="J33" s="366" t="str">
        <f>view__cover!D24</f>
        <v>Technical Office Manager 
Texniki Şöbə Rəhbəri</v>
      </c>
      <c r="K33" s="366"/>
      <c r="L33" s="366"/>
      <c r="M33" s="367"/>
    </row>
  </sheetData>
  <mergeCells count="40">
    <mergeCell ref="B28:D28"/>
    <mergeCell ref="B24:D24"/>
    <mergeCell ref="B26:D26"/>
    <mergeCell ref="B33:E33"/>
    <mergeCell ref="F33:I33"/>
    <mergeCell ref="B25:D25"/>
    <mergeCell ref="B27:D27"/>
    <mergeCell ref="B29:D29"/>
    <mergeCell ref="J33:M33"/>
    <mergeCell ref="B11:D11"/>
    <mergeCell ref="B12:D12"/>
    <mergeCell ref="B13:D13"/>
    <mergeCell ref="B20:D20"/>
    <mergeCell ref="B30:L30"/>
    <mergeCell ref="B31:E31"/>
    <mergeCell ref="F31:I31"/>
    <mergeCell ref="J31:M31"/>
    <mergeCell ref="B32:E32"/>
    <mergeCell ref="F32:I32"/>
    <mergeCell ref="J32:M32"/>
    <mergeCell ref="B18:D18"/>
    <mergeCell ref="B16:D16"/>
    <mergeCell ref="B22:D22"/>
    <mergeCell ref="B14:D14"/>
    <mergeCell ref="B2:M2"/>
    <mergeCell ref="B3:C3"/>
    <mergeCell ref="D3:K3"/>
    <mergeCell ref="B4:C5"/>
    <mergeCell ref="D4:K5"/>
    <mergeCell ref="B6:E7"/>
    <mergeCell ref="F6:K6"/>
    <mergeCell ref="L6:M6"/>
    <mergeCell ref="B21:D21"/>
    <mergeCell ref="B23:D23"/>
    <mergeCell ref="B15:D15"/>
    <mergeCell ref="B19:D19"/>
    <mergeCell ref="B8:D8"/>
    <mergeCell ref="B9:D9"/>
    <mergeCell ref="B10:D10"/>
    <mergeCell ref="B17:D17"/>
  </mergeCells>
  <pageMargins left="0.39370078740157483" right="0.39370078740157483" top="0.39370078740157483" bottom="0.39370078740157483" header="0" footer="0"/>
  <pageSetup paperSize="9" scale="7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D569-C9C0-4FB2-B720-3A756EDE1292}">
  <sheetPr codeName="Sheet13">
    <tabColor rgb="FFFFC000"/>
    <pageSetUpPr fitToPage="1"/>
  </sheetPr>
  <dimension ref="B1:N125"/>
  <sheetViews>
    <sheetView view="pageBreakPreview" topLeftCell="A100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48" t="s">
        <v>74</v>
      </c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50"/>
    </row>
    <row r="3" spans="2:14" ht="39.75" customHeight="1" x14ac:dyDescent="0.25">
      <c r="B3" s="351" t="s">
        <v>75</v>
      </c>
      <c r="C3" s="352"/>
      <c r="D3" s="353" t="str">
        <f>view__cover!$C$4</f>
        <v>Construction of the facilities and buildings, storages, and other structures, including roads and all industrial utilities for establishment of “Sitalchay 2” Production Plant</v>
      </c>
      <c r="E3" s="354"/>
      <c r="F3" s="354"/>
      <c r="G3" s="354"/>
      <c r="H3" s="354"/>
      <c r="I3" s="354"/>
      <c r="J3" s="354"/>
      <c r="K3" s="355"/>
      <c r="L3" s="73" t="s">
        <v>16</v>
      </c>
      <c r="M3" s="74">
        <f>view__cover!$K$2</f>
        <v>5</v>
      </c>
    </row>
    <row r="4" spans="2:14" x14ac:dyDescent="0.25">
      <c r="B4" s="356" t="s">
        <v>76</v>
      </c>
      <c r="C4" s="357"/>
      <c r="D4" s="360" t="str">
        <f>view__cover!$C$8</f>
        <v>Rental Vehicle
Kiralıq Vasitə</v>
      </c>
      <c r="E4" s="361"/>
      <c r="F4" s="361"/>
      <c r="G4" s="361"/>
      <c r="H4" s="361"/>
      <c r="I4" s="361"/>
      <c r="J4" s="361"/>
      <c r="K4" s="362"/>
      <c r="L4" s="75" t="s">
        <v>77</v>
      </c>
      <c r="M4" s="108"/>
      <c r="N4" s="16"/>
    </row>
    <row r="5" spans="2:14" x14ac:dyDescent="0.25">
      <c r="B5" s="358"/>
      <c r="C5" s="359"/>
      <c r="D5" s="363"/>
      <c r="E5" s="364"/>
      <c r="F5" s="364"/>
      <c r="G5" s="364"/>
      <c r="H5" s="364"/>
      <c r="I5" s="364"/>
      <c r="J5" s="364"/>
      <c r="K5" s="365"/>
      <c r="L5" s="76" t="s">
        <v>78</v>
      </c>
      <c r="M5" s="109"/>
      <c r="N5" s="16"/>
    </row>
    <row r="6" spans="2:14" x14ac:dyDescent="0.25">
      <c r="B6" s="346" t="s">
        <v>76</v>
      </c>
      <c r="C6" s="340"/>
      <c r="D6" s="340"/>
      <c r="E6" s="340"/>
      <c r="F6" s="340"/>
      <c r="G6" s="340"/>
      <c r="H6" s="340"/>
      <c r="I6" s="340"/>
      <c r="J6" s="340"/>
      <c r="K6" s="340"/>
      <c r="L6" s="340" t="s">
        <v>79</v>
      </c>
      <c r="M6" s="341"/>
    </row>
    <row r="7" spans="2:14" x14ac:dyDescent="0.25">
      <c r="B7" s="347"/>
      <c r="C7" s="340"/>
      <c r="D7" s="340"/>
      <c r="E7" s="340"/>
      <c r="F7" s="78"/>
      <c r="G7" s="78" t="s">
        <v>71</v>
      </c>
      <c r="H7" s="78" t="s">
        <v>71</v>
      </c>
      <c r="I7" s="78" t="s">
        <v>71</v>
      </c>
      <c r="J7" s="78" t="s">
        <v>80</v>
      </c>
      <c r="K7" s="78"/>
      <c r="L7" s="79" t="s">
        <v>81</v>
      </c>
      <c r="M7" s="77" t="s">
        <v>82</v>
      </c>
    </row>
    <row r="8" spans="2:14" ht="29.25" customHeight="1" x14ac:dyDescent="0.25">
      <c r="B8" s="342"/>
      <c r="C8" s="343"/>
      <c r="D8" s="343"/>
      <c r="E8" s="119" t="s">
        <v>83</v>
      </c>
      <c r="F8" s="80" t="s">
        <v>84</v>
      </c>
      <c r="G8" s="81" t="s">
        <v>85</v>
      </c>
      <c r="H8" s="82" t="s">
        <v>86</v>
      </c>
      <c r="I8" s="82" t="s">
        <v>87</v>
      </c>
      <c r="J8" s="82" t="s">
        <v>88</v>
      </c>
      <c r="K8" s="82" t="s">
        <v>89</v>
      </c>
      <c r="L8" s="83"/>
      <c r="M8" s="84"/>
    </row>
    <row r="9" spans="2:14" x14ac:dyDescent="0.25">
      <c r="B9" s="344" t="s">
        <v>92</v>
      </c>
      <c r="C9" s="345"/>
      <c r="D9" s="345"/>
      <c r="E9" s="116"/>
      <c r="F9" s="85"/>
      <c r="G9" s="86"/>
      <c r="H9" s="87"/>
      <c r="I9" s="88"/>
      <c r="J9" s="88"/>
      <c r="K9" s="89"/>
      <c r="L9" s="90"/>
      <c r="M9" s="91"/>
    </row>
    <row r="10" spans="2:14" x14ac:dyDescent="0.25">
      <c r="B10" s="385" t="s">
        <v>93</v>
      </c>
      <c r="C10" s="386"/>
      <c r="D10" s="386"/>
      <c r="E10" s="117"/>
      <c r="F10" s="101"/>
      <c r="G10" s="102"/>
      <c r="H10" s="103"/>
      <c r="I10" s="104"/>
      <c r="J10" s="104"/>
      <c r="K10" s="105"/>
      <c r="L10" s="106"/>
      <c r="M10" s="107"/>
    </row>
    <row r="11" spans="2:14" x14ac:dyDescent="0.25">
      <c r="B11" s="383" t="s">
        <v>90</v>
      </c>
      <c r="C11" s="384"/>
      <c r="D11" s="384"/>
      <c r="E11" s="120" t="s">
        <v>69</v>
      </c>
      <c r="F11" s="110"/>
      <c r="G11" s="111"/>
      <c r="H11" s="112"/>
      <c r="I11" s="113"/>
      <c r="J11" s="113"/>
      <c r="K11" s="114"/>
      <c r="L11" s="115"/>
      <c r="M11" s="121">
        <f>SUM(M12:M14)</f>
        <v>20.241200000000003</v>
      </c>
    </row>
    <row r="12" spans="2:14" x14ac:dyDescent="0.25">
      <c r="B12" s="337" t="s">
        <v>95</v>
      </c>
      <c r="C12" s="338"/>
      <c r="D12" s="339"/>
      <c r="E12" s="118">
        <f>$M$3</f>
        <v>5</v>
      </c>
      <c r="F12" s="100">
        <v>1</v>
      </c>
      <c r="G12" s="93"/>
      <c r="H12" s="92"/>
      <c r="I12" s="92">
        <v>0.1</v>
      </c>
      <c r="J12" s="92">
        <v>8.1050000000000004</v>
      </c>
      <c r="K12" s="94">
        <v>4</v>
      </c>
      <c r="L12" s="95"/>
      <c r="M12" s="96">
        <f>PRODUCT(F12:K12)</f>
        <v>3.2420000000000004</v>
      </c>
    </row>
    <row r="13" spans="2:14" x14ac:dyDescent="0.25">
      <c r="B13" s="337" t="s">
        <v>94</v>
      </c>
      <c r="C13" s="338"/>
      <c r="D13" s="339"/>
      <c r="E13" s="118">
        <f>$M$3</f>
        <v>5</v>
      </c>
      <c r="F13" s="100">
        <v>1</v>
      </c>
      <c r="G13" s="93">
        <v>18.010000000000002</v>
      </c>
      <c r="H13" s="92">
        <v>7.2</v>
      </c>
      <c r="I13" s="92">
        <v>0.1</v>
      </c>
      <c r="J13" s="92"/>
      <c r="K13" s="94">
        <v>1</v>
      </c>
      <c r="L13" s="95"/>
      <c r="M13" s="96">
        <f>PRODUCT(F13:K13)</f>
        <v>12.967200000000004</v>
      </c>
    </row>
    <row r="14" spans="2:14" x14ac:dyDescent="0.25">
      <c r="B14" s="337" t="s">
        <v>104</v>
      </c>
      <c r="C14" s="338"/>
      <c r="D14" s="339"/>
      <c r="E14" s="118">
        <f>$M$3</f>
        <v>5</v>
      </c>
      <c r="F14" s="100">
        <v>1</v>
      </c>
      <c r="G14" s="93"/>
      <c r="H14" s="92">
        <v>7.2</v>
      </c>
      <c r="I14" s="92"/>
      <c r="J14" s="92">
        <f>0.25+0.03</f>
        <v>0.28000000000000003</v>
      </c>
      <c r="K14" s="94">
        <v>2</v>
      </c>
      <c r="L14" s="95"/>
      <c r="M14" s="96">
        <f>PRODUCT(F14:K14)</f>
        <v>4.0320000000000009</v>
      </c>
    </row>
    <row r="15" spans="2:14" x14ac:dyDescent="0.25">
      <c r="B15" s="383" t="s">
        <v>99</v>
      </c>
      <c r="C15" s="384"/>
      <c r="D15" s="384"/>
      <c r="E15" s="120" t="s">
        <v>69</v>
      </c>
      <c r="F15" s="110"/>
      <c r="G15" s="111"/>
      <c r="H15" s="112"/>
      <c r="I15" s="113"/>
      <c r="J15" s="113"/>
      <c r="K15" s="114"/>
      <c r="L15" s="115"/>
      <c r="M15" s="121">
        <f>SUM(M16:M22)</f>
        <v>497.41560000000015</v>
      </c>
    </row>
    <row r="16" spans="2:14" x14ac:dyDescent="0.25">
      <c r="B16" s="337" t="s">
        <v>105</v>
      </c>
      <c r="C16" s="338"/>
      <c r="D16" s="339"/>
      <c r="E16" s="118">
        <f t="shared" ref="E16:E25" si="0">$M$3</f>
        <v>5</v>
      </c>
      <c r="F16" s="100">
        <v>1</v>
      </c>
      <c r="G16" s="93">
        <v>18.010000000000002</v>
      </c>
      <c r="H16" s="92">
        <v>7.2</v>
      </c>
      <c r="I16" s="92">
        <v>3</v>
      </c>
      <c r="J16" s="92"/>
      <c r="K16" s="94">
        <v>1</v>
      </c>
      <c r="L16" s="95"/>
      <c r="M16" s="96">
        <f t="shared" ref="M16:M22" si="1">PRODUCT(F16:K16)</f>
        <v>389.01600000000008</v>
      </c>
    </row>
    <row r="17" spans="2:13" x14ac:dyDescent="0.25">
      <c r="B17" s="337" t="s">
        <v>106</v>
      </c>
      <c r="C17" s="338"/>
      <c r="D17" s="339"/>
      <c r="E17" s="118">
        <f t="shared" si="0"/>
        <v>5</v>
      </c>
      <c r="F17" s="100">
        <v>1</v>
      </c>
      <c r="G17" s="93">
        <v>0.3</v>
      </c>
      <c r="H17" s="92">
        <v>7.2</v>
      </c>
      <c r="I17" s="92">
        <v>0.7</v>
      </c>
      <c r="J17" s="92"/>
      <c r="K17" s="94">
        <v>2</v>
      </c>
      <c r="L17" s="95"/>
      <c r="M17" s="96">
        <f t="shared" si="1"/>
        <v>3.024</v>
      </c>
    </row>
    <row r="18" spans="2:13" x14ac:dyDescent="0.25">
      <c r="B18" s="337" t="s">
        <v>107</v>
      </c>
      <c r="C18" s="338"/>
      <c r="D18" s="339"/>
      <c r="E18" s="118">
        <f t="shared" si="0"/>
        <v>5</v>
      </c>
      <c r="F18" s="100">
        <v>1</v>
      </c>
      <c r="G18" s="93">
        <v>1</v>
      </c>
      <c r="H18" s="92">
        <v>7.2</v>
      </c>
      <c r="I18" s="92">
        <v>0.25</v>
      </c>
      <c r="J18" s="92"/>
      <c r="K18" s="94">
        <v>1</v>
      </c>
      <c r="L18" s="95"/>
      <c r="M18" s="96">
        <f t="shared" si="1"/>
        <v>1.8</v>
      </c>
    </row>
    <row r="19" spans="2:13" x14ac:dyDescent="0.25">
      <c r="B19" s="337" t="s">
        <v>108</v>
      </c>
      <c r="C19" s="338"/>
      <c r="D19" s="339"/>
      <c r="E19" s="118">
        <f t="shared" si="0"/>
        <v>5</v>
      </c>
      <c r="F19" s="100">
        <v>1</v>
      </c>
      <c r="G19" s="93">
        <v>18.010000000000002</v>
      </c>
      <c r="H19" s="92">
        <v>0.3</v>
      </c>
      <c r="I19" s="92">
        <v>2.5</v>
      </c>
      <c r="J19" s="92"/>
      <c r="K19" s="94">
        <v>4</v>
      </c>
      <c r="L19" s="95"/>
      <c r="M19" s="96">
        <f t="shared" si="1"/>
        <v>54.03</v>
      </c>
    </row>
    <row r="20" spans="2:13" x14ac:dyDescent="0.25">
      <c r="B20" s="337" t="s">
        <v>109</v>
      </c>
      <c r="C20" s="338"/>
      <c r="D20" s="339"/>
      <c r="E20" s="118">
        <f t="shared" si="0"/>
        <v>5</v>
      </c>
      <c r="F20" s="100">
        <v>1</v>
      </c>
      <c r="G20" s="93">
        <v>18.010000000000002</v>
      </c>
      <c r="H20" s="92">
        <v>7.2</v>
      </c>
      <c r="I20" s="92">
        <v>0.3</v>
      </c>
      <c r="J20" s="92"/>
      <c r="K20" s="94">
        <v>1</v>
      </c>
      <c r="L20" s="95"/>
      <c r="M20" s="96">
        <f t="shared" si="1"/>
        <v>38.901600000000009</v>
      </c>
    </row>
    <row r="21" spans="2:13" x14ac:dyDescent="0.25">
      <c r="B21" s="337" t="s">
        <v>110</v>
      </c>
      <c r="C21" s="338"/>
      <c r="D21" s="339"/>
      <c r="E21" s="118">
        <f t="shared" si="0"/>
        <v>5</v>
      </c>
      <c r="F21" s="100">
        <v>1</v>
      </c>
      <c r="G21" s="93">
        <v>0.3</v>
      </c>
      <c r="H21" s="92">
        <v>7.2</v>
      </c>
      <c r="I21" s="92">
        <v>0.3</v>
      </c>
      <c r="J21" s="92"/>
      <c r="K21" s="94">
        <v>2</v>
      </c>
      <c r="L21" s="95"/>
      <c r="M21" s="96">
        <f t="shared" si="1"/>
        <v>1.296</v>
      </c>
    </row>
    <row r="22" spans="2:13" x14ac:dyDescent="0.25">
      <c r="B22" s="337" t="s">
        <v>118</v>
      </c>
      <c r="C22" s="338"/>
      <c r="D22" s="339"/>
      <c r="E22" s="118">
        <f t="shared" si="0"/>
        <v>5</v>
      </c>
      <c r="F22" s="100">
        <v>1</v>
      </c>
      <c r="G22" s="93">
        <v>4.0999999999999996</v>
      </c>
      <c r="H22" s="92">
        <v>0.3</v>
      </c>
      <c r="I22" s="92">
        <f>(1+2.8)/2</f>
        <v>1.9</v>
      </c>
      <c r="J22" s="92"/>
      <c r="K22" s="94">
        <v>4</v>
      </c>
      <c r="L22" s="95"/>
      <c r="M22" s="96">
        <f t="shared" si="1"/>
        <v>9.3479999999999972</v>
      </c>
    </row>
    <row r="23" spans="2:13" x14ac:dyDescent="0.25">
      <c r="B23" s="383" t="s">
        <v>111</v>
      </c>
      <c r="C23" s="384"/>
      <c r="D23" s="384"/>
      <c r="E23" s="120" t="s">
        <v>70</v>
      </c>
      <c r="F23" s="110"/>
      <c r="G23" s="111"/>
      <c r="H23" s="112"/>
      <c r="I23" s="113"/>
      <c r="J23" s="113"/>
      <c r="K23" s="114"/>
      <c r="L23" s="115"/>
      <c r="M23" s="121">
        <f>SUM(M24:M25)</f>
        <v>7.8456000000000001</v>
      </c>
    </row>
    <row r="24" spans="2:13" x14ac:dyDescent="0.25">
      <c r="B24" s="337" t="s">
        <v>105</v>
      </c>
      <c r="C24" s="338"/>
      <c r="D24" s="339"/>
      <c r="E24" s="118">
        <f t="shared" si="0"/>
        <v>5</v>
      </c>
      <c r="F24" s="100">
        <v>1</v>
      </c>
      <c r="G24" s="93">
        <f>5.6685+0.7512+0.4259</f>
        <v>6.8456000000000001</v>
      </c>
      <c r="H24" s="92"/>
      <c r="I24" s="92"/>
      <c r="J24" s="92"/>
      <c r="K24" s="94"/>
      <c r="L24" s="95"/>
      <c r="M24" s="96">
        <f>PRODUCT(F24:K24)</f>
        <v>6.8456000000000001</v>
      </c>
    </row>
    <row r="25" spans="2:13" x14ac:dyDescent="0.25">
      <c r="B25" s="337"/>
      <c r="C25" s="338"/>
      <c r="D25" s="339"/>
      <c r="E25" s="118">
        <f t="shared" si="0"/>
        <v>5</v>
      </c>
      <c r="F25" s="100">
        <v>1</v>
      </c>
      <c r="G25" s="93"/>
      <c r="H25" s="92"/>
      <c r="I25" s="92"/>
      <c r="J25" s="92"/>
      <c r="K25" s="94"/>
      <c r="L25" s="95"/>
      <c r="M25" s="96">
        <f>PRODUCT(F25:K25)</f>
        <v>1</v>
      </c>
    </row>
    <row r="26" spans="2:13" x14ac:dyDescent="0.25">
      <c r="B26" s="344" t="s">
        <v>91</v>
      </c>
      <c r="C26" s="345"/>
      <c r="D26" s="387"/>
      <c r="E26" s="116"/>
      <c r="F26" s="97"/>
      <c r="G26" s="98"/>
      <c r="H26" s="98"/>
      <c r="I26" s="98"/>
      <c r="J26" s="98"/>
      <c r="K26" s="89"/>
      <c r="L26" s="90"/>
      <c r="M26" s="91"/>
    </row>
    <row r="27" spans="2:13" x14ac:dyDescent="0.25">
      <c r="B27" s="385" t="s">
        <v>98</v>
      </c>
      <c r="C27" s="386"/>
      <c r="D27" s="386"/>
      <c r="E27" s="117"/>
      <c r="F27" s="101"/>
      <c r="G27" s="102"/>
      <c r="H27" s="103"/>
      <c r="I27" s="104"/>
      <c r="J27" s="104"/>
      <c r="K27" s="105"/>
      <c r="L27" s="106"/>
      <c r="M27" s="107"/>
    </row>
    <row r="28" spans="2:13" x14ac:dyDescent="0.25">
      <c r="B28" s="383" t="s">
        <v>90</v>
      </c>
      <c r="C28" s="384"/>
      <c r="D28" s="384"/>
      <c r="E28" s="120"/>
      <c r="F28" s="110"/>
      <c r="G28" s="111"/>
      <c r="H28" s="112"/>
      <c r="I28" s="113"/>
      <c r="J28" s="113"/>
      <c r="K28" s="114"/>
      <c r="L28" s="115"/>
      <c r="M28" s="121">
        <f>SUM(M29:M31)</f>
        <v>12.5496</v>
      </c>
    </row>
    <row r="29" spans="2:13" x14ac:dyDescent="0.25">
      <c r="B29" s="337" t="s">
        <v>112</v>
      </c>
      <c r="C29" s="338"/>
      <c r="D29" s="339"/>
      <c r="E29" s="118">
        <f>$M$3</f>
        <v>5</v>
      </c>
      <c r="F29" s="100">
        <v>1</v>
      </c>
      <c r="G29" s="93"/>
      <c r="H29" s="92"/>
      <c r="I29" s="92">
        <v>0.1</v>
      </c>
      <c r="J29" s="92">
        <v>12.26</v>
      </c>
      <c r="K29" s="94">
        <v>2</v>
      </c>
      <c r="L29" s="95"/>
      <c r="M29" s="96">
        <f>PRODUCT(F29:K29)</f>
        <v>2.452</v>
      </c>
    </row>
    <row r="30" spans="2:13" x14ac:dyDescent="0.25">
      <c r="B30" s="337" t="s">
        <v>113</v>
      </c>
      <c r="C30" s="338"/>
      <c r="D30" s="339"/>
      <c r="E30" s="118">
        <f>$M$3</f>
        <v>5</v>
      </c>
      <c r="F30" s="100">
        <v>1</v>
      </c>
      <c r="G30" s="93"/>
      <c r="H30" s="92">
        <v>6</v>
      </c>
      <c r="I30" s="92"/>
      <c r="J30" s="92">
        <v>0.17</v>
      </c>
      <c r="K30" s="94">
        <v>1</v>
      </c>
      <c r="L30" s="95"/>
      <c r="M30" s="96">
        <f>PRODUCT(F30:K30)</f>
        <v>1.02</v>
      </c>
    </row>
    <row r="31" spans="2:13" x14ac:dyDescent="0.25">
      <c r="B31" s="337" t="s">
        <v>114</v>
      </c>
      <c r="C31" s="338"/>
      <c r="D31" s="339"/>
      <c r="E31" s="118">
        <f>$M$3</f>
        <v>5</v>
      </c>
      <c r="F31" s="100">
        <v>1</v>
      </c>
      <c r="G31" s="93">
        <v>14</v>
      </c>
      <c r="H31" s="92"/>
      <c r="I31" s="92"/>
      <c r="J31" s="92">
        <f>0.3242*2</f>
        <v>0.64839999999999998</v>
      </c>
      <c r="K31" s="94">
        <v>1</v>
      </c>
      <c r="L31" s="95"/>
      <c r="M31" s="96">
        <f>PRODUCT(F31:K31)</f>
        <v>9.0776000000000003</v>
      </c>
    </row>
    <row r="32" spans="2:13" x14ac:dyDescent="0.25">
      <c r="B32" s="383" t="s">
        <v>121</v>
      </c>
      <c r="C32" s="384"/>
      <c r="D32" s="384"/>
      <c r="E32" s="120"/>
      <c r="F32" s="110"/>
      <c r="G32" s="111"/>
      <c r="H32" s="112"/>
      <c r="I32" s="113"/>
      <c r="J32" s="113"/>
      <c r="K32" s="114"/>
      <c r="L32" s="115"/>
      <c r="M32" s="121">
        <f>SUM(M33:M38)</f>
        <v>21.961077</v>
      </c>
    </row>
    <row r="33" spans="2:13" x14ac:dyDescent="0.25">
      <c r="B33" s="337" t="s">
        <v>115</v>
      </c>
      <c r="C33" s="338"/>
      <c r="D33" s="339"/>
      <c r="E33" s="118">
        <f t="shared" ref="E33:E38" si="2">$M$3</f>
        <v>5</v>
      </c>
      <c r="F33" s="100">
        <v>1</v>
      </c>
      <c r="G33" s="93">
        <v>13.3</v>
      </c>
      <c r="H33" s="92">
        <v>2.04</v>
      </c>
      <c r="I33" s="92">
        <v>0.25</v>
      </c>
      <c r="J33" s="92"/>
      <c r="K33" s="94">
        <v>1</v>
      </c>
      <c r="L33" s="95"/>
      <c r="M33" s="96">
        <f t="shared" ref="M33:M38" si="3">PRODUCT(F33:K33)</f>
        <v>6.7830000000000004</v>
      </c>
    </row>
    <row r="34" spans="2:13" x14ac:dyDescent="0.25">
      <c r="B34" s="337" t="s">
        <v>116</v>
      </c>
      <c r="C34" s="338"/>
      <c r="D34" s="339"/>
      <c r="E34" s="118">
        <f t="shared" si="2"/>
        <v>5</v>
      </c>
      <c r="F34" s="100">
        <v>1</v>
      </c>
      <c r="G34" s="93"/>
      <c r="H34" s="92"/>
      <c r="I34" s="92">
        <v>0.3</v>
      </c>
      <c r="J34" s="92">
        <v>12.33</v>
      </c>
      <c r="K34" s="94">
        <v>2</v>
      </c>
      <c r="L34" s="95"/>
      <c r="M34" s="96">
        <f t="shared" si="3"/>
        <v>7.3979999999999997</v>
      </c>
    </row>
    <row r="35" spans="2:13" x14ac:dyDescent="0.25">
      <c r="B35" s="337" t="s">
        <v>120</v>
      </c>
      <c r="C35" s="338"/>
      <c r="D35" s="339"/>
      <c r="E35" s="118">
        <f t="shared" si="2"/>
        <v>5</v>
      </c>
      <c r="F35" s="100">
        <v>1</v>
      </c>
      <c r="G35" s="93">
        <f>(0.4+0.47)/2</f>
        <v>0.435</v>
      </c>
      <c r="H35" s="92">
        <v>2.5299999999999998</v>
      </c>
      <c r="I35" s="92">
        <v>7.0000000000000007E-2</v>
      </c>
      <c r="J35" s="92"/>
      <c r="K35" s="94">
        <v>2</v>
      </c>
      <c r="L35" s="95"/>
      <c r="M35" s="96">
        <f t="shared" si="3"/>
        <v>0.15407699999999999</v>
      </c>
    </row>
    <row r="36" spans="2:13" x14ac:dyDescent="0.25">
      <c r="B36" s="337" t="s">
        <v>117</v>
      </c>
      <c r="C36" s="338"/>
      <c r="D36" s="339"/>
      <c r="E36" s="118">
        <f t="shared" si="2"/>
        <v>5</v>
      </c>
      <c r="F36" s="100">
        <v>1</v>
      </c>
      <c r="G36" s="93">
        <v>0.3</v>
      </c>
      <c r="H36" s="92">
        <v>6</v>
      </c>
      <c r="I36" s="92">
        <v>0.3</v>
      </c>
      <c r="J36" s="92"/>
      <c r="K36" s="94">
        <v>2</v>
      </c>
      <c r="L36" s="95"/>
      <c r="M36" s="96">
        <f t="shared" si="3"/>
        <v>1.0799999999999998</v>
      </c>
    </row>
    <row r="37" spans="2:13" x14ac:dyDescent="0.25">
      <c r="B37" s="337" t="s">
        <v>118</v>
      </c>
      <c r="C37" s="338"/>
      <c r="D37" s="339"/>
      <c r="E37" s="118">
        <f t="shared" si="2"/>
        <v>5</v>
      </c>
      <c r="F37" s="100">
        <v>1</v>
      </c>
      <c r="G37" s="93"/>
      <c r="H37" s="92">
        <v>0.3</v>
      </c>
      <c r="I37" s="92"/>
      <c r="J37" s="92">
        <v>3.82</v>
      </c>
      <c r="K37" s="94">
        <v>4</v>
      </c>
      <c r="L37" s="95"/>
      <c r="M37" s="96">
        <f t="shared" si="3"/>
        <v>4.5839999999999996</v>
      </c>
    </row>
    <row r="38" spans="2:13" x14ac:dyDescent="0.25">
      <c r="B38" s="337" t="s">
        <v>119</v>
      </c>
      <c r="C38" s="338"/>
      <c r="D38" s="339"/>
      <c r="E38" s="118">
        <f t="shared" si="2"/>
        <v>5</v>
      </c>
      <c r="F38" s="100">
        <v>1</v>
      </c>
      <c r="G38" s="93"/>
      <c r="H38" s="92">
        <v>0.3</v>
      </c>
      <c r="I38" s="92"/>
      <c r="J38" s="92">
        <v>3.27</v>
      </c>
      <c r="K38" s="94">
        <v>2</v>
      </c>
      <c r="L38" s="95"/>
      <c r="M38" s="96">
        <f t="shared" si="3"/>
        <v>1.962</v>
      </c>
    </row>
    <row r="39" spans="2:13" x14ac:dyDescent="0.25">
      <c r="B39" s="385" t="s">
        <v>100</v>
      </c>
      <c r="C39" s="386"/>
      <c r="D39" s="386"/>
      <c r="E39" s="117"/>
      <c r="F39" s="101"/>
      <c r="G39" s="102"/>
      <c r="H39" s="103"/>
      <c r="I39" s="104"/>
      <c r="J39" s="104"/>
      <c r="K39" s="105"/>
      <c r="L39" s="106"/>
      <c r="M39" s="107"/>
    </row>
    <row r="40" spans="2:13" x14ac:dyDescent="0.25">
      <c r="B40" s="383" t="s">
        <v>90</v>
      </c>
      <c r="C40" s="384"/>
      <c r="D40" s="384"/>
      <c r="E40" s="120"/>
      <c r="F40" s="110"/>
      <c r="G40" s="111"/>
      <c r="H40" s="112"/>
      <c r="I40" s="113"/>
      <c r="J40" s="113"/>
      <c r="K40" s="114"/>
      <c r="L40" s="115"/>
      <c r="M40" s="121">
        <f>SUM(M41:M43)</f>
        <v>15.5472</v>
      </c>
    </row>
    <row r="41" spans="2:13" x14ac:dyDescent="0.25">
      <c r="B41" s="337" t="s">
        <v>112</v>
      </c>
      <c r="C41" s="338"/>
      <c r="D41" s="339"/>
      <c r="E41" s="118">
        <f>$M$3</f>
        <v>5</v>
      </c>
      <c r="F41" s="100">
        <v>1</v>
      </c>
      <c r="G41" s="93"/>
      <c r="H41" s="92"/>
      <c r="I41" s="92">
        <v>0.1</v>
      </c>
      <c r="J41" s="92">
        <v>12.26</v>
      </c>
      <c r="K41" s="94">
        <v>2</v>
      </c>
      <c r="L41" s="95"/>
      <c r="M41" s="96">
        <f>PRODUCT(F41:K41)</f>
        <v>2.452</v>
      </c>
    </row>
    <row r="42" spans="2:13" x14ac:dyDescent="0.25">
      <c r="B42" s="337" t="s">
        <v>113</v>
      </c>
      <c r="C42" s="338"/>
      <c r="D42" s="339"/>
      <c r="E42" s="118">
        <f>$M$3</f>
        <v>5</v>
      </c>
      <c r="F42" s="100">
        <v>1</v>
      </c>
      <c r="G42" s="93"/>
      <c r="H42" s="92">
        <v>4.45</v>
      </c>
      <c r="I42" s="92"/>
      <c r="J42" s="92">
        <v>0.16</v>
      </c>
      <c r="K42" s="94">
        <v>2</v>
      </c>
      <c r="L42" s="95"/>
      <c r="M42" s="96">
        <f>PRODUCT(F42:K42)</f>
        <v>1.4240000000000002</v>
      </c>
    </row>
    <row r="43" spans="2:13" x14ac:dyDescent="0.25">
      <c r="B43" s="337" t="s">
        <v>114</v>
      </c>
      <c r="C43" s="338"/>
      <c r="D43" s="339"/>
      <c r="E43" s="118">
        <f>$M$3</f>
        <v>5</v>
      </c>
      <c r="F43" s="100">
        <v>1</v>
      </c>
      <c r="G43" s="93">
        <v>18</v>
      </c>
      <c r="H43" s="92"/>
      <c r="I43" s="92"/>
      <c r="J43" s="92">
        <f>0.3242*2</f>
        <v>0.64839999999999998</v>
      </c>
      <c r="K43" s="94">
        <v>1</v>
      </c>
      <c r="L43" s="95"/>
      <c r="M43" s="96">
        <f>PRODUCT(F43:K43)</f>
        <v>11.671199999999999</v>
      </c>
    </row>
    <row r="44" spans="2:13" x14ac:dyDescent="0.25">
      <c r="B44" s="383" t="s">
        <v>121</v>
      </c>
      <c r="C44" s="384"/>
      <c r="D44" s="384"/>
      <c r="E44" s="120"/>
      <c r="F44" s="110"/>
      <c r="G44" s="111"/>
      <c r="H44" s="112"/>
      <c r="I44" s="113"/>
      <c r="J44" s="113"/>
      <c r="K44" s="114"/>
      <c r="L44" s="115"/>
      <c r="M44" s="121">
        <f>SUM(M45:M50)</f>
        <v>23.909276999999999</v>
      </c>
    </row>
    <row r="45" spans="2:13" x14ac:dyDescent="0.25">
      <c r="B45" s="337" t="s">
        <v>115</v>
      </c>
      <c r="C45" s="338"/>
      <c r="D45" s="339"/>
      <c r="E45" s="118">
        <f t="shared" ref="E45:E50" si="4">$M$3</f>
        <v>5</v>
      </c>
      <c r="F45" s="100">
        <v>1</v>
      </c>
      <c r="G45" s="93">
        <v>17.12</v>
      </c>
      <c r="H45" s="92">
        <v>2.04</v>
      </c>
      <c r="I45" s="92">
        <v>0.25</v>
      </c>
      <c r="J45" s="92"/>
      <c r="K45" s="94">
        <v>1</v>
      </c>
      <c r="L45" s="95"/>
      <c r="M45" s="96">
        <f t="shared" ref="M45:M50" si="5">PRODUCT(F45:K45)</f>
        <v>8.7312000000000012</v>
      </c>
    </row>
    <row r="46" spans="2:13" x14ac:dyDescent="0.25">
      <c r="B46" s="337" t="s">
        <v>116</v>
      </c>
      <c r="C46" s="338"/>
      <c r="D46" s="339"/>
      <c r="E46" s="118">
        <f t="shared" si="4"/>
        <v>5</v>
      </c>
      <c r="F46" s="100">
        <v>1</v>
      </c>
      <c r="G46" s="93"/>
      <c r="H46" s="92"/>
      <c r="I46" s="92">
        <v>0.3</v>
      </c>
      <c r="J46" s="92">
        <v>12.33</v>
      </c>
      <c r="K46" s="94">
        <v>2</v>
      </c>
      <c r="L46" s="95"/>
      <c r="M46" s="96">
        <f t="shared" si="5"/>
        <v>7.3979999999999997</v>
      </c>
    </row>
    <row r="47" spans="2:13" x14ac:dyDescent="0.25">
      <c r="B47" s="337" t="s">
        <v>120</v>
      </c>
      <c r="C47" s="338"/>
      <c r="D47" s="339"/>
      <c r="E47" s="118">
        <f t="shared" si="4"/>
        <v>5</v>
      </c>
      <c r="F47" s="100">
        <v>1</v>
      </c>
      <c r="G47" s="93">
        <f>(0.4+0.47)/2</f>
        <v>0.435</v>
      </c>
      <c r="H47" s="92">
        <v>2.5299999999999998</v>
      </c>
      <c r="I47" s="92">
        <v>7.0000000000000007E-2</v>
      </c>
      <c r="J47" s="92"/>
      <c r="K47" s="94">
        <v>2</v>
      </c>
      <c r="L47" s="95"/>
      <c r="M47" s="96">
        <f t="shared" si="5"/>
        <v>0.15407699999999999</v>
      </c>
    </row>
    <row r="48" spans="2:13" x14ac:dyDescent="0.25">
      <c r="B48" s="337" t="s">
        <v>117</v>
      </c>
      <c r="C48" s="338"/>
      <c r="D48" s="339"/>
      <c r="E48" s="118">
        <f t="shared" si="4"/>
        <v>5</v>
      </c>
      <c r="F48" s="100">
        <v>1</v>
      </c>
      <c r="G48" s="93">
        <v>0.3</v>
      </c>
      <c r="H48" s="92">
        <v>6</v>
      </c>
      <c r="I48" s="92">
        <v>0.3</v>
      </c>
      <c r="J48" s="92"/>
      <c r="K48" s="94">
        <v>2</v>
      </c>
      <c r="L48" s="95"/>
      <c r="M48" s="96">
        <f t="shared" si="5"/>
        <v>1.0799999999999998</v>
      </c>
    </row>
    <row r="49" spans="2:13" x14ac:dyDescent="0.25">
      <c r="B49" s="337" t="s">
        <v>118</v>
      </c>
      <c r="C49" s="338"/>
      <c r="D49" s="339"/>
      <c r="E49" s="118">
        <f t="shared" si="4"/>
        <v>5</v>
      </c>
      <c r="F49" s="100">
        <v>1</v>
      </c>
      <c r="G49" s="93"/>
      <c r="H49" s="92">
        <v>0.3</v>
      </c>
      <c r="I49" s="92"/>
      <c r="J49" s="92">
        <v>3.82</v>
      </c>
      <c r="K49" s="94">
        <v>4</v>
      </c>
      <c r="L49" s="95"/>
      <c r="M49" s="96">
        <f t="shared" si="5"/>
        <v>4.5839999999999996</v>
      </c>
    </row>
    <row r="50" spans="2:13" x14ac:dyDescent="0.25">
      <c r="B50" s="337" t="s">
        <v>119</v>
      </c>
      <c r="C50" s="338"/>
      <c r="D50" s="339"/>
      <c r="E50" s="118">
        <f t="shared" si="4"/>
        <v>5</v>
      </c>
      <c r="F50" s="100">
        <v>1</v>
      </c>
      <c r="G50" s="93"/>
      <c r="H50" s="92">
        <v>0.3</v>
      </c>
      <c r="I50" s="92"/>
      <c r="J50" s="92">
        <v>3.27</v>
      </c>
      <c r="K50" s="94">
        <v>2</v>
      </c>
      <c r="L50" s="95"/>
      <c r="M50" s="96">
        <f t="shared" si="5"/>
        <v>1.962</v>
      </c>
    </row>
    <row r="51" spans="2:13" x14ac:dyDescent="0.25">
      <c r="B51" s="385" t="s">
        <v>101</v>
      </c>
      <c r="C51" s="386"/>
      <c r="D51" s="386"/>
      <c r="E51" s="117"/>
      <c r="F51" s="101"/>
      <c r="G51" s="102"/>
      <c r="H51" s="103"/>
      <c r="I51" s="104"/>
      <c r="J51" s="104"/>
      <c r="K51" s="105"/>
      <c r="L51" s="106"/>
      <c r="M51" s="107"/>
    </row>
    <row r="52" spans="2:13" x14ac:dyDescent="0.25">
      <c r="B52" s="383" t="s">
        <v>90</v>
      </c>
      <c r="C52" s="384"/>
      <c r="D52" s="384"/>
      <c r="E52" s="120"/>
      <c r="F52" s="110"/>
      <c r="G52" s="111"/>
      <c r="H52" s="112"/>
      <c r="I52" s="113"/>
      <c r="J52" s="113"/>
      <c r="K52" s="114"/>
      <c r="L52" s="115"/>
      <c r="M52" s="121">
        <f>SUM(M53:M55)</f>
        <v>16.834399999999999</v>
      </c>
    </row>
    <row r="53" spans="2:13" x14ac:dyDescent="0.25">
      <c r="B53" s="337" t="s">
        <v>112</v>
      </c>
      <c r="C53" s="338"/>
      <c r="D53" s="339"/>
      <c r="E53" s="118">
        <f>$M$3</f>
        <v>5</v>
      </c>
      <c r="F53" s="100">
        <v>1</v>
      </c>
      <c r="G53" s="93"/>
      <c r="H53" s="92"/>
      <c r="I53" s="92">
        <v>0.1</v>
      </c>
      <c r="J53" s="92">
        <v>12.26</v>
      </c>
      <c r="K53" s="94">
        <v>2</v>
      </c>
      <c r="L53" s="95"/>
      <c r="M53" s="96">
        <f>PRODUCT(F53:K53)</f>
        <v>2.452</v>
      </c>
    </row>
    <row r="54" spans="2:13" x14ac:dyDescent="0.25">
      <c r="B54" s="337" t="s">
        <v>113</v>
      </c>
      <c r="C54" s="338"/>
      <c r="D54" s="339"/>
      <c r="E54" s="118">
        <f>$M$3</f>
        <v>5</v>
      </c>
      <c r="F54" s="100">
        <v>1</v>
      </c>
      <c r="G54" s="93"/>
      <c r="H54" s="92">
        <v>4.16</v>
      </c>
      <c r="I54" s="92"/>
      <c r="J54" s="92">
        <v>0.17</v>
      </c>
      <c r="K54" s="94">
        <v>2</v>
      </c>
      <c r="L54" s="95"/>
      <c r="M54" s="96">
        <f>PRODUCT(F54:K54)</f>
        <v>1.4144000000000001</v>
      </c>
    </row>
    <row r="55" spans="2:13" x14ac:dyDescent="0.25">
      <c r="B55" s="337" t="s">
        <v>114</v>
      </c>
      <c r="C55" s="338"/>
      <c r="D55" s="339"/>
      <c r="E55" s="118">
        <f>$M$3</f>
        <v>5</v>
      </c>
      <c r="F55" s="100">
        <v>1</v>
      </c>
      <c r="G55" s="93">
        <v>20</v>
      </c>
      <c r="H55" s="92"/>
      <c r="I55" s="92"/>
      <c r="J55" s="92">
        <f>0.3242*2</f>
        <v>0.64839999999999998</v>
      </c>
      <c r="K55" s="94">
        <v>1</v>
      </c>
      <c r="L55" s="95"/>
      <c r="M55" s="96">
        <f>PRODUCT(F55:K55)</f>
        <v>12.968</v>
      </c>
    </row>
    <row r="56" spans="2:13" x14ac:dyDescent="0.25">
      <c r="B56" s="383" t="s">
        <v>121</v>
      </c>
      <c r="C56" s="384"/>
      <c r="D56" s="384"/>
      <c r="E56" s="120"/>
      <c r="F56" s="110"/>
      <c r="G56" s="111"/>
      <c r="H56" s="112"/>
      <c r="I56" s="113"/>
      <c r="J56" s="113"/>
      <c r="K56" s="114"/>
      <c r="L56" s="115"/>
      <c r="M56" s="121">
        <f>SUM(M57:M62)</f>
        <v>24.929276999999999</v>
      </c>
    </row>
    <row r="57" spans="2:13" x14ac:dyDescent="0.25">
      <c r="B57" s="337" t="s">
        <v>115</v>
      </c>
      <c r="C57" s="338"/>
      <c r="D57" s="339"/>
      <c r="E57" s="118">
        <f t="shared" ref="E57:E62" si="6">$M$3</f>
        <v>5</v>
      </c>
      <c r="F57" s="100">
        <v>1</v>
      </c>
      <c r="G57" s="93">
        <v>19.12</v>
      </c>
      <c r="H57" s="92">
        <v>2.04</v>
      </c>
      <c r="I57" s="92">
        <v>0.25</v>
      </c>
      <c r="J57" s="92"/>
      <c r="K57" s="94">
        <v>1</v>
      </c>
      <c r="L57" s="95"/>
      <c r="M57" s="96">
        <f t="shared" ref="M57:M62" si="7">PRODUCT(F57:K57)</f>
        <v>9.7512000000000008</v>
      </c>
    </row>
    <row r="58" spans="2:13" x14ac:dyDescent="0.25">
      <c r="B58" s="337" t="s">
        <v>116</v>
      </c>
      <c r="C58" s="338"/>
      <c r="D58" s="339"/>
      <c r="E58" s="118">
        <f t="shared" si="6"/>
        <v>5</v>
      </c>
      <c r="F58" s="100">
        <v>1</v>
      </c>
      <c r="G58" s="93"/>
      <c r="H58" s="92"/>
      <c r="I58" s="92">
        <v>0.3</v>
      </c>
      <c r="J58" s="92">
        <v>12.33</v>
      </c>
      <c r="K58" s="94">
        <v>2</v>
      </c>
      <c r="L58" s="95"/>
      <c r="M58" s="96">
        <f t="shared" si="7"/>
        <v>7.3979999999999997</v>
      </c>
    </row>
    <row r="59" spans="2:13" x14ac:dyDescent="0.25">
      <c r="B59" s="337" t="s">
        <v>120</v>
      </c>
      <c r="C59" s="338"/>
      <c r="D59" s="339"/>
      <c r="E59" s="118">
        <f t="shared" si="6"/>
        <v>5</v>
      </c>
      <c r="F59" s="100">
        <v>1</v>
      </c>
      <c r="G59" s="93">
        <f>(0.4+0.47)/2</f>
        <v>0.435</v>
      </c>
      <c r="H59" s="92">
        <v>2.5299999999999998</v>
      </c>
      <c r="I59" s="92">
        <v>7.0000000000000007E-2</v>
      </c>
      <c r="J59" s="92"/>
      <c r="K59" s="94">
        <v>2</v>
      </c>
      <c r="L59" s="95"/>
      <c r="M59" s="96">
        <f t="shared" si="7"/>
        <v>0.15407699999999999</v>
      </c>
    </row>
    <row r="60" spans="2:13" x14ac:dyDescent="0.25">
      <c r="B60" s="337" t="s">
        <v>117</v>
      </c>
      <c r="C60" s="338"/>
      <c r="D60" s="339"/>
      <c r="E60" s="118">
        <f t="shared" si="6"/>
        <v>5</v>
      </c>
      <c r="F60" s="100">
        <v>1</v>
      </c>
      <c r="G60" s="93">
        <v>0.3</v>
      </c>
      <c r="H60" s="92">
        <v>6</v>
      </c>
      <c r="I60" s="92">
        <v>0.3</v>
      </c>
      <c r="J60" s="92"/>
      <c r="K60" s="94">
        <v>2</v>
      </c>
      <c r="L60" s="95"/>
      <c r="M60" s="96">
        <f t="shared" si="7"/>
        <v>1.0799999999999998</v>
      </c>
    </row>
    <row r="61" spans="2:13" x14ac:dyDescent="0.25">
      <c r="B61" s="337" t="s">
        <v>118</v>
      </c>
      <c r="C61" s="338"/>
      <c r="D61" s="339"/>
      <c r="E61" s="118">
        <f t="shared" si="6"/>
        <v>5</v>
      </c>
      <c r="F61" s="100">
        <v>1</v>
      </c>
      <c r="G61" s="93"/>
      <c r="H61" s="92">
        <v>0.3</v>
      </c>
      <c r="I61" s="92"/>
      <c r="J61" s="92">
        <v>3.82</v>
      </c>
      <c r="K61" s="94">
        <v>4</v>
      </c>
      <c r="L61" s="95"/>
      <c r="M61" s="96">
        <f t="shared" si="7"/>
        <v>4.5839999999999996</v>
      </c>
    </row>
    <row r="62" spans="2:13" x14ac:dyDescent="0.25">
      <c r="B62" s="337" t="s">
        <v>119</v>
      </c>
      <c r="C62" s="338"/>
      <c r="D62" s="339"/>
      <c r="E62" s="118">
        <f t="shared" si="6"/>
        <v>5</v>
      </c>
      <c r="F62" s="100">
        <v>1</v>
      </c>
      <c r="G62" s="93"/>
      <c r="H62" s="92">
        <v>0.3</v>
      </c>
      <c r="I62" s="92"/>
      <c r="J62" s="92">
        <v>3.27</v>
      </c>
      <c r="K62" s="94">
        <v>2</v>
      </c>
      <c r="L62" s="95"/>
      <c r="M62" s="96">
        <f t="shared" si="7"/>
        <v>1.962</v>
      </c>
    </row>
    <row r="63" spans="2:13" x14ac:dyDescent="0.25">
      <c r="B63" s="385" t="s">
        <v>102</v>
      </c>
      <c r="C63" s="386"/>
      <c r="D63" s="386"/>
      <c r="E63" s="117"/>
      <c r="F63" s="101"/>
      <c r="G63" s="102"/>
      <c r="H63" s="103"/>
      <c r="I63" s="104"/>
      <c r="J63" s="104"/>
      <c r="K63" s="105"/>
      <c r="L63" s="106"/>
      <c r="M63" s="107"/>
    </row>
    <row r="64" spans="2:13" x14ac:dyDescent="0.25">
      <c r="B64" s="383" t="s">
        <v>90</v>
      </c>
      <c r="C64" s="384"/>
      <c r="D64" s="384"/>
      <c r="E64" s="120"/>
      <c r="F64" s="110"/>
      <c r="G64" s="111"/>
      <c r="H64" s="112"/>
      <c r="I64" s="113"/>
      <c r="J64" s="113"/>
      <c r="K64" s="114"/>
      <c r="L64" s="115"/>
      <c r="M64" s="121">
        <f>SUM(M65:M67)</f>
        <v>14.2408</v>
      </c>
    </row>
    <row r="65" spans="2:13" x14ac:dyDescent="0.25">
      <c r="B65" s="337" t="s">
        <v>112</v>
      </c>
      <c r="C65" s="338"/>
      <c r="D65" s="339"/>
      <c r="E65" s="118">
        <f>$M$3</f>
        <v>5</v>
      </c>
      <c r="F65" s="100">
        <v>1</v>
      </c>
      <c r="G65" s="93"/>
      <c r="H65" s="92"/>
      <c r="I65" s="92">
        <v>0.1</v>
      </c>
      <c r="J65" s="92">
        <v>12.26</v>
      </c>
      <c r="K65" s="94">
        <v>2</v>
      </c>
      <c r="L65" s="95"/>
      <c r="M65" s="96">
        <f>PRODUCT(F65:K65)</f>
        <v>2.452</v>
      </c>
    </row>
    <row r="66" spans="2:13" x14ac:dyDescent="0.25">
      <c r="B66" s="337" t="s">
        <v>113</v>
      </c>
      <c r="C66" s="338"/>
      <c r="D66" s="339"/>
      <c r="E66" s="118">
        <f>$M$3</f>
        <v>5</v>
      </c>
      <c r="F66" s="100">
        <v>1</v>
      </c>
      <c r="G66" s="93"/>
      <c r="H66" s="92">
        <v>4.16</v>
      </c>
      <c r="I66" s="92"/>
      <c r="J66" s="92">
        <v>0.17</v>
      </c>
      <c r="K66" s="94">
        <v>2</v>
      </c>
      <c r="L66" s="95"/>
      <c r="M66" s="96">
        <f>PRODUCT(F66:K66)</f>
        <v>1.4144000000000001</v>
      </c>
    </row>
    <row r="67" spans="2:13" x14ac:dyDescent="0.25">
      <c r="B67" s="337" t="s">
        <v>114</v>
      </c>
      <c r="C67" s="338"/>
      <c r="D67" s="339"/>
      <c r="E67" s="118">
        <f>$M$3</f>
        <v>5</v>
      </c>
      <c r="F67" s="100">
        <v>1</v>
      </c>
      <c r="G67" s="93">
        <v>16</v>
      </c>
      <c r="H67" s="92"/>
      <c r="I67" s="92"/>
      <c r="J67" s="92">
        <f>0.3242*2</f>
        <v>0.64839999999999998</v>
      </c>
      <c r="K67" s="94">
        <v>1</v>
      </c>
      <c r="L67" s="95"/>
      <c r="M67" s="96">
        <f>PRODUCT(F67:K67)</f>
        <v>10.3744</v>
      </c>
    </row>
    <row r="68" spans="2:13" x14ac:dyDescent="0.25">
      <c r="B68" s="383" t="s">
        <v>121</v>
      </c>
      <c r="C68" s="384"/>
      <c r="D68" s="384"/>
      <c r="E68" s="120"/>
      <c r="F68" s="110"/>
      <c r="G68" s="111"/>
      <c r="H68" s="112"/>
      <c r="I68" s="113"/>
      <c r="J68" s="113"/>
      <c r="K68" s="114"/>
      <c r="L68" s="115"/>
      <c r="M68" s="121">
        <f>SUM(M69:M74)</f>
        <v>22.889276999999996</v>
      </c>
    </row>
    <row r="69" spans="2:13" x14ac:dyDescent="0.25">
      <c r="B69" s="337" t="s">
        <v>115</v>
      </c>
      <c r="C69" s="338"/>
      <c r="D69" s="339"/>
      <c r="E69" s="118">
        <f t="shared" ref="E69:E74" si="8">$M$3</f>
        <v>5</v>
      </c>
      <c r="F69" s="100">
        <v>1</v>
      </c>
      <c r="G69" s="93">
        <v>15.12</v>
      </c>
      <c r="H69" s="92">
        <v>2.04</v>
      </c>
      <c r="I69" s="92">
        <v>0.25</v>
      </c>
      <c r="J69" s="92"/>
      <c r="K69" s="94">
        <v>1</v>
      </c>
      <c r="L69" s="95"/>
      <c r="M69" s="96">
        <f t="shared" ref="M69:M74" si="9">PRODUCT(F69:K69)</f>
        <v>7.7111999999999998</v>
      </c>
    </row>
    <row r="70" spans="2:13" x14ac:dyDescent="0.25">
      <c r="B70" s="337" t="s">
        <v>116</v>
      </c>
      <c r="C70" s="338"/>
      <c r="D70" s="339"/>
      <c r="E70" s="118">
        <f t="shared" si="8"/>
        <v>5</v>
      </c>
      <c r="F70" s="100">
        <v>1</v>
      </c>
      <c r="G70" s="93"/>
      <c r="H70" s="92"/>
      <c r="I70" s="92">
        <v>0.3</v>
      </c>
      <c r="J70" s="92">
        <v>12.33</v>
      </c>
      <c r="K70" s="94">
        <v>2</v>
      </c>
      <c r="L70" s="95"/>
      <c r="M70" s="96">
        <f t="shared" si="9"/>
        <v>7.3979999999999997</v>
      </c>
    </row>
    <row r="71" spans="2:13" x14ac:dyDescent="0.25">
      <c r="B71" s="337" t="s">
        <v>120</v>
      </c>
      <c r="C71" s="338"/>
      <c r="D71" s="339"/>
      <c r="E71" s="118">
        <f t="shared" si="8"/>
        <v>5</v>
      </c>
      <c r="F71" s="100">
        <v>1</v>
      </c>
      <c r="G71" s="93">
        <f>(0.4+0.47)/2</f>
        <v>0.435</v>
      </c>
      <c r="H71" s="92">
        <v>2.5299999999999998</v>
      </c>
      <c r="I71" s="92">
        <v>7.0000000000000007E-2</v>
      </c>
      <c r="J71" s="92"/>
      <c r="K71" s="94">
        <v>2</v>
      </c>
      <c r="L71" s="95"/>
      <c r="M71" s="96">
        <f t="shared" si="9"/>
        <v>0.15407699999999999</v>
      </c>
    </row>
    <row r="72" spans="2:13" x14ac:dyDescent="0.25">
      <c r="B72" s="337" t="s">
        <v>117</v>
      </c>
      <c r="C72" s="338"/>
      <c r="D72" s="339"/>
      <c r="E72" s="118">
        <f t="shared" si="8"/>
        <v>5</v>
      </c>
      <c r="F72" s="100">
        <v>1</v>
      </c>
      <c r="G72" s="93">
        <v>0.3</v>
      </c>
      <c r="H72" s="92">
        <v>6</v>
      </c>
      <c r="I72" s="92">
        <v>0.3</v>
      </c>
      <c r="J72" s="92"/>
      <c r="K72" s="94">
        <v>2</v>
      </c>
      <c r="L72" s="95"/>
      <c r="M72" s="96">
        <f t="shared" si="9"/>
        <v>1.0799999999999998</v>
      </c>
    </row>
    <row r="73" spans="2:13" x14ac:dyDescent="0.25">
      <c r="B73" s="337" t="s">
        <v>118</v>
      </c>
      <c r="C73" s="338"/>
      <c r="D73" s="339"/>
      <c r="E73" s="118">
        <f t="shared" si="8"/>
        <v>5</v>
      </c>
      <c r="F73" s="100">
        <v>1</v>
      </c>
      <c r="G73" s="93"/>
      <c r="H73" s="92">
        <v>0.3</v>
      </c>
      <c r="I73" s="92"/>
      <c r="J73" s="92">
        <v>3.82</v>
      </c>
      <c r="K73" s="94">
        <v>4</v>
      </c>
      <c r="L73" s="95"/>
      <c r="M73" s="96">
        <f t="shared" si="9"/>
        <v>4.5839999999999996</v>
      </c>
    </row>
    <row r="74" spans="2:13" x14ac:dyDescent="0.25">
      <c r="B74" s="337" t="s">
        <v>119</v>
      </c>
      <c r="C74" s="338"/>
      <c r="D74" s="339"/>
      <c r="E74" s="118">
        <f t="shared" si="8"/>
        <v>5</v>
      </c>
      <c r="F74" s="100">
        <v>1</v>
      </c>
      <c r="G74" s="93"/>
      <c r="H74" s="92">
        <v>0.3</v>
      </c>
      <c r="I74" s="92"/>
      <c r="J74" s="92">
        <v>3.27</v>
      </c>
      <c r="K74" s="94">
        <v>2</v>
      </c>
      <c r="L74" s="95"/>
      <c r="M74" s="96">
        <f t="shared" si="9"/>
        <v>1.962</v>
      </c>
    </row>
    <row r="75" spans="2:13" x14ac:dyDescent="0.25">
      <c r="B75" s="385" t="s">
        <v>103</v>
      </c>
      <c r="C75" s="386"/>
      <c r="D75" s="386"/>
      <c r="E75" s="117"/>
      <c r="F75" s="101"/>
      <c r="G75" s="102"/>
      <c r="H75" s="103"/>
      <c r="I75" s="104"/>
      <c r="J75" s="104"/>
      <c r="K75" s="105"/>
      <c r="L75" s="106"/>
      <c r="M75" s="107"/>
    </row>
    <row r="76" spans="2:13" x14ac:dyDescent="0.25">
      <c r="B76" s="383" t="s">
        <v>90</v>
      </c>
      <c r="C76" s="384"/>
      <c r="D76" s="384"/>
      <c r="E76" s="120"/>
      <c r="F76" s="110"/>
      <c r="G76" s="111"/>
      <c r="H76" s="112"/>
      <c r="I76" s="113"/>
      <c r="J76" s="113"/>
      <c r="K76" s="114"/>
      <c r="L76" s="115"/>
      <c r="M76" s="121">
        <f>SUM(M77:M79)</f>
        <v>27.208799999999997</v>
      </c>
    </row>
    <row r="77" spans="2:13" x14ac:dyDescent="0.25">
      <c r="B77" s="337" t="s">
        <v>112</v>
      </c>
      <c r="C77" s="338"/>
      <c r="D77" s="339"/>
      <c r="E77" s="118">
        <f>$M$3</f>
        <v>5</v>
      </c>
      <c r="F77" s="100">
        <v>1</v>
      </c>
      <c r="G77" s="93"/>
      <c r="H77" s="92"/>
      <c r="I77" s="92">
        <v>0.1</v>
      </c>
      <c r="J77" s="92">
        <v>12.26</v>
      </c>
      <c r="K77" s="94">
        <v>2</v>
      </c>
      <c r="L77" s="95"/>
      <c r="M77" s="96">
        <f>PRODUCT(F77:K77)</f>
        <v>2.452</v>
      </c>
    </row>
    <row r="78" spans="2:13" x14ac:dyDescent="0.25">
      <c r="B78" s="337" t="s">
        <v>113</v>
      </c>
      <c r="C78" s="338"/>
      <c r="D78" s="339"/>
      <c r="E78" s="118">
        <f>$M$3</f>
        <v>5</v>
      </c>
      <c r="F78" s="100">
        <v>1</v>
      </c>
      <c r="G78" s="93"/>
      <c r="H78" s="92">
        <v>4.16</v>
      </c>
      <c r="I78" s="92"/>
      <c r="J78" s="92">
        <v>0.17</v>
      </c>
      <c r="K78" s="94">
        <v>2</v>
      </c>
      <c r="L78" s="95"/>
      <c r="M78" s="96">
        <f>PRODUCT(F78:K78)</f>
        <v>1.4144000000000001</v>
      </c>
    </row>
    <row r="79" spans="2:13" x14ac:dyDescent="0.25">
      <c r="B79" s="337" t="s">
        <v>114</v>
      </c>
      <c r="C79" s="338"/>
      <c r="D79" s="339"/>
      <c r="E79" s="118">
        <f>$M$3</f>
        <v>5</v>
      </c>
      <c r="F79" s="100">
        <v>1</v>
      </c>
      <c r="G79" s="93">
        <v>36</v>
      </c>
      <c r="H79" s="92"/>
      <c r="I79" s="92"/>
      <c r="J79" s="92">
        <f>0.3242*2</f>
        <v>0.64839999999999998</v>
      </c>
      <c r="K79" s="94">
        <v>1</v>
      </c>
      <c r="L79" s="95"/>
      <c r="M79" s="96">
        <f>PRODUCT(F79:K79)</f>
        <v>23.342399999999998</v>
      </c>
    </row>
    <row r="80" spans="2:13" x14ac:dyDescent="0.25">
      <c r="B80" s="383" t="s">
        <v>121</v>
      </c>
      <c r="C80" s="384"/>
      <c r="D80" s="384"/>
      <c r="E80" s="120"/>
      <c r="F80" s="110"/>
      <c r="G80" s="111"/>
      <c r="H80" s="112"/>
      <c r="I80" s="113"/>
      <c r="J80" s="113"/>
      <c r="K80" s="114"/>
      <c r="L80" s="115"/>
      <c r="M80" s="121">
        <f>SUM(M81:M86)</f>
        <v>33.089276999999996</v>
      </c>
    </row>
    <row r="81" spans="2:13" x14ac:dyDescent="0.25">
      <c r="B81" s="337" t="s">
        <v>115</v>
      </c>
      <c r="C81" s="338"/>
      <c r="D81" s="339"/>
      <c r="E81" s="118">
        <f t="shared" ref="E81:E86" si="10">$M$3</f>
        <v>5</v>
      </c>
      <c r="F81" s="100">
        <v>1</v>
      </c>
      <c r="G81" s="93">
        <v>35.119999999999997</v>
      </c>
      <c r="H81" s="92">
        <v>2.04</v>
      </c>
      <c r="I81" s="92">
        <v>0.25</v>
      </c>
      <c r="J81" s="92"/>
      <c r="K81" s="94">
        <v>1</v>
      </c>
      <c r="L81" s="95"/>
      <c r="M81" s="96">
        <f t="shared" ref="M81:M86" si="11">PRODUCT(F81:K81)</f>
        <v>17.911199999999997</v>
      </c>
    </row>
    <row r="82" spans="2:13" x14ac:dyDescent="0.25">
      <c r="B82" s="337" t="s">
        <v>116</v>
      </c>
      <c r="C82" s="338"/>
      <c r="D82" s="339"/>
      <c r="E82" s="118">
        <f t="shared" si="10"/>
        <v>5</v>
      </c>
      <c r="F82" s="100">
        <v>1</v>
      </c>
      <c r="G82" s="93"/>
      <c r="H82" s="92"/>
      <c r="I82" s="92">
        <v>0.3</v>
      </c>
      <c r="J82" s="92">
        <v>12.33</v>
      </c>
      <c r="K82" s="94">
        <v>2</v>
      </c>
      <c r="L82" s="95"/>
      <c r="M82" s="96">
        <f t="shared" si="11"/>
        <v>7.3979999999999997</v>
      </c>
    </row>
    <row r="83" spans="2:13" x14ac:dyDescent="0.25">
      <c r="B83" s="337" t="s">
        <v>120</v>
      </c>
      <c r="C83" s="338"/>
      <c r="D83" s="339"/>
      <c r="E83" s="118">
        <f t="shared" si="10"/>
        <v>5</v>
      </c>
      <c r="F83" s="100">
        <v>1</v>
      </c>
      <c r="G83" s="93">
        <f>(0.4+0.47)/2</f>
        <v>0.435</v>
      </c>
      <c r="H83" s="92">
        <v>2.5299999999999998</v>
      </c>
      <c r="I83" s="92">
        <v>7.0000000000000007E-2</v>
      </c>
      <c r="J83" s="92"/>
      <c r="K83" s="94">
        <v>2</v>
      </c>
      <c r="L83" s="95"/>
      <c r="M83" s="96">
        <f t="shared" si="11"/>
        <v>0.15407699999999999</v>
      </c>
    </row>
    <row r="84" spans="2:13" x14ac:dyDescent="0.25">
      <c r="B84" s="337" t="s">
        <v>117</v>
      </c>
      <c r="C84" s="338"/>
      <c r="D84" s="339"/>
      <c r="E84" s="118">
        <f t="shared" si="10"/>
        <v>5</v>
      </c>
      <c r="F84" s="100">
        <v>1</v>
      </c>
      <c r="G84" s="93">
        <v>0.3</v>
      </c>
      <c r="H84" s="92">
        <v>6</v>
      </c>
      <c r="I84" s="92">
        <v>0.3</v>
      </c>
      <c r="J84" s="92"/>
      <c r="K84" s="94">
        <v>2</v>
      </c>
      <c r="L84" s="95"/>
      <c r="M84" s="96">
        <f t="shared" si="11"/>
        <v>1.0799999999999998</v>
      </c>
    </row>
    <row r="85" spans="2:13" x14ac:dyDescent="0.25">
      <c r="B85" s="337" t="s">
        <v>118</v>
      </c>
      <c r="C85" s="338"/>
      <c r="D85" s="339"/>
      <c r="E85" s="118">
        <f t="shared" si="10"/>
        <v>5</v>
      </c>
      <c r="F85" s="100">
        <v>1</v>
      </c>
      <c r="G85" s="93"/>
      <c r="H85" s="92">
        <v>0.3</v>
      </c>
      <c r="I85" s="92"/>
      <c r="J85" s="92">
        <v>3.82</v>
      </c>
      <c r="K85" s="94">
        <v>4</v>
      </c>
      <c r="L85" s="95"/>
      <c r="M85" s="96">
        <f t="shared" si="11"/>
        <v>4.5839999999999996</v>
      </c>
    </row>
    <row r="86" spans="2:13" x14ac:dyDescent="0.25">
      <c r="B86" s="337" t="s">
        <v>119</v>
      </c>
      <c r="C86" s="338"/>
      <c r="D86" s="339"/>
      <c r="E86" s="118">
        <f t="shared" si="10"/>
        <v>5</v>
      </c>
      <c r="F86" s="100">
        <v>1</v>
      </c>
      <c r="G86" s="93"/>
      <c r="H86" s="92">
        <v>0.3</v>
      </c>
      <c r="I86" s="92"/>
      <c r="J86" s="92">
        <v>3.27</v>
      </c>
      <c r="K86" s="94">
        <v>2</v>
      </c>
      <c r="L86" s="95"/>
      <c r="M86" s="96">
        <f t="shared" si="11"/>
        <v>1.962</v>
      </c>
    </row>
    <row r="87" spans="2:13" x14ac:dyDescent="0.25">
      <c r="B87" s="344" t="s">
        <v>96</v>
      </c>
      <c r="C87" s="345"/>
      <c r="D87" s="387"/>
      <c r="E87" s="116"/>
      <c r="F87" s="97"/>
      <c r="G87" s="98"/>
      <c r="H87" s="98"/>
      <c r="I87" s="98"/>
      <c r="J87" s="98"/>
      <c r="K87" s="89"/>
      <c r="L87" s="90"/>
      <c r="M87" s="91"/>
    </row>
    <row r="88" spans="2:13" x14ac:dyDescent="0.25">
      <c r="B88" s="385" t="s">
        <v>97</v>
      </c>
      <c r="C88" s="386"/>
      <c r="D88" s="386"/>
      <c r="E88" s="117"/>
      <c r="F88" s="101"/>
      <c r="G88" s="102"/>
      <c r="H88" s="103"/>
      <c r="I88" s="104"/>
      <c r="J88" s="104"/>
      <c r="K88" s="105"/>
      <c r="L88" s="106"/>
      <c r="M88" s="107"/>
    </row>
    <row r="89" spans="2:13" x14ac:dyDescent="0.25">
      <c r="B89" s="383" t="s">
        <v>90</v>
      </c>
      <c r="C89" s="384"/>
      <c r="D89" s="384"/>
      <c r="E89" s="120"/>
      <c r="F89" s="110"/>
      <c r="G89" s="111"/>
      <c r="H89" s="112"/>
      <c r="I89" s="113"/>
      <c r="J89" s="113"/>
      <c r="K89" s="114"/>
      <c r="L89" s="115"/>
      <c r="M89" s="121">
        <f>SUM(M90:M91)</f>
        <v>6.5200000000000014</v>
      </c>
    </row>
    <row r="90" spans="2:13" x14ac:dyDescent="0.25">
      <c r="B90" s="337" t="s">
        <v>122</v>
      </c>
      <c r="C90" s="338"/>
      <c r="D90" s="339"/>
      <c r="E90" s="118">
        <f>$M$3</f>
        <v>5</v>
      </c>
      <c r="F90" s="100">
        <v>1</v>
      </c>
      <c r="G90" s="93"/>
      <c r="H90" s="92"/>
      <c r="I90" s="92">
        <v>0.1</v>
      </c>
      <c r="J90" s="92">
        <v>32.520000000000003</v>
      </c>
      <c r="K90" s="94">
        <v>1</v>
      </c>
      <c r="L90" s="95"/>
      <c r="M90" s="96">
        <f>PRODUCT(F90:K90)</f>
        <v>3.2520000000000007</v>
      </c>
    </row>
    <row r="91" spans="2:13" x14ac:dyDescent="0.25">
      <c r="B91" s="388" t="s">
        <v>123</v>
      </c>
      <c r="C91" s="389"/>
      <c r="D91" s="390"/>
      <c r="E91" s="118">
        <f>$M$3</f>
        <v>5</v>
      </c>
      <c r="F91" s="100">
        <v>1</v>
      </c>
      <c r="G91" s="93"/>
      <c r="H91" s="92"/>
      <c r="I91" s="92">
        <v>0.1</v>
      </c>
      <c r="J91" s="92">
        <v>32.68</v>
      </c>
      <c r="K91" s="94">
        <v>1</v>
      </c>
      <c r="L91" s="95"/>
      <c r="M91" s="96">
        <f>PRODUCT(F91:K91)</f>
        <v>3.2680000000000002</v>
      </c>
    </row>
    <row r="92" spans="2:13" x14ac:dyDescent="0.25">
      <c r="B92" s="383" t="s">
        <v>121</v>
      </c>
      <c r="C92" s="384"/>
      <c r="D92" s="384"/>
      <c r="E92" s="120"/>
      <c r="F92" s="110"/>
      <c r="G92" s="111"/>
      <c r="H92" s="112"/>
      <c r="I92" s="113"/>
      <c r="J92" s="113"/>
      <c r="K92" s="114"/>
      <c r="L92" s="115"/>
      <c r="M92" s="121">
        <f>SUM(M93:M102)</f>
        <v>127.7521</v>
      </c>
    </row>
    <row r="93" spans="2:13" x14ac:dyDescent="0.25">
      <c r="B93" s="337" t="s">
        <v>124</v>
      </c>
      <c r="C93" s="338"/>
      <c r="D93" s="339"/>
      <c r="E93" s="118">
        <f t="shared" ref="E93:E102" si="12">$M$3</f>
        <v>5</v>
      </c>
      <c r="F93" s="100">
        <v>1</v>
      </c>
      <c r="G93" s="93">
        <v>14.92</v>
      </c>
      <c r="H93" s="92"/>
      <c r="I93" s="92"/>
      <c r="J93" s="92">
        <v>2.42</v>
      </c>
      <c r="K93" s="94">
        <v>1</v>
      </c>
      <c r="L93" s="95"/>
      <c r="M93" s="96">
        <f t="shared" ref="M93:M102" si="13">PRODUCT(F93:K93)</f>
        <v>36.106400000000001</v>
      </c>
    </row>
    <row r="94" spans="2:13" x14ac:dyDescent="0.25">
      <c r="B94" s="337" t="s">
        <v>125</v>
      </c>
      <c r="C94" s="338"/>
      <c r="D94" s="339"/>
      <c r="E94" s="118">
        <f t="shared" si="12"/>
        <v>5</v>
      </c>
      <c r="F94" s="100">
        <v>1</v>
      </c>
      <c r="G94" s="93">
        <v>11.1</v>
      </c>
      <c r="H94" s="92"/>
      <c r="I94" s="92"/>
      <c r="J94" s="92">
        <v>0.12</v>
      </c>
      <c r="K94" s="94">
        <v>1</v>
      </c>
      <c r="L94" s="95"/>
      <c r="M94" s="96">
        <f t="shared" si="13"/>
        <v>1.3319999999999999</v>
      </c>
    </row>
    <row r="95" spans="2:13" x14ac:dyDescent="0.25">
      <c r="B95" s="337" t="s">
        <v>126</v>
      </c>
      <c r="C95" s="338"/>
      <c r="D95" s="339"/>
      <c r="E95" s="118">
        <f t="shared" si="12"/>
        <v>5</v>
      </c>
      <c r="F95" s="100">
        <v>1</v>
      </c>
      <c r="G95" s="93"/>
      <c r="H95" s="92"/>
      <c r="I95" s="92">
        <f>(3+3.1)/2</f>
        <v>3.05</v>
      </c>
      <c r="J95" s="92">
        <v>4.1100000000000003</v>
      </c>
      <c r="K95" s="94">
        <v>1</v>
      </c>
      <c r="L95" s="95"/>
      <c r="M95" s="96">
        <f t="shared" si="13"/>
        <v>12.535500000000001</v>
      </c>
    </row>
    <row r="96" spans="2:13" x14ac:dyDescent="0.25">
      <c r="B96" s="337" t="s">
        <v>127</v>
      </c>
      <c r="C96" s="338"/>
      <c r="D96" s="339"/>
      <c r="E96" s="118">
        <f t="shared" si="12"/>
        <v>5</v>
      </c>
      <c r="F96" s="100">
        <v>1</v>
      </c>
      <c r="G96" s="93"/>
      <c r="H96" s="92"/>
      <c r="I96" s="92">
        <f>(2.95+3.02)/2</f>
        <v>2.9850000000000003</v>
      </c>
      <c r="J96" s="92">
        <v>3.56</v>
      </c>
      <c r="K96" s="94">
        <v>1</v>
      </c>
      <c r="L96" s="95"/>
      <c r="M96" s="96">
        <f t="shared" si="13"/>
        <v>10.626600000000002</v>
      </c>
    </row>
    <row r="97" spans="2:13" x14ac:dyDescent="0.25">
      <c r="B97" s="337" t="s">
        <v>132</v>
      </c>
      <c r="C97" s="338"/>
      <c r="D97" s="339"/>
      <c r="E97" s="118">
        <f t="shared" si="12"/>
        <v>5</v>
      </c>
      <c r="F97" s="100">
        <v>1</v>
      </c>
      <c r="G97" s="93">
        <v>0.7</v>
      </c>
      <c r="H97" s="92">
        <v>1.1499999999999999</v>
      </c>
      <c r="I97" s="92">
        <v>0.52</v>
      </c>
      <c r="J97" s="92"/>
      <c r="K97" s="94">
        <v>6</v>
      </c>
      <c r="L97" s="95"/>
      <c r="M97" s="96">
        <f t="shared" si="13"/>
        <v>2.5115999999999996</v>
      </c>
    </row>
    <row r="98" spans="2:13" x14ac:dyDescent="0.25">
      <c r="B98" s="337" t="s">
        <v>128</v>
      </c>
      <c r="C98" s="338"/>
      <c r="D98" s="339"/>
      <c r="E98" s="118">
        <f t="shared" si="12"/>
        <v>5</v>
      </c>
      <c r="F98" s="100">
        <v>1</v>
      </c>
      <c r="G98" s="93">
        <v>14.96</v>
      </c>
      <c r="H98" s="92"/>
      <c r="I98" s="92"/>
      <c r="J98" s="92">
        <v>2.46</v>
      </c>
      <c r="K98" s="94">
        <v>1</v>
      </c>
      <c r="L98" s="95"/>
      <c r="M98" s="96">
        <f t="shared" si="13"/>
        <v>36.801600000000001</v>
      </c>
    </row>
    <row r="99" spans="2:13" x14ac:dyDescent="0.25">
      <c r="B99" s="337" t="s">
        <v>129</v>
      </c>
      <c r="C99" s="338"/>
      <c r="D99" s="339"/>
      <c r="E99" s="118">
        <f t="shared" si="12"/>
        <v>5</v>
      </c>
      <c r="F99" s="100">
        <v>1</v>
      </c>
      <c r="G99" s="93">
        <v>11.1</v>
      </c>
      <c r="H99" s="92"/>
      <c r="I99" s="92"/>
      <c r="J99" s="92">
        <v>0.12</v>
      </c>
      <c r="K99" s="94">
        <v>1</v>
      </c>
      <c r="L99" s="95"/>
      <c r="M99" s="96">
        <f t="shared" si="13"/>
        <v>1.3319999999999999</v>
      </c>
    </row>
    <row r="100" spans="2:13" x14ac:dyDescent="0.25">
      <c r="B100" s="337" t="s">
        <v>130</v>
      </c>
      <c r="C100" s="338"/>
      <c r="D100" s="339"/>
      <c r="E100" s="118">
        <f t="shared" si="12"/>
        <v>5</v>
      </c>
      <c r="F100" s="100">
        <v>1</v>
      </c>
      <c r="G100" s="93"/>
      <c r="H100" s="92"/>
      <c r="I100" s="92">
        <f>(3.03+3.13)/2</f>
        <v>3.08</v>
      </c>
      <c r="J100" s="92">
        <v>4.0999999999999996</v>
      </c>
      <c r="K100" s="94">
        <v>1</v>
      </c>
      <c r="L100" s="95"/>
      <c r="M100" s="96">
        <f t="shared" si="13"/>
        <v>12.627999999999998</v>
      </c>
    </row>
    <row r="101" spans="2:13" x14ac:dyDescent="0.25">
      <c r="B101" s="337" t="s">
        <v>131</v>
      </c>
      <c r="C101" s="338"/>
      <c r="D101" s="339"/>
      <c r="E101" s="118">
        <f t="shared" si="12"/>
        <v>5</v>
      </c>
      <c r="F101" s="100">
        <v>1</v>
      </c>
      <c r="G101" s="93"/>
      <c r="H101" s="92"/>
      <c r="I101" s="92">
        <f>(3.1+3.18)/2</f>
        <v>3.14</v>
      </c>
      <c r="J101" s="92">
        <v>3.62</v>
      </c>
      <c r="K101" s="94">
        <v>1</v>
      </c>
      <c r="L101" s="95"/>
      <c r="M101" s="96">
        <f t="shared" si="13"/>
        <v>11.366800000000001</v>
      </c>
    </row>
    <row r="102" spans="2:13" x14ac:dyDescent="0.25">
      <c r="B102" s="337" t="s">
        <v>133</v>
      </c>
      <c r="C102" s="338"/>
      <c r="D102" s="339"/>
      <c r="E102" s="118">
        <f t="shared" si="12"/>
        <v>5</v>
      </c>
      <c r="F102" s="100">
        <v>1</v>
      </c>
      <c r="G102" s="93">
        <v>0.7</v>
      </c>
      <c r="H102" s="92">
        <v>1.1499999999999999</v>
      </c>
      <c r="I102" s="92">
        <v>0.52</v>
      </c>
      <c r="J102" s="92"/>
      <c r="K102" s="94">
        <v>6</v>
      </c>
      <c r="L102" s="95"/>
      <c r="M102" s="96">
        <f t="shared" si="13"/>
        <v>2.5115999999999996</v>
      </c>
    </row>
    <row r="103" spans="2:13" x14ac:dyDescent="0.25">
      <c r="B103" s="383" t="s">
        <v>134</v>
      </c>
      <c r="C103" s="384"/>
      <c r="D103" s="384"/>
      <c r="E103" s="120"/>
      <c r="F103" s="110"/>
      <c r="G103" s="111"/>
      <c r="H103" s="112"/>
      <c r="I103" s="113"/>
      <c r="J103" s="113"/>
      <c r="K103" s="114"/>
      <c r="L103" s="115"/>
      <c r="M103" s="121">
        <f>SUM(M104:M117)</f>
        <v>218.60219999999998</v>
      </c>
    </row>
    <row r="104" spans="2:13" x14ac:dyDescent="0.25">
      <c r="B104" s="337" t="s">
        <v>135</v>
      </c>
      <c r="C104" s="338"/>
      <c r="D104" s="339"/>
      <c r="E104" s="118">
        <f t="shared" ref="E104:E117" si="14">$M$3</f>
        <v>5</v>
      </c>
      <c r="F104" s="100">
        <v>1</v>
      </c>
      <c r="G104" s="93">
        <v>11.1</v>
      </c>
      <c r="H104" s="92"/>
      <c r="I104" s="92">
        <v>2.71</v>
      </c>
      <c r="J104" s="92"/>
      <c r="K104" s="94">
        <v>1</v>
      </c>
      <c r="L104" s="95"/>
      <c r="M104" s="96">
        <f t="shared" ref="M104:M117" si="15">PRODUCT(F104:K104)</f>
        <v>30.081</v>
      </c>
    </row>
    <row r="105" spans="2:13" x14ac:dyDescent="0.25">
      <c r="B105" s="337" t="s">
        <v>137</v>
      </c>
      <c r="C105" s="338"/>
      <c r="D105" s="339"/>
      <c r="E105" s="118">
        <f t="shared" si="14"/>
        <v>5</v>
      </c>
      <c r="F105" s="100">
        <v>1</v>
      </c>
      <c r="G105" s="93">
        <v>14.92</v>
      </c>
      <c r="H105" s="92"/>
      <c r="I105" s="92">
        <v>1.05</v>
      </c>
      <c r="J105" s="92"/>
      <c r="K105" s="94">
        <v>1</v>
      </c>
      <c r="L105" s="95"/>
      <c r="M105" s="96">
        <f t="shared" si="15"/>
        <v>15.666</v>
      </c>
    </row>
    <row r="106" spans="2:13" x14ac:dyDescent="0.25">
      <c r="B106" s="337" t="s">
        <v>126</v>
      </c>
      <c r="C106" s="338"/>
      <c r="D106" s="339"/>
      <c r="E106" s="118">
        <f t="shared" si="14"/>
        <v>5</v>
      </c>
      <c r="F106" s="100">
        <v>1</v>
      </c>
      <c r="G106" s="93">
        <f>3.06+1.2+4.18</f>
        <v>8.44</v>
      </c>
      <c r="H106" s="92"/>
      <c r="I106" s="92">
        <f>(3+3.1)/2</f>
        <v>3.05</v>
      </c>
      <c r="J106" s="92"/>
      <c r="K106" s="94">
        <v>1</v>
      </c>
      <c r="L106" s="95"/>
      <c r="M106" s="96">
        <f t="shared" si="15"/>
        <v>25.741999999999997</v>
      </c>
    </row>
    <row r="107" spans="2:13" x14ac:dyDescent="0.25">
      <c r="B107" s="337" t="s">
        <v>136</v>
      </c>
      <c r="C107" s="338"/>
      <c r="D107" s="339"/>
      <c r="E107" s="118">
        <f t="shared" si="14"/>
        <v>5</v>
      </c>
      <c r="F107" s="100">
        <v>1</v>
      </c>
      <c r="G107" s="93">
        <f>1.17</f>
        <v>1.17</v>
      </c>
      <c r="H107" s="92"/>
      <c r="I107" s="92">
        <v>1.05</v>
      </c>
      <c r="J107" s="92"/>
      <c r="K107" s="94">
        <v>1</v>
      </c>
      <c r="L107" s="95"/>
      <c r="M107" s="96">
        <f t="shared" si="15"/>
        <v>1.2284999999999999</v>
      </c>
    </row>
    <row r="108" spans="2:13" x14ac:dyDescent="0.25">
      <c r="B108" s="337" t="s">
        <v>127</v>
      </c>
      <c r="C108" s="338"/>
      <c r="D108" s="339"/>
      <c r="E108" s="118">
        <f t="shared" si="14"/>
        <v>5</v>
      </c>
      <c r="F108" s="100">
        <v>1</v>
      </c>
      <c r="G108" s="93">
        <f>3.06+1.2+4.18</f>
        <v>8.44</v>
      </c>
      <c r="H108" s="92"/>
      <c r="I108" s="92">
        <f>(2.95+3.02)/2</f>
        <v>2.9850000000000003</v>
      </c>
      <c r="J108" s="92"/>
      <c r="K108" s="94">
        <v>1</v>
      </c>
      <c r="L108" s="95"/>
      <c r="M108" s="96">
        <f t="shared" si="15"/>
        <v>25.1934</v>
      </c>
    </row>
    <row r="109" spans="2:13" x14ac:dyDescent="0.25">
      <c r="B109" s="337" t="s">
        <v>141</v>
      </c>
      <c r="C109" s="338"/>
      <c r="D109" s="339"/>
      <c r="E109" s="118">
        <f t="shared" si="14"/>
        <v>5</v>
      </c>
      <c r="F109" s="100">
        <v>1</v>
      </c>
      <c r="G109" s="93">
        <f>1.17</f>
        <v>1.17</v>
      </c>
      <c r="H109" s="92"/>
      <c r="I109" s="92">
        <v>1.05</v>
      </c>
      <c r="J109" s="92"/>
      <c r="K109" s="94">
        <v>1</v>
      </c>
      <c r="L109" s="95"/>
      <c r="M109" s="96">
        <f t="shared" si="15"/>
        <v>1.2284999999999999</v>
      </c>
    </row>
    <row r="110" spans="2:13" x14ac:dyDescent="0.25">
      <c r="B110" s="337" t="s">
        <v>132</v>
      </c>
      <c r="C110" s="338"/>
      <c r="D110" s="339"/>
      <c r="E110" s="118">
        <f t="shared" si="14"/>
        <v>5</v>
      </c>
      <c r="F110" s="100">
        <v>1</v>
      </c>
      <c r="G110" s="93">
        <f>0.7+2*1.15</f>
        <v>3</v>
      </c>
      <c r="H110" s="92"/>
      <c r="I110" s="92">
        <v>0.52</v>
      </c>
      <c r="J110" s="92"/>
      <c r="K110" s="94">
        <v>6</v>
      </c>
      <c r="L110" s="95"/>
      <c r="M110" s="96">
        <f t="shared" si="15"/>
        <v>9.36</v>
      </c>
    </row>
    <row r="111" spans="2:13" x14ac:dyDescent="0.25">
      <c r="B111" s="337" t="s">
        <v>138</v>
      </c>
      <c r="C111" s="338"/>
      <c r="D111" s="339"/>
      <c r="E111" s="118">
        <f t="shared" si="14"/>
        <v>5</v>
      </c>
      <c r="F111" s="100">
        <v>1</v>
      </c>
      <c r="G111" s="93">
        <v>11.1</v>
      </c>
      <c r="H111" s="92"/>
      <c r="I111" s="92">
        <v>2.71</v>
      </c>
      <c r="J111" s="92"/>
      <c r="K111" s="94">
        <v>1</v>
      </c>
      <c r="L111" s="95"/>
      <c r="M111" s="96">
        <f t="shared" si="15"/>
        <v>30.081</v>
      </c>
    </row>
    <row r="112" spans="2:13" x14ac:dyDescent="0.25">
      <c r="B112" s="337" t="s">
        <v>139</v>
      </c>
      <c r="C112" s="338"/>
      <c r="D112" s="339"/>
      <c r="E112" s="118">
        <f t="shared" si="14"/>
        <v>5</v>
      </c>
      <c r="F112" s="100">
        <v>1</v>
      </c>
      <c r="G112" s="93">
        <v>14.96</v>
      </c>
      <c r="H112" s="92"/>
      <c r="I112" s="92">
        <v>1.05</v>
      </c>
      <c r="J112" s="92"/>
      <c r="K112" s="94">
        <v>1</v>
      </c>
      <c r="L112" s="95"/>
      <c r="M112" s="96">
        <f t="shared" si="15"/>
        <v>15.708000000000002</v>
      </c>
    </row>
    <row r="113" spans="2:13" x14ac:dyDescent="0.25">
      <c r="B113" s="337" t="s">
        <v>130</v>
      </c>
      <c r="C113" s="338"/>
      <c r="D113" s="339"/>
      <c r="E113" s="118">
        <f t="shared" si="14"/>
        <v>5</v>
      </c>
      <c r="F113" s="100">
        <v>1</v>
      </c>
      <c r="G113" s="93">
        <f>3.06+1.2+4.18</f>
        <v>8.44</v>
      </c>
      <c r="H113" s="92"/>
      <c r="I113" s="92">
        <f>(3.03+3.13)/2</f>
        <v>3.08</v>
      </c>
      <c r="J113" s="92"/>
      <c r="K113" s="94">
        <v>1</v>
      </c>
      <c r="L113" s="95"/>
      <c r="M113" s="96">
        <f t="shared" si="15"/>
        <v>25.995200000000001</v>
      </c>
    </row>
    <row r="114" spans="2:13" x14ac:dyDescent="0.25">
      <c r="B114" s="337" t="s">
        <v>140</v>
      </c>
      <c r="C114" s="338"/>
      <c r="D114" s="339"/>
      <c r="E114" s="118">
        <f t="shared" si="14"/>
        <v>5</v>
      </c>
      <c r="F114" s="100">
        <v>1</v>
      </c>
      <c r="G114" s="93">
        <f>1.17</f>
        <v>1.17</v>
      </c>
      <c r="H114" s="92"/>
      <c r="I114" s="92">
        <v>1.05</v>
      </c>
      <c r="J114" s="92"/>
      <c r="K114" s="94">
        <v>1</v>
      </c>
      <c r="L114" s="95"/>
      <c r="M114" s="96">
        <f t="shared" si="15"/>
        <v>1.2284999999999999</v>
      </c>
    </row>
    <row r="115" spans="2:13" x14ac:dyDescent="0.25">
      <c r="B115" s="337" t="s">
        <v>131</v>
      </c>
      <c r="C115" s="338"/>
      <c r="D115" s="339"/>
      <c r="E115" s="118">
        <f t="shared" si="14"/>
        <v>5</v>
      </c>
      <c r="F115" s="100">
        <v>1</v>
      </c>
      <c r="G115" s="93">
        <f>3.06+1.2+4.18</f>
        <v>8.44</v>
      </c>
      <c r="H115" s="92"/>
      <c r="I115" s="92">
        <f>(3.1+3.18)/2</f>
        <v>3.14</v>
      </c>
      <c r="J115" s="92"/>
      <c r="K115" s="94">
        <v>1</v>
      </c>
      <c r="L115" s="95"/>
      <c r="M115" s="96">
        <f t="shared" si="15"/>
        <v>26.5016</v>
      </c>
    </row>
    <row r="116" spans="2:13" x14ac:dyDescent="0.25">
      <c r="B116" s="337" t="s">
        <v>142</v>
      </c>
      <c r="C116" s="338"/>
      <c r="D116" s="339"/>
      <c r="E116" s="118">
        <f t="shared" si="14"/>
        <v>5</v>
      </c>
      <c r="F116" s="100">
        <v>1</v>
      </c>
      <c r="G116" s="93">
        <f>1.17</f>
        <v>1.17</v>
      </c>
      <c r="H116" s="92"/>
      <c r="I116" s="92">
        <v>1.05</v>
      </c>
      <c r="J116" s="92"/>
      <c r="K116" s="94">
        <v>1</v>
      </c>
      <c r="L116" s="95"/>
      <c r="M116" s="96">
        <f t="shared" si="15"/>
        <v>1.2284999999999999</v>
      </c>
    </row>
    <row r="117" spans="2:13" x14ac:dyDescent="0.25">
      <c r="B117" s="337" t="s">
        <v>133</v>
      </c>
      <c r="C117" s="338"/>
      <c r="D117" s="339"/>
      <c r="E117" s="118">
        <f t="shared" si="14"/>
        <v>5</v>
      </c>
      <c r="F117" s="100">
        <v>1</v>
      </c>
      <c r="G117" s="93">
        <f>0.7+2*1.15</f>
        <v>3</v>
      </c>
      <c r="H117" s="92"/>
      <c r="I117" s="92">
        <v>0.52</v>
      </c>
      <c r="J117" s="92"/>
      <c r="K117" s="94">
        <v>6</v>
      </c>
      <c r="L117" s="95"/>
      <c r="M117" s="96">
        <f t="shared" si="15"/>
        <v>9.36</v>
      </c>
    </row>
    <row r="118" spans="2:13" x14ac:dyDescent="0.25">
      <c r="B118" s="383" t="s">
        <v>111</v>
      </c>
      <c r="C118" s="384"/>
      <c r="D118" s="384"/>
      <c r="E118" s="120"/>
      <c r="F118" s="110"/>
      <c r="G118" s="111"/>
      <c r="H118" s="112"/>
      <c r="I118" s="113"/>
      <c r="J118" s="113"/>
      <c r="K118" s="114"/>
      <c r="L118" s="115"/>
      <c r="M118" s="121">
        <f>SUM(M119:M132)</f>
        <v>13535.880000000001</v>
      </c>
    </row>
    <row r="119" spans="2:13" x14ac:dyDescent="0.25">
      <c r="B119" s="337" t="s">
        <v>144</v>
      </c>
      <c r="C119" s="338"/>
      <c r="D119" s="339"/>
      <c r="E119" s="118">
        <f>$M$3</f>
        <v>5</v>
      </c>
      <c r="F119" s="100">
        <v>1</v>
      </c>
      <c r="G119" s="93">
        <v>626.16999999999996</v>
      </c>
      <c r="H119" s="92"/>
      <c r="I119" s="92"/>
      <c r="J119" s="92"/>
      <c r="K119" s="94">
        <v>2</v>
      </c>
      <c r="L119" s="95"/>
      <c r="M119" s="96">
        <f>PRODUCT(F119:K119)</f>
        <v>1252.3399999999999</v>
      </c>
    </row>
    <row r="120" spans="2:13" x14ac:dyDescent="0.25">
      <c r="B120" s="337" t="s">
        <v>143</v>
      </c>
      <c r="C120" s="338"/>
      <c r="D120" s="339"/>
      <c r="E120" s="118">
        <f>$M$3</f>
        <v>5</v>
      </c>
      <c r="F120" s="100">
        <v>1</v>
      </c>
      <c r="G120" s="93">
        <v>6141.77</v>
      </c>
      <c r="H120" s="92"/>
      <c r="I120" s="92"/>
      <c r="J120" s="92"/>
      <c r="K120" s="94">
        <v>2</v>
      </c>
      <c r="L120" s="95"/>
      <c r="M120" s="96">
        <f>PRODUCT(F120:K120)</f>
        <v>12283.54</v>
      </c>
    </row>
    <row r="121" spans="2:13" x14ac:dyDescent="0.25">
      <c r="B121" s="370"/>
      <c r="C121" s="371"/>
      <c r="D121" s="371"/>
      <c r="E121" s="371"/>
      <c r="F121" s="371"/>
      <c r="G121" s="371"/>
      <c r="H121" s="371"/>
      <c r="I121" s="371"/>
      <c r="J121" s="371"/>
      <c r="K121" s="371"/>
      <c r="L121" s="372"/>
      <c r="M121" s="99"/>
    </row>
    <row r="122" spans="2:13" ht="45" customHeight="1" x14ac:dyDescent="0.25">
      <c r="B122" s="375"/>
      <c r="C122" s="376"/>
      <c r="D122" s="376"/>
      <c r="E122" s="376"/>
      <c r="F122" s="376"/>
      <c r="G122" s="376"/>
      <c r="H122" s="376"/>
      <c r="I122" s="376"/>
      <c r="J122" s="377"/>
      <c r="K122" s="377"/>
      <c r="L122" s="377"/>
      <c r="M122" s="378"/>
    </row>
    <row r="123" spans="2:13" x14ac:dyDescent="0.25">
      <c r="B123" s="381" t="str">
        <f>view__cover!$A$29</f>
        <v>INTERMAK GROUP MMC</v>
      </c>
      <c r="C123" s="382"/>
      <c r="D123" s="382"/>
      <c r="E123" s="382"/>
      <c r="F123" s="373"/>
      <c r="G123" s="373"/>
      <c r="H123" s="373"/>
      <c r="I123" s="373"/>
      <c r="J123" s="368" t="str">
        <f>view__cover!D29</f>
        <v xml:space="preserve">ERDİNÇ DELİBAŞI
</v>
      </c>
      <c r="K123" s="368"/>
      <c r="L123" s="368"/>
      <c r="M123" s="369"/>
    </row>
    <row r="124" spans="2:13" ht="29.25" customHeight="1" thickBot="1" x14ac:dyDescent="0.3">
      <c r="B124" s="379" t="s">
        <v>24</v>
      </c>
      <c r="C124" s="380"/>
      <c r="D124" s="380"/>
      <c r="E124" s="380"/>
      <c r="F124" s="374"/>
      <c r="G124" s="374"/>
      <c r="H124" s="374"/>
      <c r="I124" s="374"/>
      <c r="J124" s="366" t="str">
        <f>view__cover!D24</f>
        <v>Technical Office Manager 
Texniki Şöbə Rəhbəri</v>
      </c>
      <c r="K124" s="366"/>
      <c r="L124" s="366"/>
      <c r="M124" s="367"/>
    </row>
    <row r="125" spans="2:13" ht="15.75" thickTop="1" x14ac:dyDescent="0.25"/>
  </sheetData>
  <mergeCells count="131">
    <mergeCell ref="B93:D93"/>
    <mergeCell ref="B94:D94"/>
    <mergeCell ref="B98:D98"/>
    <mergeCell ref="B99:D99"/>
    <mergeCell ref="B100:D100"/>
    <mergeCell ref="B97:D97"/>
    <mergeCell ref="B102:D102"/>
    <mergeCell ref="B103:D103"/>
    <mergeCell ref="B104:D104"/>
    <mergeCell ref="B108:D108"/>
    <mergeCell ref="B109:D109"/>
    <mergeCell ref="B111:D111"/>
    <mergeCell ref="B112:D112"/>
    <mergeCell ref="B113:D113"/>
    <mergeCell ref="B114:D114"/>
    <mergeCell ref="B115:D115"/>
    <mergeCell ref="B116:D116"/>
    <mergeCell ref="B117:D117"/>
    <mergeCell ref="B105:D105"/>
    <mergeCell ref="B106:D106"/>
    <mergeCell ref="B107:D107"/>
    <mergeCell ref="B110:D110"/>
    <mergeCell ref="B86:D86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74:D74"/>
    <mergeCell ref="B81:D81"/>
    <mergeCell ref="B82:D82"/>
    <mergeCell ref="B83:D83"/>
    <mergeCell ref="B84:D84"/>
    <mergeCell ref="B85:D85"/>
    <mergeCell ref="B75:D75"/>
    <mergeCell ref="B77:D77"/>
    <mergeCell ref="B78:D78"/>
    <mergeCell ref="B79:D79"/>
    <mergeCell ref="B80:D80"/>
    <mergeCell ref="B49:D49"/>
    <mergeCell ref="B50:D50"/>
    <mergeCell ref="B44:D44"/>
    <mergeCell ref="B45:D45"/>
    <mergeCell ref="B46:D46"/>
    <mergeCell ref="B47:D47"/>
    <mergeCell ref="B48:D48"/>
    <mergeCell ref="B73:D73"/>
    <mergeCell ref="B72:D72"/>
    <mergeCell ref="B65:D65"/>
    <mergeCell ref="B66:D66"/>
    <mergeCell ref="B64:D64"/>
    <mergeCell ref="B63:D63"/>
    <mergeCell ref="B67:D67"/>
    <mergeCell ref="B68:D68"/>
    <mergeCell ref="B71:D71"/>
    <mergeCell ref="B69:D69"/>
    <mergeCell ref="B70:D70"/>
    <mergeCell ref="B31:D31"/>
    <mergeCell ref="B32:D32"/>
    <mergeCell ref="B30:D30"/>
    <mergeCell ref="B38:D38"/>
    <mergeCell ref="B33:D33"/>
    <mergeCell ref="B36:D36"/>
    <mergeCell ref="B34:D34"/>
    <mergeCell ref="B37:D37"/>
    <mergeCell ref="B35:D35"/>
    <mergeCell ref="B2:M2"/>
    <mergeCell ref="B3:C3"/>
    <mergeCell ref="D3:K3"/>
    <mergeCell ref="B4:C5"/>
    <mergeCell ref="D4:K5"/>
    <mergeCell ref="B13:D13"/>
    <mergeCell ref="B8:D8"/>
    <mergeCell ref="B9:D9"/>
    <mergeCell ref="B10:D10"/>
    <mergeCell ref="B6:E7"/>
    <mergeCell ref="B91:D91"/>
    <mergeCell ref="B92:D92"/>
    <mergeCell ref="B95:D95"/>
    <mergeCell ref="B96:D96"/>
    <mergeCell ref="B118:D118"/>
    <mergeCell ref="B119:D119"/>
    <mergeCell ref="B120:D120"/>
    <mergeCell ref="F6:K6"/>
    <mergeCell ref="L6:M6"/>
    <mergeCell ref="B19:D19"/>
    <mergeCell ref="B18:D18"/>
    <mergeCell ref="B17:D17"/>
    <mergeCell ref="B39:D39"/>
    <mergeCell ref="B40:D40"/>
    <mergeCell ref="B41:D41"/>
    <mergeCell ref="B42:D42"/>
    <mergeCell ref="B43:D43"/>
    <mergeCell ref="B23:D23"/>
    <mergeCell ref="B24:D24"/>
    <mergeCell ref="B25:D25"/>
    <mergeCell ref="B22:D22"/>
    <mergeCell ref="B20:D20"/>
    <mergeCell ref="B21:D21"/>
    <mergeCell ref="B29:D29"/>
    <mergeCell ref="B123:E123"/>
    <mergeCell ref="F123:I123"/>
    <mergeCell ref="J123:M123"/>
    <mergeCell ref="B124:E124"/>
    <mergeCell ref="F124:I124"/>
    <mergeCell ref="J124:M124"/>
    <mergeCell ref="B11:D11"/>
    <mergeCell ref="B27:D27"/>
    <mergeCell ref="B28:D28"/>
    <mergeCell ref="B15:D15"/>
    <mergeCell ref="B16:D16"/>
    <mergeCell ref="B12:D12"/>
    <mergeCell ref="B14:D14"/>
    <mergeCell ref="B26:D26"/>
    <mergeCell ref="B76:D76"/>
    <mergeCell ref="B122:E122"/>
    <mergeCell ref="F122:I122"/>
    <mergeCell ref="J122:M122"/>
    <mergeCell ref="B87:D87"/>
    <mergeCell ref="B88:D88"/>
    <mergeCell ref="B101:D101"/>
    <mergeCell ref="B121:L121"/>
    <mergeCell ref="B89:D89"/>
    <mergeCell ref="B90:D90"/>
  </mergeCells>
  <pageMargins left="0.39370078740157483" right="0.39370078740157483" top="0.39370078740157483" bottom="0.39370078740157483" header="0" footer="0"/>
  <pageSetup paperSize="9" scale="41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65D61-3B43-4416-A875-23FE7DC19437}">
  <sheetPr codeName="Sheet14">
    <pageSetUpPr fitToPage="1"/>
  </sheetPr>
  <dimension ref="B1:N21"/>
  <sheetViews>
    <sheetView view="pageBreakPreview" zoomScaleNormal="100" zoomScaleSheetLayoutView="100" workbookViewId="0"/>
  </sheetViews>
  <sheetFormatPr defaultRowHeight="15" x14ac:dyDescent="0.25"/>
  <cols>
    <col min="1" max="1" width="1.7109375" customWidth="1"/>
    <col min="2" max="2" width="25.7109375" customWidth="1"/>
    <col min="3" max="3" width="13.5703125" customWidth="1"/>
    <col min="4" max="4" width="4.5703125" customWidth="1"/>
    <col min="5" max="5" width="7.28515625" bestFit="1" customWidth="1"/>
    <col min="6" max="6" width="9.7109375" bestFit="1" customWidth="1"/>
    <col min="7" max="8" width="9.7109375" customWidth="1"/>
    <col min="9" max="10" width="10.7109375" customWidth="1"/>
    <col min="11" max="11" width="9.7109375" customWidth="1"/>
    <col min="12" max="13" width="10.28515625" bestFit="1" customWidth="1"/>
  </cols>
  <sheetData>
    <row r="1" spans="2:14" ht="15.75" thickBot="1" x14ac:dyDescent="0.3"/>
    <row r="2" spans="2:14" ht="19.5" thickTop="1" x14ac:dyDescent="0.25">
      <c r="B2" s="348" t="s">
        <v>74</v>
      </c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50"/>
    </row>
    <row r="3" spans="2:14" ht="39.75" customHeight="1" x14ac:dyDescent="0.25">
      <c r="B3" s="351" t="s">
        <v>75</v>
      </c>
      <c r="C3" s="352"/>
      <c r="D3" s="353" t="str">
        <f>view__cover!$C$4</f>
        <v>Construction of the facilities and buildings, storages, and other structures, including roads and all industrial utilities for establishment of “Sitalchay 2” Production Plant</v>
      </c>
      <c r="E3" s="354"/>
      <c r="F3" s="354"/>
      <c r="G3" s="354"/>
      <c r="H3" s="354"/>
      <c r="I3" s="354"/>
      <c r="J3" s="354"/>
      <c r="K3" s="355"/>
      <c r="L3" s="73" t="s">
        <v>16</v>
      </c>
      <c r="M3" s="74">
        <f>view__cover!$K$2</f>
        <v>5</v>
      </c>
    </row>
    <row r="4" spans="2:14" x14ac:dyDescent="0.25">
      <c r="B4" s="356" t="s">
        <v>76</v>
      </c>
      <c r="C4" s="357"/>
      <c r="D4" s="360" t="str">
        <f>view__cover!$C$8</f>
        <v>Rental Vehicle
Kiralıq Vasitə</v>
      </c>
      <c r="E4" s="361"/>
      <c r="F4" s="361"/>
      <c r="G4" s="361"/>
      <c r="H4" s="361"/>
      <c r="I4" s="361"/>
      <c r="J4" s="361"/>
      <c r="K4" s="362"/>
      <c r="L4" s="75" t="s">
        <v>77</v>
      </c>
      <c r="M4" s="74">
        <f>N4</f>
        <v>2</v>
      </c>
      <c r="N4" s="16">
        <v>2</v>
      </c>
    </row>
    <row r="5" spans="2:14" x14ac:dyDescent="0.25">
      <c r="B5" s="358"/>
      <c r="C5" s="359"/>
      <c r="D5" s="363"/>
      <c r="E5" s="364"/>
      <c r="F5" s="364"/>
      <c r="G5" s="364"/>
      <c r="H5" s="364"/>
      <c r="I5" s="364"/>
      <c r="J5" s="364"/>
      <c r="K5" s="365"/>
      <c r="L5" s="76" t="s">
        <v>78</v>
      </c>
      <c r="M5" s="77" t="str">
        <f>N5</f>
        <v>m³</v>
      </c>
      <c r="N5" s="16" t="s">
        <v>69</v>
      </c>
    </row>
    <row r="6" spans="2:14" x14ac:dyDescent="0.25">
      <c r="B6" s="346" t="s">
        <v>76</v>
      </c>
      <c r="C6" s="340"/>
      <c r="D6" s="340"/>
      <c r="E6" s="340"/>
      <c r="F6" s="340"/>
      <c r="G6" s="340"/>
      <c r="H6" s="340"/>
      <c r="I6" s="340"/>
      <c r="J6" s="340"/>
      <c r="K6" s="340"/>
      <c r="L6" s="340" t="s">
        <v>79</v>
      </c>
      <c r="M6" s="341"/>
    </row>
    <row r="7" spans="2:14" x14ac:dyDescent="0.25">
      <c r="B7" s="347"/>
      <c r="C7" s="340"/>
      <c r="D7" s="340"/>
      <c r="E7" s="340"/>
      <c r="F7" s="78"/>
      <c r="G7" s="78" t="s">
        <v>71</v>
      </c>
      <c r="H7" s="78" t="s">
        <v>71</v>
      </c>
      <c r="I7" s="78" t="s">
        <v>71</v>
      </c>
      <c r="J7" s="78" t="s">
        <v>80</v>
      </c>
      <c r="K7" s="78"/>
      <c r="L7" s="79" t="s">
        <v>81</v>
      </c>
      <c r="M7" s="77" t="s">
        <v>82</v>
      </c>
    </row>
    <row r="8" spans="2:14" ht="44.25" customHeight="1" x14ac:dyDescent="0.25">
      <c r="B8" s="342" t="e">
        <f>VLOOKUP($M$4,#REF!, 2,FALSE)</f>
        <v>#REF!</v>
      </c>
      <c r="C8" s="343"/>
      <c r="D8" s="343"/>
      <c r="E8" s="119" t="s">
        <v>83</v>
      </c>
      <c r="F8" s="80" t="s">
        <v>84</v>
      </c>
      <c r="G8" s="81" t="s">
        <v>85</v>
      </c>
      <c r="H8" s="82" t="s">
        <v>86</v>
      </c>
      <c r="I8" s="82" t="s">
        <v>87</v>
      </c>
      <c r="J8" s="82" t="s">
        <v>88</v>
      </c>
      <c r="K8" s="82" t="s">
        <v>89</v>
      </c>
      <c r="L8" s="83"/>
      <c r="M8" s="84"/>
    </row>
    <row r="9" spans="2:14" x14ac:dyDescent="0.25">
      <c r="B9" s="344" t="s">
        <v>92</v>
      </c>
      <c r="C9" s="345"/>
      <c r="D9" s="345"/>
      <c r="E9" s="116"/>
      <c r="F9" s="85"/>
      <c r="G9" s="86"/>
      <c r="H9" s="87"/>
      <c r="I9" s="88"/>
      <c r="J9" s="88"/>
      <c r="K9" s="89"/>
      <c r="L9" s="90"/>
      <c r="M9" s="91"/>
    </row>
    <row r="10" spans="2:14" x14ac:dyDescent="0.25">
      <c r="B10" s="385" t="s">
        <v>93</v>
      </c>
      <c r="C10" s="386"/>
      <c r="D10" s="386"/>
      <c r="E10" s="117"/>
      <c r="F10" s="101"/>
      <c r="G10" s="102"/>
      <c r="H10" s="103"/>
      <c r="I10" s="104"/>
      <c r="J10" s="104"/>
      <c r="K10" s="105"/>
      <c r="L10" s="106"/>
      <c r="M10" s="107"/>
    </row>
    <row r="11" spans="2:14" x14ac:dyDescent="0.25">
      <c r="B11" s="344" t="s">
        <v>91</v>
      </c>
      <c r="C11" s="345"/>
      <c r="D11" s="387"/>
      <c r="E11" s="116"/>
      <c r="F11" s="97"/>
      <c r="G11" s="98"/>
      <c r="H11" s="98"/>
      <c r="I11" s="98"/>
      <c r="J11" s="98"/>
      <c r="K11" s="89"/>
      <c r="L11" s="90"/>
      <c r="M11" s="91"/>
    </row>
    <row r="12" spans="2:14" x14ac:dyDescent="0.25">
      <c r="B12" s="385" t="s">
        <v>98</v>
      </c>
      <c r="C12" s="386"/>
      <c r="D12" s="386"/>
      <c r="E12" s="117"/>
      <c r="F12" s="101"/>
      <c r="G12" s="102"/>
      <c r="H12" s="103"/>
      <c r="I12" s="104"/>
      <c r="J12" s="104"/>
      <c r="K12" s="105"/>
      <c r="L12" s="106"/>
      <c r="M12" s="107"/>
    </row>
    <row r="13" spans="2:14" x14ac:dyDescent="0.25">
      <c r="B13" s="385" t="s">
        <v>100</v>
      </c>
      <c r="C13" s="386"/>
      <c r="D13" s="386"/>
      <c r="E13" s="117"/>
      <c r="F13" s="101"/>
      <c r="G13" s="102"/>
      <c r="H13" s="103"/>
      <c r="I13" s="104"/>
      <c r="J13" s="104"/>
      <c r="K13" s="105"/>
      <c r="L13" s="106"/>
      <c r="M13" s="107"/>
    </row>
    <row r="14" spans="2:14" x14ac:dyDescent="0.25">
      <c r="B14" s="385" t="s">
        <v>101</v>
      </c>
      <c r="C14" s="386"/>
      <c r="D14" s="386"/>
      <c r="E14" s="117"/>
      <c r="F14" s="101"/>
      <c r="G14" s="102"/>
      <c r="H14" s="103"/>
      <c r="I14" s="104"/>
      <c r="J14" s="104"/>
      <c r="K14" s="105"/>
      <c r="L14" s="106"/>
      <c r="M14" s="107"/>
    </row>
    <row r="15" spans="2:14" x14ac:dyDescent="0.25">
      <c r="B15" s="385" t="s">
        <v>102</v>
      </c>
      <c r="C15" s="386"/>
      <c r="D15" s="386"/>
      <c r="E15" s="117"/>
      <c r="F15" s="101"/>
      <c r="G15" s="102"/>
      <c r="H15" s="103"/>
      <c r="I15" s="104"/>
      <c r="J15" s="104"/>
      <c r="K15" s="105"/>
      <c r="L15" s="106"/>
      <c r="M15" s="107"/>
    </row>
    <row r="16" spans="2:14" x14ac:dyDescent="0.25">
      <c r="B16" s="385" t="s">
        <v>103</v>
      </c>
      <c r="C16" s="386"/>
      <c r="D16" s="386"/>
      <c r="E16" s="117"/>
      <c r="F16" s="101"/>
      <c r="G16" s="102"/>
      <c r="H16" s="103"/>
      <c r="I16" s="104"/>
      <c r="J16" s="104"/>
      <c r="K16" s="105"/>
      <c r="L16" s="106"/>
      <c r="M16" s="107"/>
    </row>
    <row r="17" spans="2:13" x14ac:dyDescent="0.25">
      <c r="B17" s="370" t="s">
        <v>79</v>
      </c>
      <c r="C17" s="371"/>
      <c r="D17" s="371"/>
      <c r="E17" s="371"/>
      <c r="F17" s="371"/>
      <c r="G17" s="371"/>
      <c r="H17" s="371"/>
      <c r="I17" s="371"/>
      <c r="J17" s="371"/>
      <c r="K17" s="371"/>
      <c r="L17" s="372"/>
      <c r="M17" s="99">
        <f>ROUND(SUM(M9:M16),2)</f>
        <v>0</v>
      </c>
    </row>
    <row r="18" spans="2:13" ht="45" customHeight="1" x14ac:dyDescent="0.25">
      <c r="B18" s="375"/>
      <c r="C18" s="376"/>
      <c r="D18" s="376"/>
      <c r="E18" s="376"/>
      <c r="F18" s="376"/>
      <c r="G18" s="376"/>
      <c r="H18" s="376"/>
      <c r="I18" s="376"/>
      <c r="J18" s="377"/>
      <c r="K18" s="377"/>
      <c r="L18" s="377"/>
      <c r="M18" s="378"/>
    </row>
    <row r="19" spans="2:13" x14ac:dyDescent="0.25">
      <c r="B19" s="381" t="str">
        <f>view__cover!$A$29</f>
        <v>INTERMAK GROUP MMC</v>
      </c>
      <c r="C19" s="382"/>
      <c r="D19" s="382"/>
      <c r="E19" s="382"/>
      <c r="F19" s="373"/>
      <c r="G19" s="373"/>
      <c r="H19" s="373"/>
      <c r="I19" s="373"/>
      <c r="J19" s="368" t="str">
        <f>view__cover!D29</f>
        <v xml:space="preserve">ERDİNÇ DELİBAŞI
</v>
      </c>
      <c r="K19" s="368"/>
      <c r="L19" s="368"/>
      <c r="M19" s="369"/>
    </row>
    <row r="20" spans="2:13" ht="29.25" customHeight="1" thickBot="1" x14ac:dyDescent="0.3">
      <c r="B20" s="379" t="s">
        <v>24</v>
      </c>
      <c r="C20" s="380"/>
      <c r="D20" s="380"/>
      <c r="E20" s="380"/>
      <c r="F20" s="374"/>
      <c r="G20" s="374"/>
      <c r="H20" s="374"/>
      <c r="I20" s="374"/>
      <c r="J20" s="366" t="str">
        <f>view__cover!D24</f>
        <v>Technical Office Manager 
Texniki Şöbə Rəhbəri</v>
      </c>
      <c r="K20" s="366"/>
      <c r="L20" s="366"/>
      <c r="M20" s="367"/>
    </row>
    <row r="21" spans="2:13" ht="15.75" thickTop="1" x14ac:dyDescent="0.25"/>
  </sheetData>
  <mergeCells count="27">
    <mergeCell ref="B19:E19"/>
    <mergeCell ref="F19:I19"/>
    <mergeCell ref="J19:M19"/>
    <mergeCell ref="B20:E20"/>
    <mergeCell ref="F20:I20"/>
    <mergeCell ref="J20:M20"/>
    <mergeCell ref="B14:D14"/>
    <mergeCell ref="B15:D15"/>
    <mergeCell ref="B16:D16"/>
    <mergeCell ref="B17:L17"/>
    <mergeCell ref="B18:E18"/>
    <mergeCell ref="F18:I18"/>
    <mergeCell ref="J18:M18"/>
    <mergeCell ref="B13:D13"/>
    <mergeCell ref="B2:M2"/>
    <mergeCell ref="B3:C3"/>
    <mergeCell ref="D3:K3"/>
    <mergeCell ref="B4:C5"/>
    <mergeCell ref="D4:K5"/>
    <mergeCell ref="B6:E7"/>
    <mergeCell ref="F6:K6"/>
    <mergeCell ref="L6:M6"/>
    <mergeCell ref="B8:D8"/>
    <mergeCell ref="B9:D9"/>
    <mergeCell ref="B10:D10"/>
    <mergeCell ref="B11:D11"/>
    <mergeCell ref="B12:D12"/>
  </mergeCells>
  <pageMargins left="0.39370078740157483" right="0.39370078740157483" top="0.39370078740157483" bottom="0.39370078740157483" header="0" footer="0"/>
  <pageSetup paperSize="9" scale="72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FF0000"/>
    <pageSetUpPr fitToPage="1"/>
  </sheetPr>
  <dimension ref="A1:K43"/>
  <sheetViews>
    <sheetView showZeros="0" view="pageBreakPreview" topLeftCell="A19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391" t="s">
        <v>11</v>
      </c>
      <c r="B1" s="392"/>
      <c r="C1" s="392"/>
      <c r="D1" s="392"/>
      <c r="E1" s="392"/>
      <c r="F1" s="392"/>
      <c r="G1" s="392"/>
      <c r="H1" s="392"/>
      <c r="I1" s="393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 t="e">
        <f>view__cover!L4</f>
        <v>#N/A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394" t="s">
        <v>1</v>
      </c>
      <c r="B5" s="395"/>
      <c r="C5" s="396" t="str">
        <f>view__cover!C6</f>
        <v>INTERMAK GROUP MMC</v>
      </c>
      <c r="D5" s="396"/>
      <c r="E5" s="33" t="s">
        <v>12</v>
      </c>
      <c r="F5" s="47" t="e">
        <f>+#REF!</f>
        <v>#REF!</v>
      </c>
      <c r="G5" s="34"/>
      <c r="H5" s="34" t="s">
        <v>2</v>
      </c>
      <c r="I5" s="46" t="s">
        <v>45</v>
      </c>
    </row>
    <row r="6" spans="1:11" ht="25.15" customHeight="1" x14ac:dyDescent="0.25">
      <c r="A6" s="397" t="s">
        <v>3</v>
      </c>
      <c r="B6" s="398"/>
      <c r="C6" s="35" t="s">
        <v>36</v>
      </c>
      <c r="D6" s="35"/>
      <c r="E6" s="39" t="s">
        <v>13</v>
      </c>
      <c r="F6" s="36" t="s">
        <v>41</v>
      </c>
      <c r="G6" s="36"/>
      <c r="H6" s="37" t="s">
        <v>37</v>
      </c>
      <c r="I6" s="38" t="s">
        <v>40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19" t="s">
        <v>5</v>
      </c>
      <c r="C10" s="19" t="s">
        <v>6</v>
      </c>
      <c r="D10" s="19" t="s">
        <v>7</v>
      </c>
      <c r="E10" s="19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21" t="s">
        <v>39</v>
      </c>
      <c r="C11" s="21" t="s">
        <v>39</v>
      </c>
      <c r="D11" s="21"/>
      <c r="E11" s="22">
        <v>0</v>
      </c>
      <c r="F11" s="49"/>
      <c r="G11" s="49"/>
      <c r="H11" s="32"/>
      <c r="I11" s="50">
        <v>1</v>
      </c>
      <c r="J11" s="23"/>
      <c r="K11" s="1">
        <v>6500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1</v>
      </c>
      <c r="J17" s="23"/>
    </row>
    <row r="18" spans="1:10" ht="25.15" customHeight="1" x14ac:dyDescent="0.25">
      <c r="A18" s="24">
        <v>8</v>
      </c>
      <c r="B18" s="25" t="s">
        <v>39</v>
      </c>
      <c r="C18" s="25" t="s">
        <v>39</v>
      </c>
      <c r="D18" s="25"/>
      <c r="E18" s="26">
        <v>0</v>
      </c>
      <c r="F18" s="27"/>
      <c r="G18" s="27"/>
      <c r="H18" s="32"/>
      <c r="I18" s="50">
        <v>1</v>
      </c>
      <c r="J18" s="23"/>
    </row>
    <row r="19" spans="1:10" ht="25.15" customHeight="1" x14ac:dyDescent="0.25">
      <c r="A19" s="24">
        <v>9</v>
      </c>
      <c r="B19" s="25" t="s">
        <v>39</v>
      </c>
      <c r="C19" s="25" t="s">
        <v>39</v>
      </c>
      <c r="D19" s="25"/>
      <c r="E19" s="26">
        <v>0</v>
      </c>
      <c r="F19" s="27"/>
      <c r="G19" s="27"/>
      <c r="H19" s="32"/>
      <c r="I19" s="50">
        <v>1</v>
      </c>
      <c r="J19" s="23"/>
    </row>
    <row r="20" spans="1:10" ht="25.15" customHeight="1" x14ac:dyDescent="0.25">
      <c r="A20" s="24">
        <v>10</v>
      </c>
      <c r="B20" s="25" t="s">
        <v>39</v>
      </c>
      <c r="C20" s="25" t="s">
        <v>39</v>
      </c>
      <c r="D20" s="25"/>
      <c r="E20" s="26">
        <v>0</v>
      </c>
      <c r="F20" s="27"/>
      <c r="G20" s="27"/>
      <c r="H20" s="32"/>
      <c r="I20" s="50">
        <v>1</v>
      </c>
      <c r="J20" s="23"/>
    </row>
    <row r="21" spans="1:10" ht="25.15" customHeight="1" x14ac:dyDescent="0.25">
      <c r="A21" s="24">
        <v>11</v>
      </c>
      <c r="B21" s="25" t="s">
        <v>39</v>
      </c>
      <c r="C21" s="25" t="s">
        <v>39</v>
      </c>
      <c r="D21" s="25"/>
      <c r="E21" s="26">
        <v>0</v>
      </c>
      <c r="F21" s="27"/>
      <c r="G21" s="27"/>
      <c r="H21" s="32"/>
      <c r="I21" s="50">
        <v>1</v>
      </c>
      <c r="J21" s="23"/>
    </row>
    <row r="22" spans="1:10" ht="25.15" customHeight="1" x14ac:dyDescent="0.25">
      <c r="A22" s="24">
        <v>12</v>
      </c>
      <c r="B22" s="25" t="s">
        <v>39</v>
      </c>
      <c r="C22" s="25" t="s">
        <v>39</v>
      </c>
      <c r="D22" s="25"/>
      <c r="E22" s="26">
        <v>0</v>
      </c>
      <c r="F22" s="27"/>
      <c r="G22" s="27"/>
      <c r="H22" s="32"/>
      <c r="I22" s="50">
        <v>1</v>
      </c>
      <c r="J22" s="23"/>
    </row>
    <row r="23" spans="1:10" ht="25.15" customHeight="1" x14ac:dyDescent="0.25">
      <c r="A23" s="24">
        <v>13</v>
      </c>
      <c r="B23" s="25" t="s">
        <v>39</v>
      </c>
      <c r="C23" s="25" t="s">
        <v>39</v>
      </c>
      <c r="D23" s="25"/>
      <c r="E23" s="26">
        <v>0</v>
      </c>
      <c r="F23" s="27"/>
      <c r="G23" s="27"/>
      <c r="H23" s="32"/>
      <c r="I23" s="50">
        <v>1</v>
      </c>
      <c r="J23" s="23"/>
    </row>
    <row r="24" spans="1:10" ht="25.15" customHeight="1" x14ac:dyDescent="0.25">
      <c r="A24" s="24">
        <v>14</v>
      </c>
      <c r="B24" s="25" t="s">
        <v>39</v>
      </c>
      <c r="C24" s="25" t="s">
        <v>39</v>
      </c>
      <c r="D24" s="25"/>
      <c r="E24" s="26">
        <v>0</v>
      </c>
      <c r="F24" s="27"/>
      <c r="G24" s="27"/>
      <c r="H24" s="32"/>
      <c r="I24" s="50">
        <v>1</v>
      </c>
      <c r="J24" s="23"/>
    </row>
    <row r="25" spans="1:10" ht="25.15" customHeight="1" x14ac:dyDescent="0.25">
      <c r="A25" s="24">
        <v>15</v>
      </c>
      <c r="B25" s="25" t="s">
        <v>39</v>
      </c>
      <c r="C25" s="25" t="s">
        <v>39</v>
      </c>
      <c r="D25" s="25"/>
      <c r="E25" s="26">
        <v>0</v>
      </c>
      <c r="F25" s="27"/>
      <c r="G25" s="27"/>
      <c r="H25" s="32"/>
      <c r="I25" s="50">
        <v>1</v>
      </c>
      <c r="J25" s="23"/>
    </row>
    <row r="26" spans="1:10" ht="25.15" customHeight="1" x14ac:dyDescent="0.25">
      <c r="A26" s="24">
        <v>16</v>
      </c>
      <c r="B26" s="25" t="s">
        <v>39</v>
      </c>
      <c r="C26" s="25" t="s">
        <v>39</v>
      </c>
      <c r="D26" s="25"/>
      <c r="E26" s="26">
        <v>0</v>
      </c>
      <c r="F26" s="27"/>
      <c r="G26" s="27"/>
      <c r="H26" s="32"/>
      <c r="I26" s="50">
        <v>1</v>
      </c>
      <c r="J26" s="23"/>
    </row>
    <row r="27" spans="1:10" ht="25.15" customHeight="1" x14ac:dyDescent="0.25">
      <c r="A27" s="24">
        <v>17</v>
      </c>
      <c r="B27" s="25" t="s">
        <v>39</v>
      </c>
      <c r="C27" s="25" t="s">
        <v>39</v>
      </c>
      <c r="D27" s="25"/>
      <c r="E27" s="26">
        <v>0</v>
      </c>
      <c r="F27" s="27"/>
      <c r="G27" s="27"/>
      <c r="H27" s="32"/>
      <c r="I27" s="50">
        <v>1</v>
      </c>
      <c r="J27" s="23"/>
    </row>
    <row r="28" spans="1:10" ht="25.15" customHeight="1" x14ac:dyDescent="0.25">
      <c r="A28" s="24">
        <v>18</v>
      </c>
      <c r="B28" s="25" t="s">
        <v>39</v>
      </c>
      <c r="C28" s="25" t="s">
        <v>39</v>
      </c>
      <c r="D28" s="25"/>
      <c r="E28" s="26">
        <v>0</v>
      </c>
      <c r="F28" s="27"/>
      <c r="G28" s="27"/>
      <c r="H28" s="32"/>
      <c r="I28" s="50">
        <v>1</v>
      </c>
      <c r="J28" s="23"/>
    </row>
    <row r="29" spans="1:10" ht="25.15" customHeight="1" x14ac:dyDescent="0.25">
      <c r="A29" s="24">
        <v>19</v>
      </c>
      <c r="B29" s="25" t="s">
        <v>39</v>
      </c>
      <c r="C29" s="25" t="s">
        <v>39</v>
      </c>
      <c r="D29" s="25"/>
      <c r="E29" s="26">
        <v>0</v>
      </c>
      <c r="F29" s="27"/>
      <c r="G29" s="27"/>
      <c r="H29" s="32"/>
      <c r="I29" s="50">
        <v>1</v>
      </c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399" t="s">
        <v>25</v>
      </c>
      <c r="B42" s="400"/>
      <c r="C42" s="401"/>
      <c r="D42" s="45">
        <f>SUM(D11:D41)</f>
        <v>0</v>
      </c>
      <c r="E42" s="42">
        <f>SUM(E11:E41)</f>
        <v>0</v>
      </c>
      <c r="F42" s="402"/>
      <c r="G42" s="403"/>
      <c r="H42" s="43">
        <f>SUM(H11:H41)</f>
        <v>0</v>
      </c>
      <c r="I42" s="48">
        <f>SUM(I11:I41)</f>
        <v>19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disablePrompts="1" count="1">
    <dataValidation type="list" allowBlank="1" showInputMessage="1" showErrorMessage="1" sqref="C6" xr:uid="{00000000-0002-0000-03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6">
    <tabColor theme="4"/>
    <pageSetUpPr fitToPage="1"/>
  </sheetPr>
  <dimension ref="A1:K43"/>
  <sheetViews>
    <sheetView showZeros="0" view="pageBreakPreview" topLeftCell="A4" zoomScale="70" zoomScaleNormal="70" zoomScaleSheetLayoutView="70" workbookViewId="0">
      <selection activeCell="I15" sqref="I15:K22"/>
    </sheetView>
  </sheetViews>
  <sheetFormatPr defaultColWidth="9.28515625" defaultRowHeight="15" x14ac:dyDescent="0.25"/>
  <cols>
    <col min="1" max="1" width="6.42578125" style="1" customWidth="1"/>
    <col min="2" max="2" width="13.5703125" style="28" customWidth="1"/>
    <col min="3" max="3" width="15" style="1" customWidth="1"/>
    <col min="4" max="4" width="13.5703125" style="16" customWidth="1"/>
    <col min="5" max="5" width="13.5703125" style="28" customWidth="1"/>
    <col min="6" max="6" width="15" style="1" bestFit="1" customWidth="1"/>
    <col min="7" max="8" width="13.5703125" style="1" customWidth="1"/>
    <col min="9" max="9" width="14.7109375" style="1" customWidth="1"/>
    <col min="10" max="16384" width="9.28515625" style="1"/>
  </cols>
  <sheetData>
    <row r="1" spans="1:11" ht="15" customHeight="1" thickTop="1" x14ac:dyDescent="0.25">
      <c r="A1" s="391" t="s">
        <v>11</v>
      </c>
      <c r="B1" s="392"/>
      <c r="C1" s="392"/>
      <c r="D1" s="392"/>
      <c r="E1" s="392"/>
      <c r="F1" s="392"/>
      <c r="G1" s="392"/>
      <c r="H1" s="392"/>
      <c r="I1" s="393"/>
    </row>
    <row r="2" spans="1:11" ht="26.25" customHeight="1" x14ac:dyDescent="0.25">
      <c r="A2" s="2"/>
      <c r="B2" s="1"/>
      <c r="D2" s="3"/>
      <c r="E2" s="4"/>
      <c r="F2" s="4"/>
      <c r="G2" s="5"/>
      <c r="H2" s="5" t="s">
        <v>0</v>
      </c>
      <c r="I2" s="44" t="e">
        <f>view__cover!L4</f>
        <v>#N/A</v>
      </c>
      <c r="J2" s="6"/>
    </row>
    <row r="3" spans="1:11" ht="3.75" customHeight="1" x14ac:dyDescent="0.25">
      <c r="A3" s="7"/>
      <c r="B3" s="8"/>
      <c r="C3" s="8"/>
      <c r="D3" s="9"/>
      <c r="E3" s="8"/>
      <c r="F3" s="8"/>
      <c r="G3" s="8"/>
      <c r="H3" s="29"/>
      <c r="I3" s="10"/>
      <c r="J3" s="11"/>
    </row>
    <row r="4" spans="1:11" ht="3.75" customHeight="1" x14ac:dyDescent="0.25">
      <c r="A4" s="12"/>
      <c r="B4" s="13"/>
      <c r="C4" s="13"/>
      <c r="D4" s="14"/>
      <c r="E4" s="13"/>
      <c r="F4" s="13"/>
      <c r="G4" s="13"/>
      <c r="H4" s="30"/>
      <c r="I4" s="15"/>
      <c r="J4" s="11"/>
    </row>
    <row r="5" spans="1:11" ht="25.15" customHeight="1" x14ac:dyDescent="0.25">
      <c r="A5" s="394" t="s">
        <v>1</v>
      </c>
      <c r="B5" s="395"/>
      <c r="C5" s="396" t="str">
        <f>view__cover!C6</f>
        <v>INTERMAK GROUP MMC</v>
      </c>
      <c r="D5" s="396"/>
      <c r="E5" s="33" t="s">
        <v>12</v>
      </c>
      <c r="F5" s="47" t="e">
        <f>+#REF!</f>
        <v>#REF!</v>
      </c>
      <c r="G5" s="34"/>
      <c r="H5" s="34" t="s">
        <v>2</v>
      </c>
      <c r="I5" s="46" t="s">
        <v>44</v>
      </c>
    </row>
    <row r="6" spans="1:11" ht="25.15" customHeight="1" x14ac:dyDescent="0.25">
      <c r="A6" s="397" t="s">
        <v>3</v>
      </c>
      <c r="B6" s="398"/>
      <c r="C6" s="35" t="s">
        <v>36</v>
      </c>
      <c r="D6" s="35"/>
      <c r="E6" s="39" t="s">
        <v>13</v>
      </c>
      <c r="F6" s="36"/>
      <c r="G6" s="36"/>
      <c r="H6" s="37" t="s">
        <v>37</v>
      </c>
      <c r="I6" s="38" t="s">
        <v>43</v>
      </c>
    </row>
    <row r="7" spans="1:11" ht="5.0999999999999996" customHeight="1" x14ac:dyDescent="0.25">
      <c r="A7" s="2"/>
      <c r="B7" s="1"/>
      <c r="C7" s="16"/>
      <c r="D7" s="1"/>
      <c r="E7" s="1"/>
      <c r="H7" s="31"/>
      <c r="I7" s="17"/>
    </row>
    <row r="8" spans="1:11" ht="3.75" customHeight="1" x14ac:dyDescent="0.25">
      <c r="A8" s="7"/>
      <c r="B8" s="8"/>
      <c r="C8" s="8"/>
      <c r="D8" s="9"/>
      <c r="E8" s="8"/>
      <c r="F8" s="8"/>
      <c r="G8" s="8"/>
      <c r="H8" s="29"/>
      <c r="I8" s="10"/>
      <c r="J8" s="11"/>
    </row>
    <row r="9" spans="1:11" ht="5.0999999999999996" customHeight="1" x14ac:dyDescent="0.25">
      <c r="A9" s="2"/>
      <c r="B9" s="1"/>
      <c r="D9" s="1"/>
      <c r="E9" s="1"/>
      <c r="I9" s="17"/>
    </row>
    <row r="10" spans="1:11" ht="25.15" customHeight="1" thickBot="1" x14ac:dyDescent="0.3">
      <c r="A10" s="18" t="s">
        <v>4</v>
      </c>
      <c r="B10" s="40" t="s">
        <v>5</v>
      </c>
      <c r="C10" s="40" t="s">
        <v>6</v>
      </c>
      <c r="D10" s="40" t="s">
        <v>7</v>
      </c>
      <c r="E10" s="40" t="s">
        <v>8</v>
      </c>
      <c r="F10" s="40" t="s">
        <v>9</v>
      </c>
      <c r="G10" s="40" t="s">
        <v>10</v>
      </c>
      <c r="H10" s="40" t="s">
        <v>42</v>
      </c>
      <c r="I10" s="41" t="s">
        <v>38</v>
      </c>
    </row>
    <row r="11" spans="1:11" ht="25.15" customHeight="1" x14ac:dyDescent="0.25">
      <c r="A11" s="20">
        <v>1</v>
      </c>
      <c r="B11" s="51" t="s">
        <v>39</v>
      </c>
      <c r="C11" s="51" t="s">
        <v>39</v>
      </c>
      <c r="D11" s="51"/>
      <c r="E11" s="52">
        <v>0</v>
      </c>
      <c r="F11" s="27"/>
      <c r="G11" s="27"/>
      <c r="H11" s="32"/>
      <c r="I11" s="50">
        <v>1</v>
      </c>
      <c r="J11" s="23"/>
      <c r="K11" s="1">
        <v>5000</v>
      </c>
    </row>
    <row r="12" spans="1:11" ht="25.15" customHeight="1" x14ac:dyDescent="0.25">
      <c r="A12" s="24">
        <v>2</v>
      </c>
      <c r="B12" s="25" t="s">
        <v>39</v>
      </c>
      <c r="C12" s="25" t="s">
        <v>39</v>
      </c>
      <c r="D12" s="25"/>
      <c r="E12" s="26">
        <v>0</v>
      </c>
      <c r="F12" s="27"/>
      <c r="G12" s="27"/>
      <c r="H12" s="32"/>
      <c r="I12" s="50">
        <v>1</v>
      </c>
      <c r="J12" s="23"/>
    </row>
    <row r="13" spans="1:11" ht="25.15" customHeight="1" x14ac:dyDescent="0.25">
      <c r="A13" s="24">
        <v>3</v>
      </c>
      <c r="B13" s="25" t="s">
        <v>39</v>
      </c>
      <c r="C13" s="25" t="s">
        <v>39</v>
      </c>
      <c r="D13" s="25"/>
      <c r="E13" s="26">
        <v>0</v>
      </c>
      <c r="F13" s="27"/>
      <c r="G13" s="27"/>
      <c r="H13" s="32"/>
      <c r="I13" s="50">
        <v>1</v>
      </c>
      <c r="J13" s="23"/>
    </row>
    <row r="14" spans="1:11" ht="25.15" customHeight="1" x14ac:dyDescent="0.25">
      <c r="A14" s="24">
        <v>4</v>
      </c>
      <c r="B14" s="25" t="s">
        <v>39</v>
      </c>
      <c r="C14" s="25" t="s">
        <v>39</v>
      </c>
      <c r="D14" s="25"/>
      <c r="E14" s="26">
        <v>0</v>
      </c>
      <c r="F14" s="27"/>
      <c r="G14" s="27"/>
      <c r="H14" s="32"/>
      <c r="I14" s="50">
        <v>1</v>
      </c>
      <c r="J14" s="23"/>
    </row>
    <row r="15" spans="1:11" ht="25.15" customHeight="1" x14ac:dyDescent="0.25">
      <c r="A15" s="24">
        <v>5</v>
      </c>
      <c r="B15" s="25" t="s">
        <v>39</v>
      </c>
      <c r="C15" s="25" t="s">
        <v>39</v>
      </c>
      <c r="D15" s="25"/>
      <c r="E15" s="26">
        <v>0</v>
      </c>
      <c r="F15" s="27"/>
      <c r="G15" s="27"/>
      <c r="H15" s="32"/>
      <c r="I15" s="50">
        <v>1</v>
      </c>
      <c r="J15" s="23"/>
    </row>
    <row r="16" spans="1:11" ht="25.15" customHeight="1" x14ac:dyDescent="0.25">
      <c r="A16" s="24">
        <v>6</v>
      </c>
      <c r="B16" s="25" t="s">
        <v>39</v>
      </c>
      <c r="C16" s="25" t="s">
        <v>39</v>
      </c>
      <c r="D16" s="25"/>
      <c r="E16" s="26">
        <v>0</v>
      </c>
      <c r="F16" s="27"/>
      <c r="G16" s="27"/>
      <c r="H16" s="32"/>
      <c r="I16" s="50">
        <v>1</v>
      </c>
      <c r="J16" s="23"/>
    </row>
    <row r="17" spans="1:10" ht="25.15" customHeight="1" x14ac:dyDescent="0.25">
      <c r="A17" s="24">
        <v>7</v>
      </c>
      <c r="B17" s="25" t="s">
        <v>39</v>
      </c>
      <c r="C17" s="25" t="s">
        <v>39</v>
      </c>
      <c r="D17" s="25"/>
      <c r="E17" s="26">
        <v>0</v>
      </c>
      <c r="F17" s="27"/>
      <c r="G17" s="27"/>
      <c r="H17" s="32"/>
      <c r="I17" s="50">
        <v>0.3</v>
      </c>
      <c r="J17" s="23"/>
    </row>
    <row r="18" spans="1:10" ht="25.15" customHeight="1" x14ac:dyDescent="0.25">
      <c r="A18" s="24">
        <v>8</v>
      </c>
      <c r="B18" s="25"/>
      <c r="C18" s="25"/>
      <c r="D18" s="25"/>
      <c r="E18" s="26"/>
      <c r="F18" s="27"/>
      <c r="G18" s="27"/>
      <c r="H18" s="32"/>
      <c r="I18" s="50"/>
      <c r="J18" s="23"/>
    </row>
    <row r="19" spans="1:10" ht="25.15" customHeight="1" x14ac:dyDescent="0.25">
      <c r="A19" s="24">
        <v>9</v>
      </c>
      <c r="B19" s="25"/>
      <c r="C19" s="25"/>
      <c r="D19" s="25"/>
      <c r="E19" s="26"/>
      <c r="F19" s="27"/>
      <c r="G19" s="27"/>
      <c r="H19" s="32"/>
      <c r="I19" s="50"/>
      <c r="J19" s="23"/>
    </row>
    <row r="20" spans="1:10" ht="25.15" customHeight="1" x14ac:dyDescent="0.25">
      <c r="A20" s="24">
        <v>10</v>
      </c>
      <c r="B20" s="25"/>
      <c r="C20" s="25"/>
      <c r="D20" s="25"/>
      <c r="E20" s="26"/>
      <c r="F20" s="27"/>
      <c r="G20" s="27"/>
      <c r="H20" s="32"/>
      <c r="I20" s="50"/>
      <c r="J20" s="23"/>
    </row>
    <row r="21" spans="1:10" ht="25.15" customHeight="1" x14ac:dyDescent="0.25">
      <c r="A21" s="24">
        <v>11</v>
      </c>
      <c r="B21" s="25"/>
      <c r="C21" s="25"/>
      <c r="D21" s="25"/>
      <c r="E21" s="26"/>
      <c r="F21" s="27"/>
      <c r="G21" s="27"/>
      <c r="H21" s="32"/>
      <c r="I21" s="50"/>
      <c r="J21" s="23"/>
    </row>
    <row r="22" spans="1:10" ht="25.15" customHeight="1" x14ac:dyDescent="0.25">
      <c r="A22" s="24">
        <v>12</v>
      </c>
      <c r="B22" s="25"/>
      <c r="C22" s="25"/>
      <c r="D22" s="25"/>
      <c r="E22" s="26"/>
      <c r="F22" s="27"/>
      <c r="G22" s="27"/>
      <c r="H22" s="32"/>
      <c r="I22" s="50"/>
      <c r="J22" s="23"/>
    </row>
    <row r="23" spans="1:10" ht="25.15" customHeight="1" x14ac:dyDescent="0.25">
      <c r="A23" s="24">
        <v>13</v>
      </c>
      <c r="B23" s="25"/>
      <c r="C23" s="25"/>
      <c r="D23" s="25"/>
      <c r="E23" s="26"/>
      <c r="F23" s="27"/>
      <c r="G23" s="27"/>
      <c r="H23" s="32"/>
      <c r="I23" s="50"/>
      <c r="J23" s="23"/>
    </row>
    <row r="24" spans="1:10" ht="25.15" customHeight="1" x14ac:dyDescent="0.25">
      <c r="A24" s="24">
        <v>14</v>
      </c>
      <c r="B24" s="25"/>
      <c r="C24" s="25"/>
      <c r="D24" s="25"/>
      <c r="E24" s="26"/>
      <c r="F24" s="27"/>
      <c r="G24" s="27"/>
      <c r="H24" s="32"/>
      <c r="I24" s="50"/>
      <c r="J24" s="23"/>
    </row>
    <row r="25" spans="1:10" ht="25.15" customHeight="1" x14ac:dyDescent="0.25">
      <c r="A25" s="24">
        <v>15</v>
      </c>
      <c r="B25" s="25"/>
      <c r="C25" s="25"/>
      <c r="D25" s="25"/>
      <c r="E25" s="26"/>
      <c r="F25" s="27"/>
      <c r="G25" s="27"/>
      <c r="H25" s="32"/>
      <c r="I25" s="50"/>
      <c r="J25" s="23"/>
    </row>
    <row r="26" spans="1:10" ht="25.15" customHeight="1" x14ac:dyDescent="0.25">
      <c r="A26" s="24">
        <v>16</v>
      </c>
      <c r="B26" s="25"/>
      <c r="C26" s="25"/>
      <c r="D26" s="25"/>
      <c r="E26" s="26"/>
      <c r="F26" s="27"/>
      <c r="G26" s="27"/>
      <c r="H26" s="32"/>
      <c r="I26" s="50"/>
      <c r="J26" s="23"/>
    </row>
    <row r="27" spans="1:10" ht="25.15" customHeight="1" x14ac:dyDescent="0.25">
      <c r="A27" s="24">
        <v>17</v>
      </c>
      <c r="B27" s="25"/>
      <c r="C27" s="25"/>
      <c r="D27" s="25"/>
      <c r="E27" s="26"/>
      <c r="F27" s="27"/>
      <c r="G27" s="27"/>
      <c r="H27" s="32"/>
      <c r="I27" s="50"/>
      <c r="J27" s="23"/>
    </row>
    <row r="28" spans="1:10" ht="25.15" customHeight="1" x14ac:dyDescent="0.25">
      <c r="A28" s="24">
        <v>18</v>
      </c>
      <c r="B28" s="25"/>
      <c r="C28" s="25"/>
      <c r="D28" s="25"/>
      <c r="E28" s="26"/>
      <c r="F28" s="27"/>
      <c r="G28" s="27"/>
      <c r="H28" s="32"/>
      <c r="I28" s="50"/>
      <c r="J28" s="23"/>
    </row>
    <row r="29" spans="1:10" ht="25.15" customHeight="1" x14ac:dyDescent="0.25">
      <c r="A29" s="24">
        <v>19</v>
      </c>
      <c r="B29" s="25"/>
      <c r="C29" s="25"/>
      <c r="D29" s="25"/>
      <c r="E29" s="26"/>
      <c r="F29" s="27"/>
      <c r="G29" s="27"/>
      <c r="H29" s="32"/>
      <c r="I29" s="50"/>
      <c r="J29" s="23"/>
    </row>
    <row r="30" spans="1:10" ht="25.15" customHeight="1" x14ac:dyDescent="0.25">
      <c r="A30" s="24">
        <v>20</v>
      </c>
      <c r="B30" s="25"/>
      <c r="C30" s="25"/>
      <c r="D30" s="25"/>
      <c r="E30" s="26"/>
      <c r="F30" s="27"/>
      <c r="G30" s="27"/>
      <c r="H30" s="32"/>
      <c r="I30" s="50"/>
      <c r="J30" s="23"/>
    </row>
    <row r="31" spans="1:10" ht="25.15" customHeight="1" x14ac:dyDescent="0.25">
      <c r="A31" s="24">
        <v>21</v>
      </c>
      <c r="B31" s="25"/>
      <c r="C31" s="25"/>
      <c r="D31" s="25"/>
      <c r="E31" s="26"/>
      <c r="F31" s="27"/>
      <c r="G31" s="27"/>
      <c r="H31" s="32"/>
      <c r="I31" s="50"/>
      <c r="J31" s="23"/>
    </row>
    <row r="32" spans="1:10" ht="25.15" customHeight="1" x14ac:dyDescent="0.25">
      <c r="A32" s="24">
        <v>22</v>
      </c>
      <c r="B32" s="25"/>
      <c r="C32" s="25"/>
      <c r="D32" s="25"/>
      <c r="E32" s="26"/>
      <c r="F32" s="27"/>
      <c r="G32" s="27"/>
      <c r="H32" s="32"/>
      <c r="I32" s="50"/>
      <c r="J32" s="23"/>
    </row>
    <row r="33" spans="1:10" ht="25.15" customHeight="1" x14ac:dyDescent="0.25">
      <c r="A33" s="24">
        <v>23</v>
      </c>
      <c r="B33" s="25"/>
      <c r="C33" s="25"/>
      <c r="D33" s="25"/>
      <c r="E33" s="26"/>
      <c r="F33" s="27"/>
      <c r="G33" s="27"/>
      <c r="H33" s="32"/>
      <c r="I33" s="50"/>
      <c r="J33" s="23"/>
    </row>
    <row r="34" spans="1:10" ht="25.15" customHeight="1" x14ac:dyDescent="0.25">
      <c r="A34" s="24">
        <v>24</v>
      </c>
      <c r="B34" s="25"/>
      <c r="C34" s="25"/>
      <c r="D34" s="25"/>
      <c r="E34" s="26"/>
      <c r="F34" s="27"/>
      <c r="G34" s="27"/>
      <c r="H34" s="32"/>
      <c r="I34" s="50"/>
      <c r="J34" s="23"/>
    </row>
    <row r="35" spans="1:10" ht="25.15" customHeight="1" x14ac:dyDescent="0.25">
      <c r="A35" s="24">
        <v>25</v>
      </c>
      <c r="B35" s="25"/>
      <c r="C35" s="25"/>
      <c r="D35" s="25"/>
      <c r="E35" s="26"/>
      <c r="F35" s="27"/>
      <c r="G35" s="27"/>
      <c r="H35" s="32"/>
      <c r="I35" s="50"/>
      <c r="J35" s="23"/>
    </row>
    <row r="36" spans="1:10" ht="25.15" customHeight="1" x14ac:dyDescent="0.25">
      <c r="A36" s="24">
        <v>26</v>
      </c>
      <c r="B36" s="25"/>
      <c r="C36" s="25"/>
      <c r="D36" s="25"/>
      <c r="E36" s="26"/>
      <c r="F36" s="27"/>
      <c r="G36" s="27"/>
      <c r="H36" s="32"/>
      <c r="I36" s="50"/>
      <c r="J36" s="23"/>
    </row>
    <row r="37" spans="1:10" ht="25.15" customHeight="1" x14ac:dyDescent="0.25">
      <c r="A37" s="24">
        <v>27</v>
      </c>
      <c r="B37" s="25"/>
      <c r="C37" s="25"/>
      <c r="D37" s="25"/>
      <c r="E37" s="26"/>
      <c r="F37" s="27"/>
      <c r="G37" s="27"/>
      <c r="H37" s="32"/>
      <c r="I37" s="50"/>
      <c r="J37" s="23"/>
    </row>
    <row r="38" spans="1:10" ht="25.15" customHeight="1" x14ac:dyDescent="0.25">
      <c r="A38" s="24">
        <v>28</v>
      </c>
      <c r="B38" s="25"/>
      <c r="C38" s="25"/>
      <c r="D38" s="25"/>
      <c r="E38" s="26"/>
      <c r="F38" s="27"/>
      <c r="G38" s="27"/>
      <c r="H38" s="32"/>
      <c r="I38" s="50"/>
      <c r="J38" s="23"/>
    </row>
    <row r="39" spans="1:10" ht="25.15" customHeight="1" x14ac:dyDescent="0.25">
      <c r="A39" s="24">
        <v>29</v>
      </c>
      <c r="B39" s="25"/>
      <c r="C39" s="25"/>
      <c r="D39" s="25"/>
      <c r="E39" s="26"/>
      <c r="F39" s="27"/>
      <c r="G39" s="27"/>
      <c r="H39" s="32"/>
      <c r="I39" s="50"/>
      <c r="J39" s="23"/>
    </row>
    <row r="40" spans="1:10" ht="25.15" customHeight="1" x14ac:dyDescent="0.25">
      <c r="A40" s="24">
        <v>30</v>
      </c>
      <c r="B40" s="25"/>
      <c r="C40" s="25"/>
      <c r="D40" s="25"/>
      <c r="E40" s="26"/>
      <c r="F40" s="27"/>
      <c r="G40" s="27"/>
      <c r="H40" s="32"/>
      <c r="I40" s="50"/>
      <c r="J40" s="23"/>
    </row>
    <row r="41" spans="1:10" ht="25.15" customHeight="1" thickBot="1" x14ac:dyDescent="0.3">
      <c r="A41" s="24">
        <v>31</v>
      </c>
      <c r="B41" s="25"/>
      <c r="C41" s="25"/>
      <c r="D41" s="25"/>
      <c r="E41" s="26"/>
      <c r="F41" s="27"/>
      <c r="G41" s="27"/>
      <c r="H41" s="32"/>
      <c r="I41" s="50"/>
      <c r="J41" s="23"/>
    </row>
    <row r="42" spans="1:10" ht="15.75" thickBot="1" x14ac:dyDescent="0.3">
      <c r="A42" s="399" t="s">
        <v>25</v>
      </c>
      <c r="B42" s="400"/>
      <c r="C42" s="401"/>
      <c r="D42" s="45">
        <f>SUM(D11:D41)</f>
        <v>0</v>
      </c>
      <c r="E42" s="42">
        <f>SUM(E11:E41)</f>
        <v>0</v>
      </c>
      <c r="F42" s="402"/>
      <c r="G42" s="403"/>
      <c r="H42" s="43">
        <f>SUM(H11:H41)</f>
        <v>0</v>
      </c>
      <c r="I42" s="48">
        <f>SUM(I11:I41)</f>
        <v>6.3</v>
      </c>
    </row>
    <row r="43" spans="1:10" ht="15.75" thickTop="1" x14ac:dyDescent="0.25"/>
  </sheetData>
  <mergeCells count="6">
    <mergeCell ref="A1:I1"/>
    <mergeCell ref="A5:B5"/>
    <mergeCell ref="C5:D5"/>
    <mergeCell ref="A6:B6"/>
    <mergeCell ref="A42:C42"/>
    <mergeCell ref="F42:G42"/>
  </mergeCells>
  <dataValidations count="1">
    <dataValidation type="list" allowBlank="1" showInputMessage="1" showErrorMessage="1" sqref="C6" xr:uid="{00000000-0002-0000-0400-000000000000}">
      <formula1>"Mazot,Benzin"</formula1>
    </dataValidation>
  </dataValidations>
  <printOptions horizontalCentered="1" verticalCentered="1"/>
  <pageMargins left="0.39370078740157499" right="0.15748031496063" top="0.15748031496063" bottom="0" header="0.118110236220472" footer="0.23622047244094499"/>
  <pageSetup paperSize="9" scale="84" orientation="portrait" horizontalDpi="300" verticalDpi="300" r:id="rId1"/>
  <headerFooter scaleWithDoc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EBA79-6862-456D-8AB4-1782D1D891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9</vt:i4>
      </vt:variant>
    </vt:vector>
  </HeadingPairs>
  <TitlesOfParts>
    <vt:vector size="29" baseType="lpstr">
      <vt:lpstr>view__cover</vt:lpstr>
      <vt:lpstr>view_calc</vt:lpstr>
      <vt:lpstr>view_daily_records</vt:lpstr>
      <vt:lpstr>view_monthly_records</vt:lpstr>
      <vt:lpstr>view_fuel</vt:lpstr>
      <vt:lpstr>log_monthly_records</vt:lpstr>
      <vt:lpstr>log_daily_records</vt:lpstr>
      <vt:lpstr>log_ipcs</vt:lpstr>
      <vt:lpstr>log_contracts</vt:lpstr>
      <vt:lpstr>log_addendums</vt:lpstr>
      <vt:lpstr>log_prices</vt:lpstr>
      <vt:lpstr>log_fuel_provision</vt:lpstr>
      <vt:lpstr>quantities</vt:lpstr>
      <vt:lpstr>daily_quantities</vt:lpstr>
      <vt:lpstr>1</vt:lpstr>
      <vt:lpstr>2</vt:lpstr>
      <vt:lpstr>METRAJ</vt:lpstr>
      <vt:lpstr>2 (4)</vt:lpstr>
      <vt:lpstr>doosan PALETLİ 90 H 273</vt:lpstr>
      <vt:lpstr>loader 30 K 151</vt:lpstr>
      <vt:lpstr>contract_no</vt:lpstr>
      <vt:lpstr>ipc_no</vt:lpstr>
      <vt:lpstr>'1'!Print_Area</vt:lpstr>
      <vt:lpstr>'2'!Print_Area</vt:lpstr>
      <vt:lpstr>'2 (4)'!Print_Area</vt:lpstr>
      <vt:lpstr>'doosan PALETLİ 90 H 273'!Print_Area</vt:lpstr>
      <vt:lpstr>'loader 30 K 151'!Print_Area</vt:lpstr>
      <vt:lpstr>METRAJ!Print_Area</vt:lpstr>
      <vt:lpstr>view__cover!Print_Area</vt:lpstr>
    </vt:vector>
  </TitlesOfParts>
  <Company>SilentAll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Kolin</dc:creator>
  <cp:lastModifiedBy>Elvin Bashirli</cp:lastModifiedBy>
  <cp:lastPrinted>2026-01-09T09:20:53Z</cp:lastPrinted>
  <dcterms:created xsi:type="dcterms:W3CDTF">2015-08-04T07:15:27Z</dcterms:created>
  <dcterms:modified xsi:type="dcterms:W3CDTF">2026-01-09T09:54:16Z</dcterms:modified>
</cp:coreProperties>
</file>